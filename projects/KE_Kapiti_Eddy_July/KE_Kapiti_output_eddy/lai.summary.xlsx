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L-DNDC\Landscape-DNDC\projects\KE_Kapiti_Eddy_July\KE_Kapiti_output_eddy\"/>
    </mc:Choice>
  </mc:AlternateContent>
  <xr:revisionPtr revIDLastSave="0" documentId="13_ncr:1_{1FD32F43-E0A5-4375-94CC-3EDD5BEE834E}" xr6:coauthVersionLast="47" xr6:coauthVersionMax="47" xr10:uidLastSave="{00000000-0000-0000-0000-000000000000}"/>
  <bookViews>
    <workbookView xWindow="-108" yWindow="-108" windowWidth="23256" windowHeight="12456" xr2:uid="{94C8286C-0638-4DBC-9B0B-F6B6E27C851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65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<sst xmlns="http://schemas.openxmlformats.org/spreadsheetml/2006/main" count="5" uniqueCount="5">
  <si>
    <t>year</t>
  </si>
  <si>
    <t>month</t>
  </si>
  <si>
    <t>day</t>
  </si>
  <si>
    <t>lai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</si>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</sst>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6.xml"/><Relationship Id="rId299" Type="http://schemas.openxmlformats.org/officeDocument/2006/relationships/externalLink" Target="externalLinks/externalLink298.xml"/><Relationship Id="rId21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62.xml"/><Relationship Id="rId159" Type="http://schemas.openxmlformats.org/officeDocument/2006/relationships/externalLink" Target="externalLinks/externalLink158.xml"/><Relationship Id="rId324" Type="http://schemas.openxmlformats.org/officeDocument/2006/relationships/calcChain" Target="calcChain.xml"/><Relationship Id="rId170" Type="http://schemas.openxmlformats.org/officeDocument/2006/relationships/externalLink" Target="externalLinks/externalLink169.xml"/><Relationship Id="rId226" Type="http://schemas.openxmlformats.org/officeDocument/2006/relationships/externalLink" Target="externalLinks/externalLink225.xml"/><Relationship Id="rId268" Type="http://schemas.openxmlformats.org/officeDocument/2006/relationships/externalLink" Target="externalLinks/externalLink267.xml"/><Relationship Id="rId32" Type="http://schemas.openxmlformats.org/officeDocument/2006/relationships/externalLink" Target="externalLinks/externalLink31.xml"/><Relationship Id="rId74" Type="http://schemas.openxmlformats.org/officeDocument/2006/relationships/externalLink" Target="externalLinks/externalLink73.xml"/><Relationship Id="rId128" Type="http://schemas.openxmlformats.org/officeDocument/2006/relationships/externalLink" Target="externalLinks/externalLink127.xml"/><Relationship Id="rId5" Type="http://schemas.openxmlformats.org/officeDocument/2006/relationships/externalLink" Target="externalLinks/externalLink4.xml"/><Relationship Id="rId181" Type="http://schemas.openxmlformats.org/officeDocument/2006/relationships/externalLink" Target="externalLinks/externalLink180.xml"/><Relationship Id="rId237" Type="http://schemas.openxmlformats.org/officeDocument/2006/relationships/externalLink" Target="externalLinks/externalLink236.xml"/><Relationship Id="rId279" Type="http://schemas.openxmlformats.org/officeDocument/2006/relationships/externalLink" Target="externalLinks/externalLink278.xml"/><Relationship Id="rId43" Type="http://schemas.openxmlformats.org/officeDocument/2006/relationships/externalLink" Target="externalLinks/externalLink42.xml"/><Relationship Id="rId139" Type="http://schemas.openxmlformats.org/officeDocument/2006/relationships/externalLink" Target="externalLinks/externalLink138.xml"/><Relationship Id="rId290" Type="http://schemas.openxmlformats.org/officeDocument/2006/relationships/externalLink" Target="externalLinks/externalLink289.xml"/><Relationship Id="rId304" Type="http://schemas.openxmlformats.org/officeDocument/2006/relationships/externalLink" Target="externalLinks/externalLink303.xml"/><Relationship Id="rId85" Type="http://schemas.openxmlformats.org/officeDocument/2006/relationships/externalLink" Target="externalLinks/externalLink84.xml"/><Relationship Id="rId150" Type="http://schemas.openxmlformats.org/officeDocument/2006/relationships/externalLink" Target="externalLinks/externalLink149.xml"/><Relationship Id="rId192" Type="http://schemas.openxmlformats.org/officeDocument/2006/relationships/externalLink" Target="externalLinks/externalLink191.xml"/><Relationship Id="rId206" Type="http://schemas.openxmlformats.org/officeDocument/2006/relationships/externalLink" Target="externalLinks/externalLink205.xml"/><Relationship Id="rId248" Type="http://schemas.openxmlformats.org/officeDocument/2006/relationships/externalLink" Target="externalLinks/externalLink247.xml"/><Relationship Id="rId12" Type="http://schemas.openxmlformats.org/officeDocument/2006/relationships/externalLink" Target="externalLinks/externalLink11.xml"/><Relationship Id="rId108" Type="http://schemas.openxmlformats.org/officeDocument/2006/relationships/externalLink" Target="externalLinks/externalLink107.xml"/><Relationship Id="rId315" Type="http://schemas.openxmlformats.org/officeDocument/2006/relationships/externalLink" Target="externalLinks/externalLink314.xml"/><Relationship Id="rId54" Type="http://schemas.openxmlformats.org/officeDocument/2006/relationships/externalLink" Target="externalLinks/externalLink53.xml"/><Relationship Id="rId96" Type="http://schemas.openxmlformats.org/officeDocument/2006/relationships/externalLink" Target="externalLinks/externalLink95.xml"/><Relationship Id="rId161" Type="http://schemas.openxmlformats.org/officeDocument/2006/relationships/externalLink" Target="externalLinks/externalLink160.xml"/><Relationship Id="rId217" Type="http://schemas.openxmlformats.org/officeDocument/2006/relationships/externalLink" Target="externalLinks/externalLink216.xml"/><Relationship Id="rId259" Type="http://schemas.openxmlformats.org/officeDocument/2006/relationships/externalLink" Target="externalLinks/externalLink258.xml"/><Relationship Id="rId23" Type="http://schemas.openxmlformats.org/officeDocument/2006/relationships/externalLink" Target="externalLinks/externalLink22.xml"/><Relationship Id="rId119" Type="http://schemas.openxmlformats.org/officeDocument/2006/relationships/externalLink" Target="externalLinks/externalLink118.xml"/><Relationship Id="rId270" Type="http://schemas.openxmlformats.org/officeDocument/2006/relationships/externalLink" Target="externalLinks/externalLink269.xml"/><Relationship Id="rId65" Type="http://schemas.openxmlformats.org/officeDocument/2006/relationships/externalLink" Target="externalLinks/externalLink64.xml"/><Relationship Id="rId130" Type="http://schemas.openxmlformats.org/officeDocument/2006/relationships/externalLink" Target="externalLinks/externalLink129.xml"/><Relationship Id="rId172" Type="http://schemas.openxmlformats.org/officeDocument/2006/relationships/externalLink" Target="externalLinks/externalLink171.xml"/><Relationship Id="rId228" Type="http://schemas.openxmlformats.org/officeDocument/2006/relationships/externalLink" Target="externalLinks/externalLink227.xml"/><Relationship Id="rId281" Type="http://schemas.openxmlformats.org/officeDocument/2006/relationships/externalLink" Target="externalLinks/externalLink280.xml"/><Relationship Id="rId34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97" Type="http://schemas.openxmlformats.org/officeDocument/2006/relationships/externalLink" Target="externalLinks/externalLink96.xml"/><Relationship Id="rId120" Type="http://schemas.openxmlformats.org/officeDocument/2006/relationships/externalLink" Target="externalLinks/externalLink119.xml"/><Relationship Id="rId141" Type="http://schemas.openxmlformats.org/officeDocument/2006/relationships/externalLink" Target="externalLinks/externalLink140.xml"/><Relationship Id="rId7" Type="http://schemas.openxmlformats.org/officeDocument/2006/relationships/externalLink" Target="externalLinks/externalLink6.xml"/><Relationship Id="rId162" Type="http://schemas.openxmlformats.org/officeDocument/2006/relationships/externalLink" Target="externalLinks/externalLink161.xml"/><Relationship Id="rId183" Type="http://schemas.openxmlformats.org/officeDocument/2006/relationships/externalLink" Target="externalLinks/externalLink182.xml"/><Relationship Id="rId218" Type="http://schemas.openxmlformats.org/officeDocument/2006/relationships/externalLink" Target="externalLinks/externalLink217.xml"/><Relationship Id="rId239" Type="http://schemas.openxmlformats.org/officeDocument/2006/relationships/externalLink" Target="externalLinks/externalLink238.xml"/><Relationship Id="rId250" Type="http://schemas.openxmlformats.org/officeDocument/2006/relationships/externalLink" Target="externalLinks/externalLink249.xml"/><Relationship Id="rId271" Type="http://schemas.openxmlformats.org/officeDocument/2006/relationships/externalLink" Target="externalLinks/externalLink270.xml"/><Relationship Id="rId292" Type="http://schemas.openxmlformats.org/officeDocument/2006/relationships/externalLink" Target="externalLinks/externalLink291.xml"/><Relationship Id="rId306" Type="http://schemas.openxmlformats.org/officeDocument/2006/relationships/externalLink" Target="externalLinks/externalLink305.xml"/><Relationship Id="rId24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131" Type="http://schemas.openxmlformats.org/officeDocument/2006/relationships/externalLink" Target="externalLinks/externalLink130.xml"/><Relationship Id="rId152" Type="http://schemas.openxmlformats.org/officeDocument/2006/relationships/externalLink" Target="externalLinks/externalLink151.xml"/><Relationship Id="rId173" Type="http://schemas.openxmlformats.org/officeDocument/2006/relationships/externalLink" Target="externalLinks/externalLink172.xml"/><Relationship Id="rId194" Type="http://schemas.openxmlformats.org/officeDocument/2006/relationships/externalLink" Target="externalLinks/externalLink193.xml"/><Relationship Id="rId208" Type="http://schemas.openxmlformats.org/officeDocument/2006/relationships/externalLink" Target="externalLinks/externalLink207.xml"/><Relationship Id="rId229" Type="http://schemas.openxmlformats.org/officeDocument/2006/relationships/externalLink" Target="externalLinks/externalLink228.xml"/><Relationship Id="rId240" Type="http://schemas.openxmlformats.org/officeDocument/2006/relationships/externalLink" Target="externalLinks/externalLink239.xml"/><Relationship Id="rId261" Type="http://schemas.openxmlformats.org/officeDocument/2006/relationships/externalLink" Target="externalLinks/externalLink260.xml"/><Relationship Id="rId14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282" Type="http://schemas.openxmlformats.org/officeDocument/2006/relationships/externalLink" Target="externalLinks/externalLink281.xml"/><Relationship Id="rId317" Type="http://schemas.openxmlformats.org/officeDocument/2006/relationships/externalLink" Target="externalLinks/externalLink316.xml"/><Relationship Id="rId8" Type="http://schemas.openxmlformats.org/officeDocument/2006/relationships/externalLink" Target="externalLinks/externalLink7.xml"/><Relationship Id="rId98" Type="http://schemas.openxmlformats.org/officeDocument/2006/relationships/externalLink" Target="externalLinks/externalLink97.xml"/><Relationship Id="rId121" Type="http://schemas.openxmlformats.org/officeDocument/2006/relationships/externalLink" Target="externalLinks/externalLink120.xml"/><Relationship Id="rId142" Type="http://schemas.openxmlformats.org/officeDocument/2006/relationships/externalLink" Target="externalLinks/externalLink141.xml"/><Relationship Id="rId163" Type="http://schemas.openxmlformats.org/officeDocument/2006/relationships/externalLink" Target="externalLinks/externalLink162.xml"/><Relationship Id="rId184" Type="http://schemas.openxmlformats.org/officeDocument/2006/relationships/externalLink" Target="externalLinks/externalLink183.xml"/><Relationship Id="rId219" Type="http://schemas.openxmlformats.org/officeDocument/2006/relationships/externalLink" Target="externalLinks/externalLink218.xml"/><Relationship Id="rId230" Type="http://schemas.openxmlformats.org/officeDocument/2006/relationships/externalLink" Target="externalLinks/externalLink229.xml"/><Relationship Id="rId251" Type="http://schemas.openxmlformats.org/officeDocument/2006/relationships/externalLink" Target="externalLinks/externalLink250.xml"/><Relationship Id="rId25" Type="http://schemas.openxmlformats.org/officeDocument/2006/relationships/externalLink" Target="externalLinks/externalLink24.xml"/><Relationship Id="rId46" Type="http://schemas.openxmlformats.org/officeDocument/2006/relationships/externalLink" Target="externalLinks/externalLink45.xml"/><Relationship Id="rId67" Type="http://schemas.openxmlformats.org/officeDocument/2006/relationships/externalLink" Target="externalLinks/externalLink66.xml"/><Relationship Id="rId272" Type="http://schemas.openxmlformats.org/officeDocument/2006/relationships/externalLink" Target="externalLinks/externalLink271.xml"/><Relationship Id="rId293" Type="http://schemas.openxmlformats.org/officeDocument/2006/relationships/externalLink" Target="externalLinks/externalLink292.xml"/><Relationship Id="rId307" Type="http://schemas.openxmlformats.org/officeDocument/2006/relationships/externalLink" Target="externalLinks/externalLink306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Relationship Id="rId132" Type="http://schemas.openxmlformats.org/officeDocument/2006/relationships/externalLink" Target="externalLinks/externalLink131.xml"/><Relationship Id="rId153" Type="http://schemas.openxmlformats.org/officeDocument/2006/relationships/externalLink" Target="externalLinks/externalLink152.xml"/><Relationship Id="rId174" Type="http://schemas.openxmlformats.org/officeDocument/2006/relationships/externalLink" Target="externalLinks/externalLink173.xml"/><Relationship Id="rId195" Type="http://schemas.openxmlformats.org/officeDocument/2006/relationships/externalLink" Target="externalLinks/externalLink194.xml"/><Relationship Id="rId209" Type="http://schemas.openxmlformats.org/officeDocument/2006/relationships/externalLink" Target="externalLinks/externalLink208.xml"/><Relationship Id="rId220" Type="http://schemas.openxmlformats.org/officeDocument/2006/relationships/externalLink" Target="externalLinks/externalLink219.xml"/><Relationship Id="rId241" Type="http://schemas.openxmlformats.org/officeDocument/2006/relationships/externalLink" Target="externalLinks/externalLink240.xml"/><Relationship Id="rId15" Type="http://schemas.openxmlformats.org/officeDocument/2006/relationships/externalLink" Target="externalLinks/externalLink14.xml"/><Relationship Id="rId36" Type="http://schemas.openxmlformats.org/officeDocument/2006/relationships/externalLink" Target="externalLinks/externalLink35.xml"/><Relationship Id="rId57" Type="http://schemas.openxmlformats.org/officeDocument/2006/relationships/externalLink" Target="externalLinks/externalLink56.xml"/><Relationship Id="rId262" Type="http://schemas.openxmlformats.org/officeDocument/2006/relationships/externalLink" Target="externalLinks/externalLink261.xml"/><Relationship Id="rId283" Type="http://schemas.openxmlformats.org/officeDocument/2006/relationships/externalLink" Target="externalLinks/externalLink282.xml"/><Relationship Id="rId318" Type="http://schemas.openxmlformats.org/officeDocument/2006/relationships/externalLink" Target="externalLinks/externalLink317.xml"/><Relationship Id="rId78" Type="http://schemas.openxmlformats.org/officeDocument/2006/relationships/externalLink" Target="externalLinks/externalLink77.xml"/><Relationship Id="rId99" Type="http://schemas.openxmlformats.org/officeDocument/2006/relationships/externalLink" Target="externalLinks/externalLink98.xml"/><Relationship Id="rId101" Type="http://schemas.openxmlformats.org/officeDocument/2006/relationships/externalLink" Target="externalLinks/externalLink100.xml"/><Relationship Id="rId122" Type="http://schemas.openxmlformats.org/officeDocument/2006/relationships/externalLink" Target="externalLinks/externalLink121.xml"/><Relationship Id="rId143" Type="http://schemas.openxmlformats.org/officeDocument/2006/relationships/externalLink" Target="externalLinks/externalLink142.xml"/><Relationship Id="rId164" Type="http://schemas.openxmlformats.org/officeDocument/2006/relationships/externalLink" Target="externalLinks/externalLink163.xml"/><Relationship Id="rId185" Type="http://schemas.openxmlformats.org/officeDocument/2006/relationships/externalLink" Target="externalLinks/externalLink184.xml"/><Relationship Id="rId9" Type="http://schemas.openxmlformats.org/officeDocument/2006/relationships/externalLink" Target="externalLinks/externalLink8.xml"/><Relationship Id="rId210" Type="http://schemas.openxmlformats.org/officeDocument/2006/relationships/externalLink" Target="externalLinks/externalLink209.xml"/><Relationship Id="rId26" Type="http://schemas.openxmlformats.org/officeDocument/2006/relationships/externalLink" Target="externalLinks/externalLink25.xml"/><Relationship Id="rId231" Type="http://schemas.openxmlformats.org/officeDocument/2006/relationships/externalLink" Target="externalLinks/externalLink230.xml"/><Relationship Id="rId252" Type="http://schemas.openxmlformats.org/officeDocument/2006/relationships/externalLink" Target="externalLinks/externalLink251.xml"/><Relationship Id="rId273" Type="http://schemas.openxmlformats.org/officeDocument/2006/relationships/externalLink" Target="externalLinks/externalLink272.xml"/><Relationship Id="rId294" Type="http://schemas.openxmlformats.org/officeDocument/2006/relationships/externalLink" Target="externalLinks/externalLink293.xml"/><Relationship Id="rId308" Type="http://schemas.openxmlformats.org/officeDocument/2006/relationships/externalLink" Target="externalLinks/externalLink307.xml"/><Relationship Id="rId47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67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33" Type="http://schemas.openxmlformats.org/officeDocument/2006/relationships/externalLink" Target="externalLinks/externalLink132.xml"/><Relationship Id="rId154" Type="http://schemas.openxmlformats.org/officeDocument/2006/relationships/externalLink" Target="externalLinks/externalLink153.xml"/><Relationship Id="rId175" Type="http://schemas.openxmlformats.org/officeDocument/2006/relationships/externalLink" Target="externalLinks/externalLink174.xml"/><Relationship Id="rId196" Type="http://schemas.openxmlformats.org/officeDocument/2006/relationships/externalLink" Target="externalLinks/externalLink195.xml"/><Relationship Id="rId200" Type="http://schemas.openxmlformats.org/officeDocument/2006/relationships/externalLink" Target="externalLinks/externalLink199.xml"/><Relationship Id="rId16" Type="http://schemas.openxmlformats.org/officeDocument/2006/relationships/externalLink" Target="externalLinks/externalLink15.xml"/><Relationship Id="rId221" Type="http://schemas.openxmlformats.org/officeDocument/2006/relationships/externalLink" Target="externalLinks/externalLink220.xml"/><Relationship Id="rId242" Type="http://schemas.openxmlformats.org/officeDocument/2006/relationships/externalLink" Target="externalLinks/externalLink241.xml"/><Relationship Id="rId263" Type="http://schemas.openxmlformats.org/officeDocument/2006/relationships/externalLink" Target="externalLinks/externalLink262.xml"/><Relationship Id="rId284" Type="http://schemas.openxmlformats.org/officeDocument/2006/relationships/externalLink" Target="externalLinks/externalLink283.xml"/><Relationship Id="rId319" Type="http://schemas.openxmlformats.org/officeDocument/2006/relationships/externalLink" Target="externalLinks/externalLink318.xml"/><Relationship Id="rId37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57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123" Type="http://schemas.openxmlformats.org/officeDocument/2006/relationships/externalLink" Target="externalLinks/externalLink122.xml"/><Relationship Id="rId144" Type="http://schemas.openxmlformats.org/officeDocument/2006/relationships/externalLink" Target="externalLinks/externalLink143.xml"/><Relationship Id="rId90" Type="http://schemas.openxmlformats.org/officeDocument/2006/relationships/externalLink" Target="externalLinks/externalLink89.xml"/><Relationship Id="rId165" Type="http://schemas.openxmlformats.org/officeDocument/2006/relationships/externalLink" Target="externalLinks/externalLink164.xml"/><Relationship Id="rId186" Type="http://schemas.openxmlformats.org/officeDocument/2006/relationships/externalLink" Target="externalLinks/externalLink185.xml"/><Relationship Id="rId211" Type="http://schemas.openxmlformats.org/officeDocument/2006/relationships/externalLink" Target="externalLinks/externalLink210.xml"/><Relationship Id="rId232" Type="http://schemas.openxmlformats.org/officeDocument/2006/relationships/externalLink" Target="externalLinks/externalLink231.xml"/><Relationship Id="rId253" Type="http://schemas.openxmlformats.org/officeDocument/2006/relationships/externalLink" Target="externalLinks/externalLink252.xml"/><Relationship Id="rId274" Type="http://schemas.openxmlformats.org/officeDocument/2006/relationships/externalLink" Target="externalLinks/externalLink273.xml"/><Relationship Id="rId295" Type="http://schemas.openxmlformats.org/officeDocument/2006/relationships/externalLink" Target="externalLinks/externalLink294.xml"/><Relationship Id="rId309" Type="http://schemas.openxmlformats.org/officeDocument/2006/relationships/externalLink" Target="externalLinks/externalLink308.xml"/><Relationship Id="rId27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68.xml"/><Relationship Id="rId113" Type="http://schemas.openxmlformats.org/officeDocument/2006/relationships/externalLink" Target="externalLinks/externalLink112.xml"/><Relationship Id="rId134" Type="http://schemas.openxmlformats.org/officeDocument/2006/relationships/externalLink" Target="externalLinks/externalLink133.xml"/><Relationship Id="rId320" Type="http://schemas.openxmlformats.org/officeDocument/2006/relationships/externalLink" Target="externalLinks/externalLink319.xml"/><Relationship Id="rId80" Type="http://schemas.openxmlformats.org/officeDocument/2006/relationships/externalLink" Target="externalLinks/externalLink79.xml"/><Relationship Id="rId155" Type="http://schemas.openxmlformats.org/officeDocument/2006/relationships/externalLink" Target="externalLinks/externalLink154.xml"/><Relationship Id="rId176" Type="http://schemas.openxmlformats.org/officeDocument/2006/relationships/externalLink" Target="externalLinks/externalLink175.xml"/><Relationship Id="rId197" Type="http://schemas.openxmlformats.org/officeDocument/2006/relationships/externalLink" Target="externalLinks/externalLink196.xml"/><Relationship Id="rId201" Type="http://schemas.openxmlformats.org/officeDocument/2006/relationships/externalLink" Target="externalLinks/externalLink200.xml"/><Relationship Id="rId222" Type="http://schemas.openxmlformats.org/officeDocument/2006/relationships/externalLink" Target="externalLinks/externalLink221.xml"/><Relationship Id="rId243" Type="http://schemas.openxmlformats.org/officeDocument/2006/relationships/externalLink" Target="externalLinks/externalLink242.xml"/><Relationship Id="rId264" Type="http://schemas.openxmlformats.org/officeDocument/2006/relationships/externalLink" Target="externalLinks/externalLink263.xml"/><Relationship Id="rId285" Type="http://schemas.openxmlformats.org/officeDocument/2006/relationships/externalLink" Target="externalLinks/externalLink284.xml"/><Relationship Id="rId17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8.xml"/><Relationship Id="rId103" Type="http://schemas.openxmlformats.org/officeDocument/2006/relationships/externalLink" Target="externalLinks/externalLink102.xml"/><Relationship Id="rId124" Type="http://schemas.openxmlformats.org/officeDocument/2006/relationships/externalLink" Target="externalLinks/externalLink123.xml"/><Relationship Id="rId310" Type="http://schemas.openxmlformats.org/officeDocument/2006/relationships/externalLink" Target="externalLinks/externalLink309.xml"/><Relationship Id="rId70" Type="http://schemas.openxmlformats.org/officeDocument/2006/relationships/externalLink" Target="externalLinks/externalLink69.xml"/><Relationship Id="rId91" Type="http://schemas.openxmlformats.org/officeDocument/2006/relationships/externalLink" Target="externalLinks/externalLink90.xml"/><Relationship Id="rId145" Type="http://schemas.openxmlformats.org/officeDocument/2006/relationships/externalLink" Target="externalLinks/externalLink144.xml"/><Relationship Id="rId166" Type="http://schemas.openxmlformats.org/officeDocument/2006/relationships/externalLink" Target="externalLinks/externalLink165.xml"/><Relationship Id="rId187" Type="http://schemas.openxmlformats.org/officeDocument/2006/relationships/externalLink" Target="externalLinks/externalLink186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11.xml"/><Relationship Id="rId233" Type="http://schemas.openxmlformats.org/officeDocument/2006/relationships/externalLink" Target="externalLinks/externalLink232.xml"/><Relationship Id="rId254" Type="http://schemas.openxmlformats.org/officeDocument/2006/relationships/externalLink" Target="externalLinks/externalLink253.xml"/><Relationship Id="rId28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8.xml"/><Relationship Id="rId114" Type="http://schemas.openxmlformats.org/officeDocument/2006/relationships/externalLink" Target="externalLinks/externalLink113.xml"/><Relationship Id="rId275" Type="http://schemas.openxmlformats.org/officeDocument/2006/relationships/externalLink" Target="externalLinks/externalLink274.xml"/><Relationship Id="rId296" Type="http://schemas.openxmlformats.org/officeDocument/2006/relationships/externalLink" Target="externalLinks/externalLink295.xml"/><Relationship Id="rId300" Type="http://schemas.openxmlformats.org/officeDocument/2006/relationships/externalLink" Target="externalLinks/externalLink299.xml"/><Relationship Id="rId60" Type="http://schemas.openxmlformats.org/officeDocument/2006/relationships/externalLink" Target="externalLinks/externalLink59.xml"/><Relationship Id="rId81" Type="http://schemas.openxmlformats.org/officeDocument/2006/relationships/externalLink" Target="externalLinks/externalLink80.xml"/><Relationship Id="rId135" Type="http://schemas.openxmlformats.org/officeDocument/2006/relationships/externalLink" Target="externalLinks/externalLink134.xml"/><Relationship Id="rId156" Type="http://schemas.openxmlformats.org/officeDocument/2006/relationships/externalLink" Target="externalLinks/externalLink155.xml"/><Relationship Id="rId177" Type="http://schemas.openxmlformats.org/officeDocument/2006/relationships/externalLink" Target="externalLinks/externalLink176.xml"/><Relationship Id="rId198" Type="http://schemas.openxmlformats.org/officeDocument/2006/relationships/externalLink" Target="externalLinks/externalLink197.xml"/><Relationship Id="rId321" Type="http://schemas.openxmlformats.org/officeDocument/2006/relationships/theme" Target="theme/theme1.xml"/><Relationship Id="rId202" Type="http://schemas.openxmlformats.org/officeDocument/2006/relationships/externalLink" Target="externalLinks/externalLink201.xml"/><Relationship Id="rId223" Type="http://schemas.openxmlformats.org/officeDocument/2006/relationships/externalLink" Target="externalLinks/externalLink222.xml"/><Relationship Id="rId244" Type="http://schemas.openxmlformats.org/officeDocument/2006/relationships/externalLink" Target="externalLinks/externalLink243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265" Type="http://schemas.openxmlformats.org/officeDocument/2006/relationships/externalLink" Target="externalLinks/externalLink264.xml"/><Relationship Id="rId286" Type="http://schemas.openxmlformats.org/officeDocument/2006/relationships/externalLink" Target="externalLinks/externalLink285.xml"/><Relationship Id="rId50" Type="http://schemas.openxmlformats.org/officeDocument/2006/relationships/externalLink" Target="externalLinks/externalLink49.xml"/><Relationship Id="rId104" Type="http://schemas.openxmlformats.org/officeDocument/2006/relationships/externalLink" Target="externalLinks/externalLink103.xml"/><Relationship Id="rId125" Type="http://schemas.openxmlformats.org/officeDocument/2006/relationships/externalLink" Target="externalLinks/externalLink124.xml"/><Relationship Id="rId146" Type="http://schemas.openxmlformats.org/officeDocument/2006/relationships/externalLink" Target="externalLinks/externalLink145.xml"/><Relationship Id="rId167" Type="http://schemas.openxmlformats.org/officeDocument/2006/relationships/externalLink" Target="externalLinks/externalLink166.xml"/><Relationship Id="rId188" Type="http://schemas.openxmlformats.org/officeDocument/2006/relationships/externalLink" Target="externalLinks/externalLink187.xml"/><Relationship Id="rId311" Type="http://schemas.openxmlformats.org/officeDocument/2006/relationships/externalLink" Target="externalLinks/externalLink310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13" Type="http://schemas.openxmlformats.org/officeDocument/2006/relationships/externalLink" Target="externalLinks/externalLink212.xml"/><Relationship Id="rId234" Type="http://schemas.openxmlformats.org/officeDocument/2006/relationships/externalLink" Target="externalLinks/externalLink233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55" Type="http://schemas.openxmlformats.org/officeDocument/2006/relationships/externalLink" Target="externalLinks/externalLink254.xml"/><Relationship Id="rId276" Type="http://schemas.openxmlformats.org/officeDocument/2006/relationships/externalLink" Target="externalLinks/externalLink275.xml"/><Relationship Id="rId297" Type="http://schemas.openxmlformats.org/officeDocument/2006/relationships/externalLink" Target="externalLinks/externalLink296.xml"/><Relationship Id="rId40" Type="http://schemas.openxmlformats.org/officeDocument/2006/relationships/externalLink" Target="externalLinks/externalLink39.xml"/><Relationship Id="rId115" Type="http://schemas.openxmlformats.org/officeDocument/2006/relationships/externalLink" Target="externalLinks/externalLink114.xml"/><Relationship Id="rId136" Type="http://schemas.openxmlformats.org/officeDocument/2006/relationships/externalLink" Target="externalLinks/externalLink135.xml"/><Relationship Id="rId157" Type="http://schemas.openxmlformats.org/officeDocument/2006/relationships/externalLink" Target="externalLinks/externalLink156.xml"/><Relationship Id="rId178" Type="http://schemas.openxmlformats.org/officeDocument/2006/relationships/externalLink" Target="externalLinks/externalLink177.xml"/><Relationship Id="rId301" Type="http://schemas.openxmlformats.org/officeDocument/2006/relationships/externalLink" Target="externalLinks/externalLink300.xml"/><Relationship Id="rId322" Type="http://schemas.openxmlformats.org/officeDocument/2006/relationships/styles" Target="styles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9" Type="http://schemas.openxmlformats.org/officeDocument/2006/relationships/externalLink" Target="externalLinks/externalLink198.xml"/><Relationship Id="rId203" Type="http://schemas.openxmlformats.org/officeDocument/2006/relationships/externalLink" Target="externalLinks/externalLink202.xml"/><Relationship Id="rId19" Type="http://schemas.openxmlformats.org/officeDocument/2006/relationships/externalLink" Target="externalLinks/externalLink18.xml"/><Relationship Id="rId224" Type="http://schemas.openxmlformats.org/officeDocument/2006/relationships/externalLink" Target="externalLinks/externalLink223.xml"/><Relationship Id="rId245" Type="http://schemas.openxmlformats.org/officeDocument/2006/relationships/externalLink" Target="externalLinks/externalLink244.xml"/><Relationship Id="rId266" Type="http://schemas.openxmlformats.org/officeDocument/2006/relationships/externalLink" Target="externalLinks/externalLink265.xml"/><Relationship Id="rId287" Type="http://schemas.openxmlformats.org/officeDocument/2006/relationships/externalLink" Target="externalLinks/externalLink286.xml"/><Relationship Id="rId30" Type="http://schemas.openxmlformats.org/officeDocument/2006/relationships/externalLink" Target="externalLinks/externalLink29.xml"/><Relationship Id="rId105" Type="http://schemas.openxmlformats.org/officeDocument/2006/relationships/externalLink" Target="externalLinks/externalLink104.xml"/><Relationship Id="rId126" Type="http://schemas.openxmlformats.org/officeDocument/2006/relationships/externalLink" Target="externalLinks/externalLink125.xml"/><Relationship Id="rId147" Type="http://schemas.openxmlformats.org/officeDocument/2006/relationships/externalLink" Target="externalLinks/externalLink146.xml"/><Relationship Id="rId168" Type="http://schemas.openxmlformats.org/officeDocument/2006/relationships/externalLink" Target="externalLinks/externalLink167.xml"/><Relationship Id="rId312" Type="http://schemas.openxmlformats.org/officeDocument/2006/relationships/externalLink" Target="externalLinks/externalLink311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189" Type="http://schemas.openxmlformats.org/officeDocument/2006/relationships/externalLink" Target="externalLinks/externalLink188.xml"/><Relationship Id="rId3" Type="http://schemas.openxmlformats.org/officeDocument/2006/relationships/externalLink" Target="externalLinks/externalLink2.xml"/><Relationship Id="rId214" Type="http://schemas.openxmlformats.org/officeDocument/2006/relationships/externalLink" Target="externalLinks/externalLink213.xml"/><Relationship Id="rId235" Type="http://schemas.openxmlformats.org/officeDocument/2006/relationships/externalLink" Target="externalLinks/externalLink234.xml"/><Relationship Id="rId256" Type="http://schemas.openxmlformats.org/officeDocument/2006/relationships/externalLink" Target="externalLinks/externalLink255.xml"/><Relationship Id="rId277" Type="http://schemas.openxmlformats.org/officeDocument/2006/relationships/externalLink" Target="externalLinks/externalLink276.xml"/><Relationship Id="rId298" Type="http://schemas.openxmlformats.org/officeDocument/2006/relationships/externalLink" Target="externalLinks/externalLink297.xml"/><Relationship Id="rId116" Type="http://schemas.openxmlformats.org/officeDocument/2006/relationships/externalLink" Target="externalLinks/externalLink115.xml"/><Relationship Id="rId137" Type="http://schemas.openxmlformats.org/officeDocument/2006/relationships/externalLink" Target="externalLinks/externalLink136.xml"/><Relationship Id="rId158" Type="http://schemas.openxmlformats.org/officeDocument/2006/relationships/externalLink" Target="externalLinks/externalLink157.xml"/><Relationship Id="rId302" Type="http://schemas.openxmlformats.org/officeDocument/2006/relationships/externalLink" Target="externalLinks/externalLink301.xml"/><Relationship Id="rId323" Type="http://schemas.openxmlformats.org/officeDocument/2006/relationships/sharedStrings" Target="sharedStrings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179" Type="http://schemas.openxmlformats.org/officeDocument/2006/relationships/externalLink" Target="externalLinks/externalLink178.xml"/><Relationship Id="rId190" Type="http://schemas.openxmlformats.org/officeDocument/2006/relationships/externalLink" Target="externalLinks/externalLink189.xml"/><Relationship Id="rId204" Type="http://schemas.openxmlformats.org/officeDocument/2006/relationships/externalLink" Target="externalLinks/externalLink203.xml"/><Relationship Id="rId225" Type="http://schemas.openxmlformats.org/officeDocument/2006/relationships/externalLink" Target="externalLinks/externalLink224.xml"/><Relationship Id="rId246" Type="http://schemas.openxmlformats.org/officeDocument/2006/relationships/externalLink" Target="externalLinks/externalLink245.xml"/><Relationship Id="rId267" Type="http://schemas.openxmlformats.org/officeDocument/2006/relationships/externalLink" Target="externalLinks/externalLink266.xml"/><Relationship Id="rId288" Type="http://schemas.openxmlformats.org/officeDocument/2006/relationships/externalLink" Target="externalLinks/externalLink287.xml"/><Relationship Id="rId106" Type="http://schemas.openxmlformats.org/officeDocument/2006/relationships/externalLink" Target="externalLinks/externalLink105.xml"/><Relationship Id="rId127" Type="http://schemas.openxmlformats.org/officeDocument/2006/relationships/externalLink" Target="externalLinks/externalLink126.xml"/><Relationship Id="rId313" Type="http://schemas.openxmlformats.org/officeDocument/2006/relationships/externalLink" Target="externalLinks/externalLink312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52" Type="http://schemas.openxmlformats.org/officeDocument/2006/relationships/externalLink" Target="externalLinks/externalLink51.xml"/><Relationship Id="rId73" Type="http://schemas.openxmlformats.org/officeDocument/2006/relationships/externalLink" Target="externalLinks/externalLink72.xml"/><Relationship Id="rId94" Type="http://schemas.openxmlformats.org/officeDocument/2006/relationships/externalLink" Target="externalLinks/externalLink93.xml"/><Relationship Id="rId148" Type="http://schemas.openxmlformats.org/officeDocument/2006/relationships/externalLink" Target="externalLinks/externalLink147.xml"/><Relationship Id="rId169" Type="http://schemas.openxmlformats.org/officeDocument/2006/relationships/externalLink" Target="externalLinks/externalLink168.xml"/><Relationship Id="rId4" Type="http://schemas.openxmlformats.org/officeDocument/2006/relationships/externalLink" Target="externalLinks/externalLink3.xml"/><Relationship Id="rId180" Type="http://schemas.openxmlformats.org/officeDocument/2006/relationships/externalLink" Target="externalLinks/externalLink179.xml"/><Relationship Id="rId215" Type="http://schemas.openxmlformats.org/officeDocument/2006/relationships/externalLink" Target="externalLinks/externalLink214.xml"/><Relationship Id="rId236" Type="http://schemas.openxmlformats.org/officeDocument/2006/relationships/externalLink" Target="externalLinks/externalLink235.xml"/><Relationship Id="rId257" Type="http://schemas.openxmlformats.org/officeDocument/2006/relationships/externalLink" Target="externalLinks/externalLink256.xml"/><Relationship Id="rId278" Type="http://schemas.openxmlformats.org/officeDocument/2006/relationships/externalLink" Target="externalLinks/externalLink277.xml"/><Relationship Id="rId303" Type="http://schemas.openxmlformats.org/officeDocument/2006/relationships/externalLink" Target="externalLinks/externalLink302.xml"/><Relationship Id="rId42" Type="http://schemas.openxmlformats.org/officeDocument/2006/relationships/externalLink" Target="externalLinks/externalLink41.xml"/><Relationship Id="rId84" Type="http://schemas.openxmlformats.org/officeDocument/2006/relationships/externalLink" Target="externalLinks/externalLink83.xml"/><Relationship Id="rId138" Type="http://schemas.openxmlformats.org/officeDocument/2006/relationships/externalLink" Target="externalLinks/externalLink137.xml"/><Relationship Id="rId191" Type="http://schemas.openxmlformats.org/officeDocument/2006/relationships/externalLink" Target="externalLinks/externalLink190.xml"/><Relationship Id="rId205" Type="http://schemas.openxmlformats.org/officeDocument/2006/relationships/externalLink" Target="externalLinks/externalLink204.xml"/><Relationship Id="rId247" Type="http://schemas.openxmlformats.org/officeDocument/2006/relationships/externalLink" Target="externalLinks/externalLink246.xml"/><Relationship Id="rId107" Type="http://schemas.openxmlformats.org/officeDocument/2006/relationships/externalLink" Target="externalLinks/externalLink106.xml"/><Relationship Id="rId289" Type="http://schemas.openxmlformats.org/officeDocument/2006/relationships/externalLink" Target="externalLinks/externalLink288.xml"/><Relationship Id="rId11" Type="http://schemas.openxmlformats.org/officeDocument/2006/relationships/externalLink" Target="externalLinks/externalLink10.xml"/><Relationship Id="rId53" Type="http://schemas.openxmlformats.org/officeDocument/2006/relationships/externalLink" Target="externalLinks/externalLink52.xml"/><Relationship Id="rId149" Type="http://schemas.openxmlformats.org/officeDocument/2006/relationships/externalLink" Target="externalLinks/externalLink148.xml"/><Relationship Id="rId314" Type="http://schemas.openxmlformats.org/officeDocument/2006/relationships/externalLink" Target="externalLinks/externalLink313.xml"/><Relationship Id="rId95" Type="http://schemas.openxmlformats.org/officeDocument/2006/relationships/externalLink" Target="externalLinks/externalLink94.xml"/><Relationship Id="rId160" Type="http://schemas.openxmlformats.org/officeDocument/2006/relationships/externalLink" Target="externalLinks/externalLink159.xml"/><Relationship Id="rId216" Type="http://schemas.openxmlformats.org/officeDocument/2006/relationships/externalLink" Target="externalLinks/externalLink215.xml"/><Relationship Id="rId258" Type="http://schemas.openxmlformats.org/officeDocument/2006/relationships/externalLink" Target="externalLinks/externalLink257.xml"/><Relationship Id="rId22" Type="http://schemas.openxmlformats.org/officeDocument/2006/relationships/externalLink" Target="externalLinks/externalLink21.xml"/><Relationship Id="rId64" Type="http://schemas.openxmlformats.org/officeDocument/2006/relationships/externalLink" Target="externalLinks/externalLink63.xml"/><Relationship Id="rId118" Type="http://schemas.openxmlformats.org/officeDocument/2006/relationships/externalLink" Target="externalLinks/externalLink117.xml"/><Relationship Id="rId171" Type="http://schemas.openxmlformats.org/officeDocument/2006/relationships/externalLink" Target="externalLinks/externalLink170.xml"/><Relationship Id="rId227" Type="http://schemas.openxmlformats.org/officeDocument/2006/relationships/externalLink" Target="externalLinks/externalLink226.xml"/><Relationship Id="rId269" Type="http://schemas.openxmlformats.org/officeDocument/2006/relationships/externalLink" Target="externalLinks/externalLink268.xml"/><Relationship Id="rId33" Type="http://schemas.openxmlformats.org/officeDocument/2006/relationships/externalLink" Target="externalLinks/externalLink32.xml"/><Relationship Id="rId129" Type="http://schemas.openxmlformats.org/officeDocument/2006/relationships/externalLink" Target="externalLinks/externalLink128.xml"/><Relationship Id="rId280" Type="http://schemas.openxmlformats.org/officeDocument/2006/relationships/externalLink" Target="externalLinks/externalLink279.xml"/><Relationship Id="rId75" Type="http://schemas.openxmlformats.org/officeDocument/2006/relationships/externalLink" Target="externalLinks/externalLink74.xml"/><Relationship Id="rId140" Type="http://schemas.openxmlformats.org/officeDocument/2006/relationships/externalLink" Target="externalLinks/externalLink139.xml"/><Relationship Id="rId182" Type="http://schemas.openxmlformats.org/officeDocument/2006/relationships/externalLink" Target="externalLinks/externalLink181.xml"/><Relationship Id="rId6" Type="http://schemas.openxmlformats.org/officeDocument/2006/relationships/externalLink" Target="externalLinks/externalLink5.xml"/><Relationship Id="rId238" Type="http://schemas.openxmlformats.org/officeDocument/2006/relationships/externalLink" Target="externalLinks/externalLink237.xml"/><Relationship Id="rId291" Type="http://schemas.openxmlformats.org/officeDocument/2006/relationships/externalLink" Target="externalLinks/externalLink290.xml"/><Relationship Id="rId305" Type="http://schemas.openxmlformats.org/officeDocument/2006/relationships/externalLink" Target="externalLinks/externalLink304.xml"/><Relationship Id="rId44" Type="http://schemas.openxmlformats.org/officeDocument/2006/relationships/externalLink" Target="externalLinks/externalLink43.xml"/><Relationship Id="rId86" Type="http://schemas.openxmlformats.org/officeDocument/2006/relationships/externalLink" Target="externalLinks/externalLink85.xml"/><Relationship Id="rId151" Type="http://schemas.openxmlformats.org/officeDocument/2006/relationships/externalLink" Target="externalLinks/externalLink150.xml"/><Relationship Id="rId193" Type="http://schemas.openxmlformats.org/officeDocument/2006/relationships/externalLink" Target="externalLinks/externalLink192.xml"/><Relationship Id="rId207" Type="http://schemas.openxmlformats.org/officeDocument/2006/relationships/externalLink" Target="externalLinks/externalLink206.xml"/><Relationship Id="rId249" Type="http://schemas.openxmlformats.org/officeDocument/2006/relationships/externalLink" Target="externalLinks/externalLink248.xml"/><Relationship Id="rId13" Type="http://schemas.openxmlformats.org/officeDocument/2006/relationships/externalLink" Target="externalLinks/externalLink12.xml"/><Relationship Id="rId109" Type="http://schemas.openxmlformats.org/officeDocument/2006/relationships/externalLink" Target="externalLinks/externalLink108.xml"/><Relationship Id="rId260" Type="http://schemas.openxmlformats.org/officeDocument/2006/relationships/externalLink" Target="externalLinks/externalLink259.xml"/><Relationship Id="rId316" Type="http://schemas.openxmlformats.org/officeDocument/2006/relationships/externalLink" Target="externalLinks/externalLink3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Sheet1!$E$1</c:f>
              <c:strCache>
                <c:ptCount val="1"/>
                <c:pt idx="0">
                  <c:v>lai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Sheet1!$E$2:$E$93</c:f>
              <c:numCache>
                <c:formatCode>General</c:formatCode>
                <c:ptCount val="92"/>
                <c:pt idx="0">
                  <c:v>0.48198452038168899</c:v>
                </c:pt>
                <c:pt idx="1">
                  <c:v>0.55648592001652797</c:v>
                </c:pt>
                <c:pt idx="2">
                  <c:v>0.46479154214941998</c:v>
                </c:pt>
                <c:pt idx="3">
                  <c:v>0.46479154214941998</c:v>
                </c:pt>
                <c:pt idx="4">
                  <c:v>0.32373909010368601</c:v>
                </c:pt>
                <c:pt idx="5">
                  <c:v>0.35894754795426698</c:v>
                </c:pt>
                <c:pt idx="6">
                  <c:v>0.34105245204573298</c:v>
                </c:pt>
                <c:pt idx="7">
                  <c:v>0.36479154214942</c:v>
                </c:pt>
                <c:pt idx="8">
                  <c:v>0.22373909010368601</c:v>
                </c:pt>
                <c:pt idx="9">
                  <c:v>0.150060191854889</c:v>
                </c:pt>
                <c:pt idx="10">
                  <c:v>1.09111264390062</c:v>
                </c:pt>
                <c:pt idx="11">
                  <c:v>1.3030433619042301</c:v>
                </c:pt>
                <c:pt idx="12">
                  <c:v>0.69987961629022299</c:v>
                </c:pt>
                <c:pt idx="13">
                  <c:v>0.55894754795426704</c:v>
                </c:pt>
                <c:pt idx="14">
                  <c:v>1.2729767805725301</c:v>
                </c:pt>
                <c:pt idx="15">
                  <c:v>1.87942465551032</c:v>
                </c:pt>
                <c:pt idx="16">
                  <c:v>0.78210490409146605</c:v>
                </c:pt>
                <c:pt idx="17">
                  <c:v>2.1509972007303202</c:v>
                </c:pt>
                <c:pt idx="18">
                  <c:v>1.79649725003281</c:v>
                </c:pt>
                <c:pt idx="19">
                  <c:v>1.6</c:v>
                </c:pt>
                <c:pt idx="20">
                  <c:v>0.81623382258069399</c:v>
                </c:pt>
                <c:pt idx="21">
                  <c:v>1.02303697242742</c:v>
                </c:pt>
                <c:pt idx="22">
                  <c:v>1.01381061197486</c:v>
                </c:pt>
                <c:pt idx="23">
                  <c:v>0.91405137939440995</c:v>
                </c:pt>
                <c:pt idx="24">
                  <c:v>0.409007739809155</c:v>
                </c:pt>
                <c:pt idx="25">
                  <c:v>0.90175951026147405</c:v>
                </c:pt>
                <c:pt idx="26">
                  <c:v>0.741052452045733</c:v>
                </c:pt>
                <c:pt idx="27">
                  <c:v>0.62620071804142496</c:v>
                </c:pt>
                <c:pt idx="28">
                  <c:v>0.5</c:v>
                </c:pt>
                <c:pt idx="29">
                  <c:v>0.16725317008715801</c:v>
                </c:pt>
                <c:pt idx="30">
                  <c:v>0.1</c:v>
                </c:pt>
                <c:pt idx="31">
                  <c:v>0.50900773980915504</c:v>
                </c:pt>
                <c:pt idx="32">
                  <c:v>1.0568734587364901</c:v>
                </c:pt>
                <c:pt idx="33">
                  <c:v>1.0568734587364901</c:v>
                </c:pt>
                <c:pt idx="34">
                  <c:v>1.0568734587364901</c:v>
                </c:pt>
                <c:pt idx="35">
                  <c:v>1.0568734587364901</c:v>
                </c:pt>
                <c:pt idx="36">
                  <c:v>1.0568734587364901</c:v>
                </c:pt>
                <c:pt idx="37">
                  <c:v>1.0568734587364901</c:v>
                </c:pt>
                <c:pt idx="38">
                  <c:v>1.0568734587364901</c:v>
                </c:pt>
                <c:pt idx="39">
                  <c:v>1.0568734587364901</c:v>
                </c:pt>
                <c:pt idx="40">
                  <c:v>1.0568734587364901</c:v>
                </c:pt>
                <c:pt idx="41">
                  <c:v>1.0568734587364901</c:v>
                </c:pt>
                <c:pt idx="42">
                  <c:v>1.0568734587364901</c:v>
                </c:pt>
                <c:pt idx="43">
                  <c:v>1.0568734587364901</c:v>
                </c:pt>
                <c:pt idx="44">
                  <c:v>1.0568734587364901</c:v>
                </c:pt>
                <c:pt idx="45">
                  <c:v>1.0568734587364901</c:v>
                </c:pt>
                <c:pt idx="46">
                  <c:v>1.0238594738134601</c:v>
                </c:pt>
                <c:pt idx="47">
                  <c:v>1.03520845785058</c:v>
                </c:pt>
                <c:pt idx="48">
                  <c:v>0.8</c:v>
                </c:pt>
                <c:pt idx="49">
                  <c:v>0.67379928195857497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0.441754569721997</c:v>
                </c:pt>
                <c:pt idx="55">
                  <c:v>0.42373909010368599</c:v>
                </c:pt>
                <c:pt idx="56">
                  <c:v>0.41473135029453101</c:v>
                </c:pt>
                <c:pt idx="57">
                  <c:v>0.47379928195857501</c:v>
                </c:pt>
                <c:pt idx="58">
                  <c:v>0.3</c:v>
                </c:pt>
                <c:pt idx="59">
                  <c:v>0.3</c:v>
                </c:pt>
                <c:pt idx="60">
                  <c:v>0.338470440398217</c:v>
                </c:pt>
                <c:pt idx="61">
                  <c:v>0.52385947381346398</c:v>
                </c:pt>
                <c:pt idx="62">
                  <c:v>0.95099720073032201</c:v>
                </c:pt>
                <c:pt idx="63">
                  <c:v>0.36491192585919702</c:v>
                </c:pt>
                <c:pt idx="64">
                  <c:v>0.36491192585919702</c:v>
                </c:pt>
                <c:pt idx="65">
                  <c:v>1.3343859564645399</c:v>
                </c:pt>
                <c:pt idx="66">
                  <c:v>1.54198946092117</c:v>
                </c:pt>
                <c:pt idx="67">
                  <c:v>0.74993980814511196</c:v>
                </c:pt>
                <c:pt idx="68">
                  <c:v>0.68923274992937</c:v>
                </c:pt>
                <c:pt idx="69">
                  <c:v>0.741052452045733</c:v>
                </c:pt>
                <c:pt idx="70">
                  <c:v>0.6</c:v>
                </c:pt>
                <c:pt idx="71">
                  <c:v>0.47626090989631398</c:v>
                </c:pt>
                <c:pt idx="72">
                  <c:v>0.3</c:v>
                </c:pt>
                <c:pt idx="73">
                  <c:v>0.19753837206226099</c:v>
                </c:pt>
                <c:pt idx="74">
                  <c:v>0.3</c:v>
                </c:pt>
                <c:pt idx="75">
                  <c:v>0.17626090989631399</c:v>
                </c:pt>
                <c:pt idx="76">
                  <c:v>0.27860215412427503</c:v>
                </c:pt>
                <c:pt idx="77">
                  <c:v>0.5</c:v>
                </c:pt>
                <c:pt idx="78">
                  <c:v>1.0568734587364901</c:v>
                </c:pt>
                <c:pt idx="79">
                  <c:v>1.0568734587364901</c:v>
                </c:pt>
                <c:pt idx="80">
                  <c:v>1.0568734587364901</c:v>
                </c:pt>
                <c:pt idx="81">
                  <c:v>1.0568734587364901</c:v>
                </c:pt>
                <c:pt idx="82">
                  <c:v>1.0568734587364901</c:v>
                </c:pt>
                <c:pt idx="83">
                  <c:v>1.0568734587364901</c:v>
                </c:pt>
                <c:pt idx="84">
                  <c:v>1.0568734587364901</c:v>
                </c:pt>
                <c:pt idx="85">
                  <c:v>1.0568734587364901</c:v>
                </c:pt>
                <c:pt idx="86">
                  <c:v>1.0568734587364901</c:v>
                </c:pt>
                <c:pt idx="87">
                  <c:v>1.0568734587364901</c:v>
                </c:pt>
                <c:pt idx="88">
                  <c:v>1.0568734587364901</c:v>
                </c:pt>
                <c:pt idx="89">
                  <c:v>1.0568734587364901</c:v>
                </c:pt>
                <c:pt idx="90">
                  <c:v>1.0568734587364901</c:v>
                </c:pt>
                <c:pt idx="91">
                  <c:v>1.8762609098963099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B-4126-99C8-65D375EDA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9516351"/>
        <c:axId val="1359517311"/>
      </c:lineChart>
      <c:catAx>
        <c:axId val="13595163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9517311"/>
        <c:crosses val="autoZero"/>
        <c:auto val="1"/>
        <c:lblAlgn val="ctr"/>
        <c:lblOffset val="100"/>
        <c:noMultiLvlLbl val="0"/>
      </c:catAx>
      <c:valAx>
        <c:axId val="135951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9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3</xdr:row>
      <xdr:rowOff>41910</xdr:rowOff>
    </xdr:from>
    <xdr:to>
      <xdr:col>15</xdr:col>
      <xdr:colOff>228600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30289A-AF2A-2786-F942-308A464A1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.csv" TargetMode="External"/><Relationship Id="rId2" Type="http://schemas.openxmlformats.org/officeDocument/2006/relationships/externalLinkPath" Target="file:///C:\Users\hawkj\Documents\Github\Kapiti%20spatial\LAI\Batch%20results\2018\LAI_18_Zone_1_01.csv" TargetMode="External"/><Relationship Id="rId1" Type="http://schemas.openxmlformats.org/officeDocument/2006/relationships/externalLinkPath" Target="/Users/hawkj/Documents/Github/Kapiti%20spatial/LAI/Batch%20results/2018/LAI_18_Zone_1_01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.csv" TargetMode="External"/><Relationship Id="rId2" Type="http://schemas.openxmlformats.org/officeDocument/2006/relationships/externalLinkPath" Target="file:///C:\Users\hawkj\Documents\Github\Kapiti%20spatial\LAI\Batch%20results\2018\LAI_18_Zone_1_02.csv" TargetMode="External"/><Relationship Id="rId1" Type="http://schemas.openxmlformats.org/officeDocument/2006/relationships/externalLinkPath" Target="/Users/hawkj/Documents/Github/Kapiti%20spatial/LAI/Batch%20results/2018/LAI_18_Zone_1_02.csv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.csv" TargetMode="External"/><Relationship Id="rId2" Type="http://schemas.openxmlformats.org/officeDocument/2006/relationships/externalLinkPath" Target="file:///C:\Users\hawkj\Documents\Github\Kapiti%20spatial\LAI\Batch%20results\2018\LAI_18_Zone_1_03.csv" TargetMode="External"/><Relationship Id="rId1" Type="http://schemas.openxmlformats.org/officeDocument/2006/relationships/externalLinkPath" Target="/Users/hawkj/Documents/Github/Kapiti%20spatial/LAI/Batch%20results/2018/LAI_18_Zone_1_03.csv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.csv" TargetMode="External"/><Relationship Id="rId2" Type="http://schemas.openxmlformats.org/officeDocument/2006/relationships/externalLinkPath" Target="file:///C:\Users\hawkj\Documents\Github\Kapiti%20spatial\LAI\Batch%20results\2018\LAI_18_Zone_1_04.csv" TargetMode="External"/><Relationship Id="rId1" Type="http://schemas.openxmlformats.org/officeDocument/2006/relationships/externalLinkPath" Target="/Users/hawkj/Documents/Github/Kapiti%20spatial/LAI/Batch%20results/2018/LAI_18_Zone_1_04.csv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5.csv" TargetMode="External"/><Relationship Id="rId2" Type="http://schemas.openxmlformats.org/officeDocument/2006/relationships/externalLinkPath" Target="file:///C:\Users\hawkj\Documents\Github\Kapiti%20spatial\LAI\Batch%20results\2018\LAI_18_Zone_1_05.csv" TargetMode="External"/><Relationship Id="rId1" Type="http://schemas.openxmlformats.org/officeDocument/2006/relationships/externalLinkPath" Target="/Users/hawkj/Documents/Github/Kapiti%20spatial/LAI/Batch%20results/2018/LAI_18_Zone_1_05.csv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6.csv" TargetMode="External"/><Relationship Id="rId2" Type="http://schemas.openxmlformats.org/officeDocument/2006/relationships/externalLinkPath" Target="file:///C:\Users\hawkj\Documents\Github\Kapiti%20spatial\LAI\Batch%20results\2018\LAI_18_Zone_1_06.csv" TargetMode="External"/><Relationship Id="rId1" Type="http://schemas.openxmlformats.org/officeDocument/2006/relationships/externalLinkPath" Target="/Users/hawkj/Documents/Github/Kapiti%20spatial/LAI/Batch%20results/2018/LAI_18_Zone_1_06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7.csv" TargetMode="External"/><Relationship Id="rId2" Type="http://schemas.openxmlformats.org/officeDocument/2006/relationships/externalLinkPath" Target="file:///C:\Users\hawkj\Documents\Github\Kapiti%20spatial\LAI\Batch%20results\2018\LAI_18_Zone_1_07.csv" TargetMode="External"/><Relationship Id="rId1" Type="http://schemas.openxmlformats.org/officeDocument/2006/relationships/externalLinkPath" Target="/Users/hawkj/Documents/Github/Kapiti%20spatial/LAI/Batch%20results/2018/LAI_18_Zone_1_07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8.csv" TargetMode="External"/><Relationship Id="rId2" Type="http://schemas.openxmlformats.org/officeDocument/2006/relationships/externalLinkPath" Target="file:///C:\Users\hawkj\Documents\Github\Kapiti%20spatial\LAI\Batch%20results\2018\LAI_18_Zone_1_08.csv" TargetMode="External"/><Relationship Id="rId1" Type="http://schemas.openxmlformats.org/officeDocument/2006/relationships/externalLinkPath" Target="/Users/hawkj/Documents/Github/Kapiti%20spatial/LAI/Batch%20results/2018/LAI_18_Zone_1_08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9.csv" TargetMode="External"/><Relationship Id="rId2" Type="http://schemas.openxmlformats.org/officeDocument/2006/relationships/externalLinkPath" Target="file:///C:\Users\hawkj\Documents\Github\Kapiti%20spatial\LAI\Batch%20results\2018\LAI_18_Zone_1_09.csv" TargetMode="External"/><Relationship Id="rId1" Type="http://schemas.openxmlformats.org/officeDocument/2006/relationships/externalLinkPath" Target="/Users/hawkj/Documents/Github/Kapiti%20spatial/LAI/Batch%20results/2018/LAI_18_Zone_1_09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0.csv" TargetMode="External"/><Relationship Id="rId2" Type="http://schemas.openxmlformats.org/officeDocument/2006/relationships/externalLinkPath" Target="file:///C:\Users\hawkj\Documents\Github\Kapiti%20spatial\LAI\Batch%20results\2018\LAI_18_Zone_1_010.csv" TargetMode="External"/><Relationship Id="rId1" Type="http://schemas.openxmlformats.org/officeDocument/2006/relationships/externalLinkPath" Target="/Users/hawkj/Documents/Github/Kapiti%20spatial/LAI/Batch%20results/2018/LAI_18_Zone_1_01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1.csv" TargetMode="External"/><Relationship Id="rId2" Type="http://schemas.openxmlformats.org/officeDocument/2006/relationships/externalLinkPath" Target="file:///C:\Users\hawkj\Documents\Github\Kapiti%20spatial\LAI\Batch%20results\2018\LAI_18_Zone_1_011.csv" TargetMode="External"/><Relationship Id="rId1" Type="http://schemas.openxmlformats.org/officeDocument/2006/relationships/externalLinkPath" Target="/Users/hawkj/Documents/Github/Kapiti%20spatial/LAI/Batch%20results/2018/LAI_18_Zone_1_011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2.csv" TargetMode="External"/><Relationship Id="rId2" Type="http://schemas.openxmlformats.org/officeDocument/2006/relationships/externalLinkPath" Target="file:///C:\Users\hawkj\Documents\Github\Kapiti%20spatial\LAI\Batch%20results\2018\LAI_18_Zone_1_012.csv" TargetMode="External"/><Relationship Id="rId1" Type="http://schemas.openxmlformats.org/officeDocument/2006/relationships/externalLinkPath" Target="/Users/hawkj/Documents/Github/Kapiti%20spatial/LAI/Batch%20results/2018/LAI_18_Zone_1_012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3.csv" TargetMode="External"/><Relationship Id="rId2" Type="http://schemas.openxmlformats.org/officeDocument/2006/relationships/externalLinkPath" Target="file:///C:\Users\hawkj\Documents\Github\Kapiti%20spatial\LAI\Batch%20results\2018\LAI_18_Zone_1_013.csv" TargetMode="External"/><Relationship Id="rId1" Type="http://schemas.openxmlformats.org/officeDocument/2006/relationships/externalLinkPath" Target="/Users/hawkj/Documents/Github/Kapiti%20spatial/LAI/Batch%20results/2018/LAI_18_Zone_1_013.csv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4.csv" TargetMode="External"/><Relationship Id="rId2" Type="http://schemas.openxmlformats.org/officeDocument/2006/relationships/externalLinkPath" Target="file:///C:\Users\hawkj\Documents\Github\Kapiti%20spatial\LAI\Batch%20results\2018\LAI_18_Zone_1_014.csv" TargetMode="External"/><Relationship Id="rId1" Type="http://schemas.openxmlformats.org/officeDocument/2006/relationships/externalLinkPath" Target="/Users/hawkj/Documents/Github/Kapiti%20spatial/LAI/Batch%20results/2018/LAI_18_Zone_1_014.csv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5.csv" TargetMode="External"/><Relationship Id="rId2" Type="http://schemas.openxmlformats.org/officeDocument/2006/relationships/externalLinkPath" Target="file:///C:\Users\hawkj\Documents\Github\Kapiti%20spatial\LAI\Batch%20results\2018\LAI_18_Zone_1_015.csv" TargetMode="External"/><Relationship Id="rId1" Type="http://schemas.openxmlformats.org/officeDocument/2006/relationships/externalLinkPath" Target="/Users/hawkj/Documents/Github/Kapiti%20spatial/LAI/Batch%20results/2018/LAI_18_Zone_1_015.csv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6.csv" TargetMode="External"/><Relationship Id="rId2" Type="http://schemas.openxmlformats.org/officeDocument/2006/relationships/externalLinkPath" Target="file:///C:\Users\hawkj\Documents\Github\Kapiti%20spatial\LAI\Batch%20results\2018\LAI_18_Zone_1_016.csv" TargetMode="External"/><Relationship Id="rId1" Type="http://schemas.openxmlformats.org/officeDocument/2006/relationships/externalLinkPath" Target="/Users/hawkj/Documents/Github/Kapiti%20spatial/LAI/Batch%20results/2018/LAI_18_Zone_1_016.csv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7.csv" TargetMode="External"/><Relationship Id="rId2" Type="http://schemas.openxmlformats.org/officeDocument/2006/relationships/externalLinkPath" Target="file:///C:\Users\hawkj\Documents\Github\Kapiti%20spatial\LAI\Batch%20results\2018\LAI_18_Zone_1_017.csv" TargetMode="External"/><Relationship Id="rId1" Type="http://schemas.openxmlformats.org/officeDocument/2006/relationships/externalLinkPath" Target="/Users/hawkj/Documents/Github/Kapiti%20spatial/LAI/Batch%20results/2018/LAI_18_Zone_1_017.csv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8.csv" TargetMode="External"/><Relationship Id="rId2" Type="http://schemas.openxmlformats.org/officeDocument/2006/relationships/externalLinkPath" Target="file:///C:\Users\hawkj\Documents\Github\Kapiti%20spatial\LAI\Batch%20results\2018\LAI_18_Zone_1_018.csv" TargetMode="External"/><Relationship Id="rId1" Type="http://schemas.openxmlformats.org/officeDocument/2006/relationships/externalLinkPath" Target="/Users/hawkj/Documents/Github/Kapiti%20spatial/LAI/Batch%20results/2018/LAI_18_Zone_1_018.csv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19.csv" TargetMode="External"/><Relationship Id="rId2" Type="http://schemas.openxmlformats.org/officeDocument/2006/relationships/externalLinkPath" Target="file:///C:\Users\hawkj\Documents\Github\Kapiti%20spatial\LAI\Batch%20results\2018\LAI_18_Zone_1_019.csv" TargetMode="External"/><Relationship Id="rId1" Type="http://schemas.openxmlformats.org/officeDocument/2006/relationships/externalLinkPath" Target="/Users/hawkj/Documents/Github/Kapiti%20spatial/LAI/Batch%20results/2018/LAI_18_Zone_1_019.csv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0.csv" TargetMode="External"/><Relationship Id="rId2" Type="http://schemas.openxmlformats.org/officeDocument/2006/relationships/externalLinkPath" Target="file:///C:\Users\hawkj\Documents\Github\Kapiti%20spatial\LAI\Batch%20results\2018\LAI_18_Zone_1_020.csv" TargetMode="External"/><Relationship Id="rId1" Type="http://schemas.openxmlformats.org/officeDocument/2006/relationships/externalLinkPath" Target="/Users/hawkj/Documents/Github/Kapiti%20spatial/LAI/Batch%20results/2018/LAI_18_Zone_1_020.csv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1.csv" TargetMode="External"/><Relationship Id="rId2" Type="http://schemas.openxmlformats.org/officeDocument/2006/relationships/externalLinkPath" Target="file:///C:\Users\hawkj\Documents\Github\Kapiti%20spatial\LAI\Batch%20results\2018\LAI_18_Zone_1_021.csv" TargetMode="External"/><Relationship Id="rId1" Type="http://schemas.openxmlformats.org/officeDocument/2006/relationships/externalLinkPath" Target="/Users/hawkj/Documents/Github/Kapiti%20spatial/LAI/Batch%20results/2018/LAI_18_Zone_1_021.csv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2.csv" TargetMode="External"/><Relationship Id="rId2" Type="http://schemas.openxmlformats.org/officeDocument/2006/relationships/externalLinkPath" Target="file:///C:\Users\hawkj\Documents\Github\Kapiti%20spatial\LAI\Batch%20results\2018\LAI_18_Zone_1_022.csv" TargetMode="External"/><Relationship Id="rId1" Type="http://schemas.openxmlformats.org/officeDocument/2006/relationships/externalLinkPath" Target="/Users/hawkj/Documents/Github/Kapiti%20spatial/LAI/Batch%20results/2018/LAI_18_Zone_1_022.csv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3.csv" TargetMode="External"/><Relationship Id="rId2" Type="http://schemas.openxmlformats.org/officeDocument/2006/relationships/externalLinkPath" Target="file:///C:\Users\hawkj\Documents\Github\Kapiti%20spatial\LAI\Batch%20results\2018\LAI_18_Zone_1_023.csv" TargetMode="External"/><Relationship Id="rId1" Type="http://schemas.openxmlformats.org/officeDocument/2006/relationships/externalLinkPath" Target="/Users/hawkj/Documents/Github/Kapiti%20spatial/LAI/Batch%20results/2018/LAI_18_Zone_1_023.csv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4.csv" TargetMode="External"/><Relationship Id="rId2" Type="http://schemas.openxmlformats.org/officeDocument/2006/relationships/externalLinkPath" Target="file:///C:\Users\hawkj\Documents\Github\Kapiti%20spatial\LAI\Batch%20results\2018\LAI_18_Zone_1_024.csv" TargetMode="External"/><Relationship Id="rId1" Type="http://schemas.openxmlformats.org/officeDocument/2006/relationships/externalLinkPath" Target="/Users/hawkj/Documents/Github/Kapiti%20spatial/LAI/Batch%20results/2018/LAI_18_Zone_1_024.csv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5.csv" TargetMode="External"/><Relationship Id="rId2" Type="http://schemas.openxmlformats.org/officeDocument/2006/relationships/externalLinkPath" Target="file:///C:\Users\hawkj\Documents\Github\Kapiti%20spatial\LAI\Batch%20results\2018\LAI_18_Zone_1_025.csv" TargetMode="External"/><Relationship Id="rId1" Type="http://schemas.openxmlformats.org/officeDocument/2006/relationships/externalLinkPath" Target="/Users/hawkj/Documents/Github/Kapiti%20spatial/LAI/Batch%20results/2018/LAI_18_Zone_1_025.csv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6.csv" TargetMode="External"/><Relationship Id="rId2" Type="http://schemas.openxmlformats.org/officeDocument/2006/relationships/externalLinkPath" Target="file:///C:\Users\hawkj\Documents\Github\Kapiti%20spatial\LAI\Batch%20results\2018\LAI_18_Zone_1_026.csv" TargetMode="External"/><Relationship Id="rId1" Type="http://schemas.openxmlformats.org/officeDocument/2006/relationships/externalLinkPath" Target="/Users/hawkj/Documents/Github/Kapiti%20spatial/LAI/Batch%20results/2018/LAI_18_Zone_1_026.csv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7.csv" TargetMode="External"/><Relationship Id="rId2" Type="http://schemas.openxmlformats.org/officeDocument/2006/relationships/externalLinkPath" Target="file:///C:\Users\hawkj\Documents\Github\Kapiti%20spatial\LAI\Batch%20results\2018\LAI_18_Zone_1_027.csv" TargetMode="External"/><Relationship Id="rId1" Type="http://schemas.openxmlformats.org/officeDocument/2006/relationships/externalLinkPath" Target="/Users/hawkj/Documents/Github/Kapiti%20spatial/LAI/Batch%20results/2018/LAI_18_Zone_1_027.csv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8.csv" TargetMode="External"/><Relationship Id="rId2" Type="http://schemas.openxmlformats.org/officeDocument/2006/relationships/externalLinkPath" Target="file:///C:\Users\hawkj\Documents\Github\Kapiti%20spatial\LAI\Batch%20results\2018\LAI_18_Zone_1_028.csv" TargetMode="External"/><Relationship Id="rId1" Type="http://schemas.openxmlformats.org/officeDocument/2006/relationships/externalLinkPath" Target="/Users/hawkj/Documents/Github/Kapiti%20spatial/LAI/Batch%20results/2018/LAI_18_Zone_1_028.csv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29.csv" TargetMode="External"/><Relationship Id="rId2" Type="http://schemas.openxmlformats.org/officeDocument/2006/relationships/externalLinkPath" Target="file:///C:\Users\hawkj\Documents\Github\Kapiti%20spatial\LAI\Batch%20results\2018\LAI_18_Zone_1_029.csv" TargetMode="External"/><Relationship Id="rId1" Type="http://schemas.openxmlformats.org/officeDocument/2006/relationships/externalLinkPath" Target="/Users/hawkj/Documents/Github/Kapiti%20spatial/LAI/Batch%20results/2018/LAI_18_Zone_1_029.csv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0.csv" TargetMode="External"/><Relationship Id="rId2" Type="http://schemas.openxmlformats.org/officeDocument/2006/relationships/externalLinkPath" Target="file:///C:\Users\hawkj\Documents\Github\Kapiti%20spatial\LAI\Batch%20results\2018\LAI_18_Zone_1_030.csv" TargetMode="External"/><Relationship Id="rId1" Type="http://schemas.openxmlformats.org/officeDocument/2006/relationships/externalLinkPath" Target="/Users/hawkj/Documents/Github/Kapiti%20spatial/LAI/Batch%20results/2018/LAI_18_Zone_1_030.csv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1.csv" TargetMode="External"/><Relationship Id="rId2" Type="http://schemas.openxmlformats.org/officeDocument/2006/relationships/externalLinkPath" Target="file:///C:\Users\hawkj\Documents\Github\Kapiti%20spatial\LAI\Batch%20results\2018\LAI_18_Zone_1_031.csv" TargetMode="External"/><Relationship Id="rId1" Type="http://schemas.openxmlformats.org/officeDocument/2006/relationships/externalLinkPath" Target="/Users/hawkj/Documents/Github/Kapiti%20spatial/LAI/Batch%20results/2018/LAI_18_Zone_1_031.csv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2.csv" TargetMode="External"/><Relationship Id="rId2" Type="http://schemas.openxmlformats.org/officeDocument/2006/relationships/externalLinkPath" Target="file:///C:\Users\hawkj\Documents\Github\Kapiti%20spatial\LAI\Batch%20results\2018\LAI_18_Zone_1_032.csv" TargetMode="External"/><Relationship Id="rId1" Type="http://schemas.openxmlformats.org/officeDocument/2006/relationships/externalLinkPath" Target="/Users/hawkj/Documents/Github/Kapiti%20spatial/LAI/Batch%20results/2018/LAI_18_Zone_1_032.csv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3.csv" TargetMode="External"/><Relationship Id="rId2" Type="http://schemas.openxmlformats.org/officeDocument/2006/relationships/externalLinkPath" Target="file:///C:\Users\hawkj\Documents\Github\Kapiti%20spatial\LAI\Batch%20results\2018\LAI_18_Zone_1_033.csv" TargetMode="External"/><Relationship Id="rId1" Type="http://schemas.openxmlformats.org/officeDocument/2006/relationships/externalLinkPath" Target="/Users/hawkj/Documents/Github/Kapiti%20spatial/LAI/Batch%20results/2018/LAI_18_Zone_1_033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4.csv" TargetMode="External"/><Relationship Id="rId2" Type="http://schemas.openxmlformats.org/officeDocument/2006/relationships/externalLinkPath" Target="file:///C:\Users\hawkj\Documents\Github\Kapiti%20spatial\LAI\Batch%20results\2018\LAI_18_Zone_1_034.csv" TargetMode="External"/><Relationship Id="rId1" Type="http://schemas.openxmlformats.org/officeDocument/2006/relationships/externalLinkPath" Target="/Users/hawkj/Documents/Github/Kapiti%20spatial/LAI/Batch%20results/2018/LAI_18_Zone_1_034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5.csv" TargetMode="External"/><Relationship Id="rId2" Type="http://schemas.openxmlformats.org/officeDocument/2006/relationships/externalLinkPath" Target="file:///C:\Users\hawkj\Documents\Github\Kapiti%20spatial\LAI\Batch%20results\2018\LAI_18_Zone_1_035.csv" TargetMode="External"/><Relationship Id="rId1" Type="http://schemas.openxmlformats.org/officeDocument/2006/relationships/externalLinkPath" Target="/Users/hawkj/Documents/Github/Kapiti%20spatial/LAI/Batch%20results/2018/LAI_18_Zone_1_035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6.csv" TargetMode="External"/><Relationship Id="rId2" Type="http://schemas.openxmlformats.org/officeDocument/2006/relationships/externalLinkPath" Target="file:///C:\Users\hawkj\Documents\Github\Kapiti%20spatial\LAI\Batch%20results\2018\LAI_18_Zone_1_036.csv" TargetMode="External"/><Relationship Id="rId1" Type="http://schemas.openxmlformats.org/officeDocument/2006/relationships/externalLinkPath" Target="/Users/hawkj/Documents/Github/Kapiti%20spatial/LAI/Batch%20results/2018/LAI_18_Zone_1_036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7.csv" TargetMode="External"/><Relationship Id="rId2" Type="http://schemas.openxmlformats.org/officeDocument/2006/relationships/externalLinkPath" Target="file:///C:\Users\hawkj\Documents\Github\Kapiti%20spatial\LAI\Batch%20results\2018\LAI_18_Zone_1_037.csv" TargetMode="External"/><Relationship Id="rId1" Type="http://schemas.openxmlformats.org/officeDocument/2006/relationships/externalLinkPath" Target="/Users/hawkj/Documents/Github/Kapiti%20spatial/LAI/Batch%20results/2018/LAI_18_Zone_1_037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8.csv" TargetMode="External"/><Relationship Id="rId2" Type="http://schemas.openxmlformats.org/officeDocument/2006/relationships/externalLinkPath" Target="file:///C:\Users\hawkj\Documents\Github\Kapiti%20spatial\LAI\Batch%20results\2018\LAI_18_Zone_1_038.csv" TargetMode="External"/><Relationship Id="rId1" Type="http://schemas.openxmlformats.org/officeDocument/2006/relationships/externalLinkPath" Target="/Users/hawkj/Documents/Github/Kapiti%20spatial/LAI/Batch%20results/2018/LAI_18_Zone_1_038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39.csv" TargetMode="External"/><Relationship Id="rId2" Type="http://schemas.openxmlformats.org/officeDocument/2006/relationships/externalLinkPath" Target="file:///C:\Users\hawkj\Documents\Github\Kapiti%20spatial\LAI\Batch%20results\2018\LAI_18_Zone_1_039.csv" TargetMode="External"/><Relationship Id="rId1" Type="http://schemas.openxmlformats.org/officeDocument/2006/relationships/externalLinkPath" Target="/Users/hawkj/Documents/Github/Kapiti%20spatial/LAI/Batch%20results/2018/LAI_18_Zone_1_039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0.csv" TargetMode="External"/><Relationship Id="rId2" Type="http://schemas.openxmlformats.org/officeDocument/2006/relationships/externalLinkPath" Target="file:///C:\Users\hawkj\Documents\Github\Kapiti%20spatial\LAI\Batch%20results\2018\LAI_18_Zone_1_040.csv" TargetMode="External"/><Relationship Id="rId1" Type="http://schemas.openxmlformats.org/officeDocument/2006/relationships/externalLinkPath" Target="/Users/hawkj/Documents/Github/Kapiti%20spatial/LAI/Batch%20results/2018/LAI_18_Zone_1_040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1.csv" TargetMode="External"/><Relationship Id="rId2" Type="http://schemas.openxmlformats.org/officeDocument/2006/relationships/externalLinkPath" Target="file:///C:\Users\hawkj\Documents\Github\Kapiti%20spatial\LAI\Batch%20results\2018\LAI_18_Zone_1_041.csv" TargetMode="External"/><Relationship Id="rId1" Type="http://schemas.openxmlformats.org/officeDocument/2006/relationships/externalLinkPath" Target="/Users/hawkj/Documents/Github/Kapiti%20spatial/LAI/Batch%20results/2018/LAI_18_Zone_1_041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2.csv" TargetMode="External"/><Relationship Id="rId2" Type="http://schemas.openxmlformats.org/officeDocument/2006/relationships/externalLinkPath" Target="file:///C:\Users\hawkj\Documents\Github\Kapiti%20spatial\LAI\Batch%20results\2018\LAI_18_Zone_1_042.csv" TargetMode="External"/><Relationship Id="rId1" Type="http://schemas.openxmlformats.org/officeDocument/2006/relationships/externalLinkPath" Target="/Users/hawkj/Documents/Github/Kapiti%20spatial/LAI/Batch%20results/2018/LAI_18_Zone_1_042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3.csv" TargetMode="External"/><Relationship Id="rId2" Type="http://schemas.openxmlformats.org/officeDocument/2006/relationships/externalLinkPath" Target="file:///C:\Users\hawkj\Documents\Github\Kapiti%20spatial\LAI\Batch%20results\2018\LAI_18_Zone_1_043.csv" TargetMode="External"/><Relationship Id="rId1" Type="http://schemas.openxmlformats.org/officeDocument/2006/relationships/externalLinkPath" Target="/Users/hawkj/Documents/Github/Kapiti%20spatial/LAI/Batch%20results/2018/LAI_18_Zone_1_043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4.csv" TargetMode="External"/><Relationship Id="rId2" Type="http://schemas.openxmlformats.org/officeDocument/2006/relationships/externalLinkPath" Target="file:///C:\Users\hawkj\Documents\Github\Kapiti%20spatial\LAI\Batch%20results\2018\LAI_18_Zone_1_044.csv" TargetMode="External"/><Relationship Id="rId1" Type="http://schemas.openxmlformats.org/officeDocument/2006/relationships/externalLinkPath" Target="/Users/hawkj/Documents/Github/Kapiti%20spatial/LAI/Batch%20results/2018/LAI_18_Zone_1_044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5.csv" TargetMode="External"/><Relationship Id="rId2" Type="http://schemas.openxmlformats.org/officeDocument/2006/relationships/externalLinkPath" Target="file:///C:\Users\hawkj\Documents\Github\Kapiti%20spatial\LAI\Batch%20results\2018\LAI_18_Zone_1_045.csv" TargetMode="External"/><Relationship Id="rId1" Type="http://schemas.openxmlformats.org/officeDocument/2006/relationships/externalLinkPath" Target="/Users/hawkj/Documents/Github/Kapiti%20spatial/LAI/Batch%20results/2018/LAI_18_Zone_1_045.csv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8/LAI_18_Zone_1_046.csv" TargetMode="External"/><Relationship Id="rId2" Type="http://schemas.openxmlformats.org/officeDocument/2006/relationships/externalLinkPath" Target="file:///C:\Users\hawkj\Documents\Github\Kapiti%20spatial\LAI\Batch%20results\2018\LAI_18_Zone_1_046.csv" TargetMode="External"/><Relationship Id="rId1" Type="http://schemas.openxmlformats.org/officeDocument/2006/relationships/externalLinkPath" Target="/Users/hawkj/Documents/Github/Kapiti%20spatial/LAI/Batch%20results/2018/LAI_18_Zone_1_046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.csv" TargetMode="External"/><Relationship Id="rId2" Type="http://schemas.openxmlformats.org/officeDocument/2006/relationships/externalLinkPath" Target="file:///C:\Users\hawkj\Documents\Github\Kapiti%20spatial\LAI\Batch%20results\2019\LAI_19_Zone_1_01.csv" TargetMode="External"/><Relationship Id="rId1" Type="http://schemas.openxmlformats.org/officeDocument/2006/relationships/externalLinkPath" Target="/Users/hawkj/Documents/Github/Kapiti%20spatial/LAI/Batch%20results/2019/LAI_19_Zone_1_01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.csv" TargetMode="External"/><Relationship Id="rId2" Type="http://schemas.openxmlformats.org/officeDocument/2006/relationships/externalLinkPath" Target="file:///C:\Users\hawkj\Documents\Github\Kapiti%20spatial\LAI\Batch%20results\2019\LAI_19_Zone_1_02.csv" TargetMode="External"/><Relationship Id="rId1" Type="http://schemas.openxmlformats.org/officeDocument/2006/relationships/externalLinkPath" Target="/Users/hawkj/Documents/Github/Kapiti%20spatial/LAI/Batch%20results/2019/LAI_19_Zone_1_02.csv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.csv" TargetMode="External"/><Relationship Id="rId2" Type="http://schemas.openxmlformats.org/officeDocument/2006/relationships/externalLinkPath" Target="file:///C:\Users\hawkj\Documents\Github\Kapiti%20spatial\LAI\Batch%20results\2019\LAI_19_Zone_1_03.csv" TargetMode="External"/><Relationship Id="rId1" Type="http://schemas.openxmlformats.org/officeDocument/2006/relationships/externalLinkPath" Target="/Users/hawkj/Documents/Github/Kapiti%20spatial/LAI/Batch%20results/2019/LAI_19_Zone_1_03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.csv" TargetMode="External"/><Relationship Id="rId2" Type="http://schemas.openxmlformats.org/officeDocument/2006/relationships/externalLinkPath" Target="file:///C:\Users\hawkj\Documents\Github\Kapiti%20spatial\LAI\Batch%20results\2019\LAI_19_Zone_1_04.csv" TargetMode="External"/><Relationship Id="rId1" Type="http://schemas.openxmlformats.org/officeDocument/2006/relationships/externalLinkPath" Target="/Users/hawkj/Documents/Github/Kapiti%20spatial/LAI/Batch%20results/2019/LAI_19_Zone_1_04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5.csv" TargetMode="External"/><Relationship Id="rId2" Type="http://schemas.openxmlformats.org/officeDocument/2006/relationships/externalLinkPath" Target="file:///C:\Users\hawkj\Documents\Github\Kapiti%20spatial\LAI\Batch%20results\2019\LAI_19_Zone_1_05.csv" TargetMode="External"/><Relationship Id="rId1" Type="http://schemas.openxmlformats.org/officeDocument/2006/relationships/externalLinkPath" Target="/Users/hawkj/Documents/Github/Kapiti%20spatial/LAI/Batch%20results/2019/LAI_19_Zone_1_05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6.csv" TargetMode="External"/><Relationship Id="rId2" Type="http://schemas.openxmlformats.org/officeDocument/2006/relationships/externalLinkPath" Target="file:///C:\Users\hawkj\Documents\Github\Kapiti%20spatial\LAI\Batch%20results\2019\LAI_19_Zone_1_06.csv" TargetMode="External"/><Relationship Id="rId1" Type="http://schemas.openxmlformats.org/officeDocument/2006/relationships/externalLinkPath" Target="/Users/hawkj/Documents/Github/Kapiti%20spatial/LAI/Batch%20results/2019/LAI_19_Zone_1_06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7.csv" TargetMode="External"/><Relationship Id="rId2" Type="http://schemas.openxmlformats.org/officeDocument/2006/relationships/externalLinkPath" Target="file:///C:\Users\hawkj\Documents\Github\Kapiti%20spatial\LAI\Batch%20results\2019\LAI_19_Zone_1_07.csv" TargetMode="External"/><Relationship Id="rId1" Type="http://schemas.openxmlformats.org/officeDocument/2006/relationships/externalLinkPath" Target="/Users/hawkj/Documents/Github/Kapiti%20spatial/LAI/Batch%20results/2019/LAI_19_Zone_1_07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8.csv" TargetMode="External"/><Relationship Id="rId2" Type="http://schemas.openxmlformats.org/officeDocument/2006/relationships/externalLinkPath" Target="file:///C:\Users\hawkj\Documents\Github\Kapiti%20spatial\LAI\Batch%20results\2019\LAI_19_Zone_1_08.csv" TargetMode="External"/><Relationship Id="rId1" Type="http://schemas.openxmlformats.org/officeDocument/2006/relationships/externalLinkPath" Target="/Users/hawkj/Documents/Github/Kapiti%20spatial/LAI/Batch%20results/2019/LAI_19_Zone_1_08.csv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9.csv" TargetMode="External"/><Relationship Id="rId2" Type="http://schemas.openxmlformats.org/officeDocument/2006/relationships/externalLinkPath" Target="file:///C:\Users\hawkj\Documents\Github\Kapiti%20spatial\LAI\Batch%20results\2019\LAI_19_Zone_1_09.csv" TargetMode="External"/><Relationship Id="rId1" Type="http://schemas.openxmlformats.org/officeDocument/2006/relationships/externalLinkPath" Target="/Users/hawkj/Documents/Github/Kapiti%20spatial/LAI/Batch%20results/2019/LAI_19_Zone_1_09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0.csv" TargetMode="External"/><Relationship Id="rId2" Type="http://schemas.openxmlformats.org/officeDocument/2006/relationships/externalLinkPath" Target="file:///C:\Users\hawkj\Documents\Github\Kapiti%20spatial\LAI\Batch%20results\2019\LAI_19_Zone_1_010.csv" TargetMode="External"/><Relationship Id="rId1" Type="http://schemas.openxmlformats.org/officeDocument/2006/relationships/externalLinkPath" Target="/Users/hawkj/Documents/Github/Kapiti%20spatial/LAI/Batch%20results/2019/LAI_19_Zone_1_010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1.csv" TargetMode="External"/><Relationship Id="rId2" Type="http://schemas.openxmlformats.org/officeDocument/2006/relationships/externalLinkPath" Target="file:///C:\Users\hawkj\Documents\Github\Kapiti%20spatial\LAI\Batch%20results\2019\LAI_19_Zone_1_011.csv" TargetMode="External"/><Relationship Id="rId1" Type="http://schemas.openxmlformats.org/officeDocument/2006/relationships/externalLinkPath" Target="/Users/hawkj/Documents/Github/Kapiti%20spatial/LAI/Batch%20results/2019/LAI_19_Zone_1_011.csv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2.csv" TargetMode="External"/><Relationship Id="rId2" Type="http://schemas.openxmlformats.org/officeDocument/2006/relationships/externalLinkPath" Target="file:///C:\Users\hawkj\Documents\Github\Kapiti%20spatial\LAI\Batch%20results\2019\LAI_19_Zone_1_012.csv" TargetMode="External"/><Relationship Id="rId1" Type="http://schemas.openxmlformats.org/officeDocument/2006/relationships/externalLinkPath" Target="/Users/hawkj/Documents/Github/Kapiti%20spatial/LAI/Batch%20results/2019/LAI_19_Zone_1_012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3.csv" TargetMode="External"/><Relationship Id="rId2" Type="http://schemas.openxmlformats.org/officeDocument/2006/relationships/externalLinkPath" Target="file:///C:\Users\hawkj\Documents\Github\Kapiti%20spatial\LAI\Batch%20results\2019\LAI_19_Zone_1_013.csv" TargetMode="External"/><Relationship Id="rId1" Type="http://schemas.openxmlformats.org/officeDocument/2006/relationships/externalLinkPath" Target="/Users/hawkj/Documents/Github/Kapiti%20spatial/LAI/Batch%20results/2019/LAI_19_Zone_1_013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4.csv" TargetMode="External"/><Relationship Id="rId2" Type="http://schemas.openxmlformats.org/officeDocument/2006/relationships/externalLinkPath" Target="file:///C:\Users\hawkj\Documents\Github\Kapiti%20spatial\LAI\Batch%20results\2019\LAI_19_Zone_1_014.csv" TargetMode="External"/><Relationship Id="rId1" Type="http://schemas.openxmlformats.org/officeDocument/2006/relationships/externalLinkPath" Target="/Users/hawkj/Documents/Github/Kapiti%20spatial/LAI/Batch%20results/2019/LAI_19_Zone_1_014.csv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5.csv" TargetMode="External"/><Relationship Id="rId2" Type="http://schemas.openxmlformats.org/officeDocument/2006/relationships/externalLinkPath" Target="file:///C:\Users\hawkj\Documents\Github\Kapiti%20spatial\LAI\Batch%20results\2019\LAI_19_Zone_1_015.csv" TargetMode="External"/><Relationship Id="rId1" Type="http://schemas.openxmlformats.org/officeDocument/2006/relationships/externalLinkPath" Target="/Users/hawkj/Documents/Github/Kapiti%20spatial/LAI/Batch%20results/2019/LAI_19_Zone_1_015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6.csv" TargetMode="External"/><Relationship Id="rId2" Type="http://schemas.openxmlformats.org/officeDocument/2006/relationships/externalLinkPath" Target="file:///C:\Users\hawkj\Documents\Github\Kapiti%20spatial\LAI\Batch%20results\2019\LAI_19_Zone_1_016.csv" TargetMode="External"/><Relationship Id="rId1" Type="http://schemas.openxmlformats.org/officeDocument/2006/relationships/externalLinkPath" Target="/Users/hawkj/Documents/Github/Kapiti%20spatial/LAI/Batch%20results/2019/LAI_19_Zone_1_016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7.csv" TargetMode="External"/><Relationship Id="rId2" Type="http://schemas.openxmlformats.org/officeDocument/2006/relationships/externalLinkPath" Target="file:///C:\Users\hawkj\Documents\Github\Kapiti%20spatial\LAI\Batch%20results\2019\LAI_19_Zone_1_017.csv" TargetMode="External"/><Relationship Id="rId1" Type="http://schemas.openxmlformats.org/officeDocument/2006/relationships/externalLinkPath" Target="/Users/hawkj/Documents/Github/Kapiti%20spatial/LAI/Batch%20results/2019/LAI_19_Zone_1_017.csv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19.csv" TargetMode="External"/><Relationship Id="rId2" Type="http://schemas.openxmlformats.org/officeDocument/2006/relationships/externalLinkPath" Target="file:///C:\Users\hawkj\Documents\Github\Kapiti%20spatial\LAI\Batch%20results\2019\LAI_19_Zone_1_019.csv" TargetMode="External"/><Relationship Id="rId1" Type="http://schemas.openxmlformats.org/officeDocument/2006/relationships/externalLinkPath" Target="/Users/hawkj/Documents/Github/Kapiti%20spatial/LAI/Batch%20results/2019/LAI_19_Zone_1_019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0.csv" TargetMode="External"/><Relationship Id="rId2" Type="http://schemas.openxmlformats.org/officeDocument/2006/relationships/externalLinkPath" Target="file:///C:\Users\hawkj\Documents\Github\Kapiti%20spatial\LAI\Batch%20results\2019\LAI_19_Zone_1_020.csv" TargetMode="External"/><Relationship Id="rId1" Type="http://schemas.openxmlformats.org/officeDocument/2006/relationships/externalLinkPath" Target="/Users/hawkj/Documents/Github/Kapiti%20spatial/LAI/Batch%20results/2019/LAI_19_Zone_1_020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1.csv" TargetMode="External"/><Relationship Id="rId2" Type="http://schemas.openxmlformats.org/officeDocument/2006/relationships/externalLinkPath" Target="file:///C:\Users\hawkj\Documents\Github\Kapiti%20spatial\LAI\Batch%20results\2019\LAI_19_Zone_1_021.csv" TargetMode="External"/><Relationship Id="rId1" Type="http://schemas.openxmlformats.org/officeDocument/2006/relationships/externalLinkPath" Target="/Users/hawkj/Documents/Github/Kapiti%20spatial/LAI/Batch%20results/2019/LAI_19_Zone_1_021.csv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2.csv" TargetMode="External"/><Relationship Id="rId2" Type="http://schemas.openxmlformats.org/officeDocument/2006/relationships/externalLinkPath" Target="file:///C:\Users\hawkj\Documents\Github\Kapiti%20spatial\LAI\Batch%20results\2019\LAI_19_Zone_1_022.csv" TargetMode="External"/><Relationship Id="rId1" Type="http://schemas.openxmlformats.org/officeDocument/2006/relationships/externalLinkPath" Target="/Users/hawkj/Documents/Github/Kapiti%20spatial/LAI/Batch%20results/2019/LAI_19_Zone_1_022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3.csv" TargetMode="External"/><Relationship Id="rId2" Type="http://schemas.openxmlformats.org/officeDocument/2006/relationships/externalLinkPath" Target="file:///C:\Users\hawkj\Documents\Github\Kapiti%20spatial\LAI\Batch%20results\2019\LAI_19_Zone_1_023.csv" TargetMode="External"/><Relationship Id="rId1" Type="http://schemas.openxmlformats.org/officeDocument/2006/relationships/externalLinkPath" Target="/Users/hawkj/Documents/Github/Kapiti%20spatial/LAI/Batch%20results/2019/LAI_19_Zone_1_023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4.csv" TargetMode="External"/><Relationship Id="rId2" Type="http://schemas.openxmlformats.org/officeDocument/2006/relationships/externalLinkPath" Target="file:///C:\Users\hawkj\Documents\Github\Kapiti%20spatial\LAI\Batch%20results\2019\LAI_19_Zone_1_024.csv" TargetMode="External"/><Relationship Id="rId1" Type="http://schemas.openxmlformats.org/officeDocument/2006/relationships/externalLinkPath" Target="/Users/hawkj/Documents/Github/Kapiti%20spatial/LAI/Batch%20results/2019/LAI_19_Zone_1_024.csv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5.csv" TargetMode="External"/><Relationship Id="rId2" Type="http://schemas.openxmlformats.org/officeDocument/2006/relationships/externalLinkPath" Target="file:///C:\Users\hawkj\Documents\Github\Kapiti%20spatial\LAI\Batch%20results\2019\LAI_19_Zone_1_025.csv" TargetMode="External"/><Relationship Id="rId1" Type="http://schemas.openxmlformats.org/officeDocument/2006/relationships/externalLinkPath" Target="/Users/hawkj/Documents/Github/Kapiti%20spatial/LAI/Batch%20results/2019/LAI_19_Zone_1_025.csv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6.csv" TargetMode="External"/><Relationship Id="rId2" Type="http://schemas.openxmlformats.org/officeDocument/2006/relationships/externalLinkPath" Target="file:///C:\Users\hawkj\Documents\Github\Kapiti%20spatial\LAI\Batch%20results\2019\LAI_19_Zone_1_026.csv" TargetMode="External"/><Relationship Id="rId1" Type="http://schemas.openxmlformats.org/officeDocument/2006/relationships/externalLinkPath" Target="/Users/hawkj/Documents/Github/Kapiti%20spatial/LAI/Batch%20results/2019/LAI_19_Zone_1_026.csv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7.csv" TargetMode="External"/><Relationship Id="rId2" Type="http://schemas.openxmlformats.org/officeDocument/2006/relationships/externalLinkPath" Target="file:///C:\Users\hawkj\Documents\Github\Kapiti%20spatial\LAI\Batch%20results\2019\LAI_19_Zone_1_027.csv" TargetMode="External"/><Relationship Id="rId1" Type="http://schemas.openxmlformats.org/officeDocument/2006/relationships/externalLinkPath" Target="/Users/hawkj/Documents/Github/Kapiti%20spatial/LAI/Batch%20results/2019/LAI_19_Zone_1_027.csv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8.csv" TargetMode="External"/><Relationship Id="rId2" Type="http://schemas.openxmlformats.org/officeDocument/2006/relationships/externalLinkPath" Target="file:///C:\Users\hawkj\Documents\Github\Kapiti%20spatial\LAI\Batch%20results\2019\LAI_19_Zone_1_028.csv" TargetMode="External"/><Relationship Id="rId1" Type="http://schemas.openxmlformats.org/officeDocument/2006/relationships/externalLinkPath" Target="/Users/hawkj/Documents/Github/Kapiti%20spatial/LAI/Batch%20results/2019/LAI_19_Zone_1_028.csv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29.csv" TargetMode="External"/><Relationship Id="rId2" Type="http://schemas.openxmlformats.org/officeDocument/2006/relationships/externalLinkPath" Target="file:///C:\Users\hawkj\Documents\Github\Kapiti%20spatial\LAI\Batch%20results\2019\LAI_19_Zone_1_029.csv" TargetMode="External"/><Relationship Id="rId1" Type="http://schemas.openxmlformats.org/officeDocument/2006/relationships/externalLinkPath" Target="/Users/hawkj/Documents/Github/Kapiti%20spatial/LAI/Batch%20results/2019/LAI_19_Zone_1_029.csv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0.csv" TargetMode="External"/><Relationship Id="rId2" Type="http://schemas.openxmlformats.org/officeDocument/2006/relationships/externalLinkPath" Target="file:///C:\Users\hawkj\Documents\Github\Kapiti%20spatial\LAI\Batch%20results\2019\LAI_19_Zone_1_030.csv" TargetMode="External"/><Relationship Id="rId1" Type="http://schemas.openxmlformats.org/officeDocument/2006/relationships/externalLinkPath" Target="/Users/hawkj/Documents/Github/Kapiti%20spatial/LAI/Batch%20results/2019/LAI_19_Zone_1_030.csv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1.csv" TargetMode="External"/><Relationship Id="rId2" Type="http://schemas.openxmlformats.org/officeDocument/2006/relationships/externalLinkPath" Target="file:///C:\Users\hawkj\Documents\Github\Kapiti%20spatial\LAI\Batch%20results\2019\LAI_19_Zone_1_031.csv" TargetMode="External"/><Relationship Id="rId1" Type="http://schemas.openxmlformats.org/officeDocument/2006/relationships/externalLinkPath" Target="/Users/hawkj/Documents/Github/Kapiti%20spatial/LAI/Batch%20results/2019/LAI_19_Zone_1_031.csv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2.csv" TargetMode="External"/><Relationship Id="rId2" Type="http://schemas.openxmlformats.org/officeDocument/2006/relationships/externalLinkPath" Target="file:///C:\Users\hawkj\Documents\Github\Kapiti%20spatial\LAI\Batch%20results\2019\LAI_19_Zone_1_032.csv" TargetMode="External"/><Relationship Id="rId1" Type="http://schemas.openxmlformats.org/officeDocument/2006/relationships/externalLinkPath" Target="/Users/hawkj/Documents/Github/Kapiti%20spatial/LAI/Batch%20results/2019/LAI_19_Zone_1_032.csv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3.csv" TargetMode="External"/><Relationship Id="rId2" Type="http://schemas.openxmlformats.org/officeDocument/2006/relationships/externalLinkPath" Target="file:///C:\Users\hawkj\Documents\Github\Kapiti%20spatial\LAI\Batch%20results\2019\LAI_19_Zone_1_033.csv" TargetMode="External"/><Relationship Id="rId1" Type="http://schemas.openxmlformats.org/officeDocument/2006/relationships/externalLinkPath" Target="/Users/hawkj/Documents/Github/Kapiti%20spatial/LAI/Batch%20results/2019/LAI_19_Zone_1_033.csv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4.csv" TargetMode="External"/><Relationship Id="rId2" Type="http://schemas.openxmlformats.org/officeDocument/2006/relationships/externalLinkPath" Target="file:///C:\Users\hawkj\Documents\Github\Kapiti%20spatial\LAI\Batch%20results\2019\LAI_19_Zone_1_034.csv" TargetMode="External"/><Relationship Id="rId1" Type="http://schemas.openxmlformats.org/officeDocument/2006/relationships/externalLinkPath" Target="/Users/hawkj/Documents/Github/Kapiti%20spatial/LAI/Batch%20results/2019/LAI_19_Zone_1_034.csv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5.csv" TargetMode="External"/><Relationship Id="rId2" Type="http://schemas.openxmlformats.org/officeDocument/2006/relationships/externalLinkPath" Target="file:///C:\Users\hawkj\Documents\Github\Kapiti%20spatial\LAI\Batch%20results\2019\LAI_19_Zone_1_035.csv" TargetMode="External"/><Relationship Id="rId1" Type="http://schemas.openxmlformats.org/officeDocument/2006/relationships/externalLinkPath" Target="/Users/hawkj/Documents/Github/Kapiti%20spatial/LAI/Batch%20results/2019/LAI_19_Zone_1_035.csv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6.csv" TargetMode="External"/><Relationship Id="rId2" Type="http://schemas.openxmlformats.org/officeDocument/2006/relationships/externalLinkPath" Target="file:///C:\Users\hawkj\Documents\Github\Kapiti%20spatial\LAI\Batch%20results\2019\LAI_19_Zone_1_036.csv" TargetMode="External"/><Relationship Id="rId1" Type="http://schemas.openxmlformats.org/officeDocument/2006/relationships/externalLinkPath" Target="/Users/hawkj/Documents/Github/Kapiti%20spatial/LAI/Batch%20results/2019/LAI_19_Zone_1_036.csv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7.csv" TargetMode="External"/><Relationship Id="rId2" Type="http://schemas.openxmlformats.org/officeDocument/2006/relationships/externalLinkPath" Target="file:///C:\Users\hawkj\Documents\Github\Kapiti%20spatial\LAI\Batch%20results\2019\LAI_19_Zone_1_037.csv" TargetMode="External"/><Relationship Id="rId1" Type="http://schemas.openxmlformats.org/officeDocument/2006/relationships/externalLinkPath" Target="/Users/hawkj/Documents/Github/Kapiti%20spatial/LAI/Batch%20results/2019/LAI_19_Zone_1_037.csv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8.csv" TargetMode="External"/><Relationship Id="rId2" Type="http://schemas.openxmlformats.org/officeDocument/2006/relationships/externalLinkPath" Target="file:///C:\Users\hawkj\Documents\Github\Kapiti%20spatial\LAI\Batch%20results\2019\LAI_19_Zone_1_038.csv" TargetMode="External"/><Relationship Id="rId1" Type="http://schemas.openxmlformats.org/officeDocument/2006/relationships/externalLinkPath" Target="/Users/hawkj/Documents/Github/Kapiti%20spatial/LAI/Batch%20results/2019/LAI_19_Zone_1_038.csv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39.csv" TargetMode="External"/><Relationship Id="rId2" Type="http://schemas.openxmlformats.org/officeDocument/2006/relationships/externalLinkPath" Target="file:///C:\Users\hawkj\Documents\Github\Kapiti%20spatial\LAI\Batch%20results\2019\LAI_19_Zone_1_039.csv" TargetMode="External"/><Relationship Id="rId1" Type="http://schemas.openxmlformats.org/officeDocument/2006/relationships/externalLinkPath" Target="/Users/hawkj/Documents/Github/Kapiti%20spatial/LAI/Batch%20results/2019/LAI_19_Zone_1_039.csv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0.csv" TargetMode="External"/><Relationship Id="rId2" Type="http://schemas.openxmlformats.org/officeDocument/2006/relationships/externalLinkPath" Target="file:///C:\Users\hawkj\Documents\Github\Kapiti%20spatial\LAI\Batch%20results\2019\LAI_19_Zone_1_040.csv" TargetMode="External"/><Relationship Id="rId1" Type="http://schemas.openxmlformats.org/officeDocument/2006/relationships/externalLinkPath" Target="/Users/hawkj/Documents/Github/Kapiti%20spatial/LAI/Batch%20results/2019/LAI_19_Zone_1_040.csv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1.csv" TargetMode="External"/><Relationship Id="rId2" Type="http://schemas.openxmlformats.org/officeDocument/2006/relationships/externalLinkPath" Target="file:///C:\Users\hawkj\Documents\Github\Kapiti%20spatial\LAI\Batch%20results\2019\LAI_19_Zone_1_041.csv" TargetMode="External"/><Relationship Id="rId1" Type="http://schemas.openxmlformats.org/officeDocument/2006/relationships/externalLinkPath" Target="/Users/hawkj/Documents/Github/Kapiti%20spatial/LAI/Batch%20results/2019/LAI_19_Zone_1_041.csv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2.csv" TargetMode="External"/><Relationship Id="rId2" Type="http://schemas.openxmlformats.org/officeDocument/2006/relationships/externalLinkPath" Target="file:///C:\Users\hawkj\Documents\Github\Kapiti%20spatial\LAI\Batch%20results\2019\LAI_19_Zone_1_042.csv" TargetMode="External"/><Relationship Id="rId1" Type="http://schemas.openxmlformats.org/officeDocument/2006/relationships/externalLinkPath" Target="/Users/hawkj/Documents/Github/Kapiti%20spatial/LAI/Batch%20results/2019/LAI_19_Zone_1_042.csv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3.csv" TargetMode="External"/><Relationship Id="rId2" Type="http://schemas.openxmlformats.org/officeDocument/2006/relationships/externalLinkPath" Target="file:///C:\Users\hawkj\Documents\Github\Kapiti%20spatial\LAI\Batch%20results\2019\LAI_19_Zone_1_043.csv" TargetMode="External"/><Relationship Id="rId1" Type="http://schemas.openxmlformats.org/officeDocument/2006/relationships/externalLinkPath" Target="/Users/hawkj/Documents/Github/Kapiti%20spatial/LAI/Batch%20results/2019/LAI_19_Zone_1_043.csv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4.csv" TargetMode="External"/><Relationship Id="rId2" Type="http://schemas.openxmlformats.org/officeDocument/2006/relationships/externalLinkPath" Target="file:///C:\Users\hawkj\Documents\Github\Kapiti%20spatial\LAI\Batch%20results\2019\LAI_19_Zone_1_044.csv" TargetMode="External"/><Relationship Id="rId1" Type="http://schemas.openxmlformats.org/officeDocument/2006/relationships/externalLinkPath" Target="/Users/hawkj/Documents/Github/Kapiti%20spatial/LAI/Batch%20results/2019/LAI_19_Zone_1_044.csv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19/LAI_19_Zone_1_045.csv" TargetMode="External"/><Relationship Id="rId2" Type="http://schemas.openxmlformats.org/officeDocument/2006/relationships/externalLinkPath" Target="file:///C:\Users\hawkj\Documents\Github\Kapiti%20spatial\LAI\Batch%20results\2019\LAI_19_Zone_1_045.csv" TargetMode="External"/><Relationship Id="rId1" Type="http://schemas.openxmlformats.org/officeDocument/2006/relationships/externalLinkPath" Target="/Users/hawkj/Documents/Github/Kapiti%20spatial/LAI/Batch%20results/2019/LAI_19_Zone_1_045.csv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.csv" TargetMode="External"/><Relationship Id="rId2" Type="http://schemas.openxmlformats.org/officeDocument/2006/relationships/externalLinkPath" Target="file:///C:\Users\hawkj\Documents\Github\Kapiti%20spatial\LAI\Batch%20results\2020\LAI_20_Zone_1_01.csv" TargetMode="External"/><Relationship Id="rId1" Type="http://schemas.openxmlformats.org/officeDocument/2006/relationships/externalLinkPath" Target="/Users/hawkj/Documents/Github/Kapiti%20spatial/LAI/Batch%20results/2020/LAI_20_Zone_1_01.csv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.csv" TargetMode="External"/><Relationship Id="rId2" Type="http://schemas.openxmlformats.org/officeDocument/2006/relationships/externalLinkPath" Target="file:///C:\Users\hawkj\Documents\Github\Kapiti%20spatial\LAI\Batch%20results\2020\LAI_20_Zone_1_02.csv" TargetMode="External"/><Relationship Id="rId1" Type="http://schemas.openxmlformats.org/officeDocument/2006/relationships/externalLinkPath" Target="/Users/hawkj/Documents/Github/Kapiti%20spatial/LAI/Batch%20results/2020/LAI_20_Zone_1_02.csv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.csv" TargetMode="External"/><Relationship Id="rId2" Type="http://schemas.openxmlformats.org/officeDocument/2006/relationships/externalLinkPath" Target="file:///C:\Users\hawkj\Documents\Github\Kapiti%20spatial\LAI\Batch%20results\2020\LAI_20_Zone_1_03.csv" TargetMode="External"/><Relationship Id="rId1" Type="http://schemas.openxmlformats.org/officeDocument/2006/relationships/externalLinkPath" Target="/Users/hawkj/Documents/Github/Kapiti%20spatial/LAI/Batch%20results/2020/LAI_20_Zone_1_03.csv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.csv" TargetMode="External"/><Relationship Id="rId2" Type="http://schemas.openxmlformats.org/officeDocument/2006/relationships/externalLinkPath" Target="file:///C:\Users\hawkj\Documents\Github\Kapiti%20spatial\LAI\Batch%20results\2020\LAI_20_Zone_1_04.csv" TargetMode="External"/><Relationship Id="rId1" Type="http://schemas.openxmlformats.org/officeDocument/2006/relationships/externalLinkPath" Target="/Users/hawkj/Documents/Github/Kapiti%20spatial/LAI/Batch%20results/2020/LAI_20_Zone_1_04.csv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5.csv" TargetMode="External"/><Relationship Id="rId2" Type="http://schemas.openxmlformats.org/officeDocument/2006/relationships/externalLinkPath" Target="file:///C:\Users\hawkj\Documents\Github\Kapiti%20spatial\LAI\Batch%20results\2020\LAI_20_Zone_1_05.csv" TargetMode="External"/><Relationship Id="rId1" Type="http://schemas.openxmlformats.org/officeDocument/2006/relationships/externalLinkPath" Target="/Users/hawkj/Documents/Github/Kapiti%20spatial/LAI/Batch%20results/2020/LAI_20_Zone_1_05.csv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6.csv" TargetMode="External"/><Relationship Id="rId2" Type="http://schemas.openxmlformats.org/officeDocument/2006/relationships/externalLinkPath" Target="file:///C:\Users\hawkj\Documents\Github\Kapiti%20spatial\LAI\Batch%20results\2020\LAI_20_Zone_1_06.csv" TargetMode="External"/><Relationship Id="rId1" Type="http://schemas.openxmlformats.org/officeDocument/2006/relationships/externalLinkPath" Target="/Users/hawkj/Documents/Github/Kapiti%20spatial/LAI/Batch%20results/2020/LAI_20_Zone_1_06.csv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7.csv" TargetMode="External"/><Relationship Id="rId2" Type="http://schemas.openxmlformats.org/officeDocument/2006/relationships/externalLinkPath" Target="file:///C:\Users\hawkj\Documents\Github\Kapiti%20spatial\LAI\Batch%20results\2020\LAI_20_Zone_1_07.csv" TargetMode="External"/><Relationship Id="rId1" Type="http://schemas.openxmlformats.org/officeDocument/2006/relationships/externalLinkPath" Target="/Users/hawkj/Documents/Github/Kapiti%20spatial/LAI/Batch%20results/2020/LAI_20_Zone_1_07.csv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8.csv" TargetMode="External"/><Relationship Id="rId2" Type="http://schemas.openxmlformats.org/officeDocument/2006/relationships/externalLinkPath" Target="file:///C:\Users\hawkj\Documents\Github\Kapiti%20spatial\LAI\Batch%20results\2020\LAI_20_Zone_1_08.csv" TargetMode="External"/><Relationship Id="rId1" Type="http://schemas.openxmlformats.org/officeDocument/2006/relationships/externalLinkPath" Target="/Users/hawkj/Documents/Github/Kapiti%20spatial/LAI/Batch%20results/2020/LAI_20_Zone_1_08.csv" TargetMode="External"/></Relationships>
</file>

<file path=xl/externalLinks/_rels/externalLink9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9.csv" TargetMode="External"/><Relationship Id="rId2" Type="http://schemas.openxmlformats.org/officeDocument/2006/relationships/externalLinkPath" Target="file:///C:\Users\hawkj\Documents\Github\Kapiti%20spatial\LAI\Batch%20results\2020\LAI_20_Zone_1_09.csv" TargetMode="External"/><Relationship Id="rId1" Type="http://schemas.openxmlformats.org/officeDocument/2006/relationships/externalLinkPath" Target="/Users/hawkj/Documents/Github/Kapiti%20spatial/LAI/Batch%20results/2020/LAI_20_Zone_1_09.csv" TargetMode="External"/></Relationships>
</file>

<file path=xl/externalLinks/_rels/externalLink10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0.csv" TargetMode="External"/><Relationship Id="rId2" Type="http://schemas.openxmlformats.org/officeDocument/2006/relationships/externalLinkPath" Target="file:///C:\Users\hawkj\Documents\Github\Kapiti%20spatial\LAI\Batch%20results\2020\LAI_20_Zone_1_010.csv" TargetMode="External"/><Relationship Id="rId1" Type="http://schemas.openxmlformats.org/officeDocument/2006/relationships/externalLinkPath" Target="/Users/hawkj/Documents/Github/Kapiti%20spatial/LAI/Batch%20results/2020/LAI_20_Zone_1_010.csv" TargetMode="External"/></Relationships>
</file>

<file path=xl/externalLinks/_rels/externalLink10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1.csv" TargetMode="External"/><Relationship Id="rId2" Type="http://schemas.openxmlformats.org/officeDocument/2006/relationships/externalLinkPath" Target="file:///C:\Users\hawkj\Documents\Github\Kapiti%20spatial\LAI\Batch%20results\2020\LAI_20_Zone_1_011.csv" TargetMode="External"/><Relationship Id="rId1" Type="http://schemas.openxmlformats.org/officeDocument/2006/relationships/externalLinkPath" Target="/Users/hawkj/Documents/Github/Kapiti%20spatial/LAI/Batch%20results/2020/LAI_20_Zone_1_011.csv" TargetMode="External"/></Relationships>
</file>

<file path=xl/externalLinks/_rels/externalLink10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2.csv" TargetMode="External"/><Relationship Id="rId2" Type="http://schemas.openxmlformats.org/officeDocument/2006/relationships/externalLinkPath" Target="file:///C:\Users\hawkj\Documents\Github\Kapiti%20spatial\LAI\Batch%20results\2020\LAI_20_Zone_1_012.csv" TargetMode="External"/><Relationship Id="rId1" Type="http://schemas.openxmlformats.org/officeDocument/2006/relationships/externalLinkPath" Target="/Users/hawkj/Documents/Github/Kapiti%20spatial/LAI/Batch%20results/2020/LAI_20_Zone_1_012.csv" TargetMode="External"/></Relationships>
</file>

<file path=xl/externalLinks/_rels/externalLink10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3.csv" TargetMode="External"/><Relationship Id="rId2" Type="http://schemas.openxmlformats.org/officeDocument/2006/relationships/externalLinkPath" Target="file:///C:\Users\hawkj\Documents\Github\Kapiti%20spatial\LAI\Batch%20results\2020\LAI_20_Zone_1_013.csv" TargetMode="External"/><Relationship Id="rId1" Type="http://schemas.openxmlformats.org/officeDocument/2006/relationships/externalLinkPath" Target="/Users/hawkj/Documents/Github/Kapiti%20spatial/LAI/Batch%20results/2020/LAI_20_Zone_1_013.csv" TargetMode="External"/></Relationships>
</file>

<file path=xl/externalLinks/_rels/externalLink10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4.csv" TargetMode="External"/><Relationship Id="rId2" Type="http://schemas.openxmlformats.org/officeDocument/2006/relationships/externalLinkPath" Target="file:///C:\Users\hawkj\Documents\Github\Kapiti%20spatial\LAI\Batch%20results\2020\LAI_20_Zone_1_014.csv" TargetMode="External"/><Relationship Id="rId1" Type="http://schemas.openxmlformats.org/officeDocument/2006/relationships/externalLinkPath" Target="/Users/hawkj/Documents/Github/Kapiti%20spatial/LAI/Batch%20results/2020/LAI_20_Zone_1_014.csv" TargetMode="External"/></Relationships>
</file>

<file path=xl/externalLinks/_rels/externalLink10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5.csv" TargetMode="External"/><Relationship Id="rId2" Type="http://schemas.openxmlformats.org/officeDocument/2006/relationships/externalLinkPath" Target="file:///C:\Users\hawkj\Documents\Github\Kapiti%20spatial\LAI\Batch%20results\2020\LAI_20_Zone_1_015.csv" TargetMode="External"/><Relationship Id="rId1" Type="http://schemas.openxmlformats.org/officeDocument/2006/relationships/externalLinkPath" Target="/Users/hawkj/Documents/Github/Kapiti%20spatial/LAI/Batch%20results/2020/LAI_20_Zone_1_015.csv" TargetMode="External"/></Relationships>
</file>

<file path=xl/externalLinks/_rels/externalLink10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6.csv" TargetMode="External"/><Relationship Id="rId2" Type="http://schemas.openxmlformats.org/officeDocument/2006/relationships/externalLinkPath" Target="file:///C:\Users\hawkj\Documents\Github\Kapiti%20spatial\LAI\Batch%20results\2020\LAI_20_Zone_1_016.csv" TargetMode="External"/><Relationship Id="rId1" Type="http://schemas.openxmlformats.org/officeDocument/2006/relationships/externalLinkPath" Target="/Users/hawkj/Documents/Github/Kapiti%20spatial/LAI/Batch%20results/2020/LAI_20_Zone_1_016.csv" TargetMode="External"/></Relationships>
</file>

<file path=xl/externalLinks/_rels/externalLink10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7.csv" TargetMode="External"/><Relationship Id="rId2" Type="http://schemas.openxmlformats.org/officeDocument/2006/relationships/externalLinkPath" Target="file:///C:\Users\hawkj\Documents\Github\Kapiti%20spatial\LAI\Batch%20results\2020\LAI_20_Zone_1_017.csv" TargetMode="External"/><Relationship Id="rId1" Type="http://schemas.openxmlformats.org/officeDocument/2006/relationships/externalLinkPath" Target="/Users/hawkj/Documents/Github/Kapiti%20spatial/LAI/Batch%20results/2020/LAI_20_Zone_1_017.csv" TargetMode="External"/></Relationships>
</file>

<file path=xl/externalLinks/_rels/externalLink10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8.csv" TargetMode="External"/><Relationship Id="rId2" Type="http://schemas.openxmlformats.org/officeDocument/2006/relationships/externalLinkPath" Target="file:///C:\Users\hawkj\Documents\Github\Kapiti%20spatial\LAI\Batch%20results\2020\LAI_20_Zone_1_018.csv" TargetMode="External"/><Relationship Id="rId1" Type="http://schemas.openxmlformats.org/officeDocument/2006/relationships/externalLinkPath" Target="/Users/hawkj/Documents/Github/Kapiti%20spatial/LAI/Batch%20results/2020/LAI_20_Zone_1_018.csv" TargetMode="External"/></Relationships>
</file>

<file path=xl/externalLinks/_rels/externalLink10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19.csv" TargetMode="External"/><Relationship Id="rId2" Type="http://schemas.openxmlformats.org/officeDocument/2006/relationships/externalLinkPath" Target="file:///C:\Users\hawkj\Documents\Github\Kapiti%20spatial\LAI\Batch%20results\2020\LAI_20_Zone_1_019.csv" TargetMode="External"/><Relationship Id="rId1" Type="http://schemas.openxmlformats.org/officeDocument/2006/relationships/externalLinkPath" Target="/Users/hawkj/Documents/Github/Kapiti%20spatial/LAI/Batch%20results/2020/LAI_20_Zone_1_019.csv" TargetMode="External"/></Relationships>
</file>

<file path=xl/externalLinks/_rels/externalLink1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0.csv" TargetMode="External"/><Relationship Id="rId2" Type="http://schemas.openxmlformats.org/officeDocument/2006/relationships/externalLinkPath" Target="file:///C:\Users\hawkj\Documents\Github\Kapiti%20spatial\LAI\Batch%20results\2020\LAI_20_Zone_1_020.csv" TargetMode="External"/><Relationship Id="rId1" Type="http://schemas.openxmlformats.org/officeDocument/2006/relationships/externalLinkPath" Target="/Users/hawkj/Documents/Github/Kapiti%20spatial/LAI/Batch%20results/2020/LAI_20_Zone_1_020.csv" TargetMode="External"/></Relationships>
</file>

<file path=xl/externalLinks/_rels/externalLink1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1.csv" TargetMode="External"/><Relationship Id="rId2" Type="http://schemas.openxmlformats.org/officeDocument/2006/relationships/externalLinkPath" Target="file:///C:\Users\hawkj\Documents\Github\Kapiti%20spatial\LAI\Batch%20results\2020\LAI_20_Zone_1_021.csv" TargetMode="External"/><Relationship Id="rId1" Type="http://schemas.openxmlformats.org/officeDocument/2006/relationships/externalLinkPath" Target="/Users/hawkj/Documents/Github/Kapiti%20spatial/LAI/Batch%20results/2020/LAI_20_Zone_1_021.csv" TargetMode="External"/></Relationships>
</file>

<file path=xl/externalLinks/_rels/externalLink1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2.csv" TargetMode="External"/><Relationship Id="rId2" Type="http://schemas.openxmlformats.org/officeDocument/2006/relationships/externalLinkPath" Target="file:///C:\Users\hawkj\Documents\Github\Kapiti%20spatial\LAI\Batch%20results\2020\LAI_20_Zone_1_022.csv" TargetMode="External"/><Relationship Id="rId1" Type="http://schemas.openxmlformats.org/officeDocument/2006/relationships/externalLinkPath" Target="/Users/hawkj/Documents/Github/Kapiti%20spatial/LAI/Batch%20results/2020/LAI_20_Zone_1_022.csv" TargetMode="External"/></Relationships>
</file>

<file path=xl/externalLinks/_rels/externalLink1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3.csv" TargetMode="External"/><Relationship Id="rId2" Type="http://schemas.openxmlformats.org/officeDocument/2006/relationships/externalLinkPath" Target="file:///C:\Users\hawkj\Documents\Github\Kapiti%20spatial\LAI\Batch%20results\2020\LAI_20_Zone_1_023.csv" TargetMode="External"/><Relationship Id="rId1" Type="http://schemas.openxmlformats.org/officeDocument/2006/relationships/externalLinkPath" Target="/Users/hawkj/Documents/Github/Kapiti%20spatial/LAI/Batch%20results/2020/LAI_20_Zone_1_023.csv" TargetMode="External"/></Relationships>
</file>

<file path=xl/externalLinks/_rels/externalLink1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4.csv" TargetMode="External"/><Relationship Id="rId2" Type="http://schemas.openxmlformats.org/officeDocument/2006/relationships/externalLinkPath" Target="file:///C:\Users\hawkj\Documents\Github\Kapiti%20spatial\LAI\Batch%20results\2020\LAI_20_Zone_1_024.csv" TargetMode="External"/><Relationship Id="rId1" Type="http://schemas.openxmlformats.org/officeDocument/2006/relationships/externalLinkPath" Target="/Users/hawkj/Documents/Github/Kapiti%20spatial/LAI/Batch%20results/2020/LAI_20_Zone_1_024.csv" TargetMode="External"/></Relationships>
</file>

<file path=xl/externalLinks/_rels/externalLink1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5.csv" TargetMode="External"/><Relationship Id="rId2" Type="http://schemas.openxmlformats.org/officeDocument/2006/relationships/externalLinkPath" Target="file:///C:\Users\hawkj\Documents\Github\Kapiti%20spatial\LAI\Batch%20results\2020\LAI_20_Zone_1_025.csv" TargetMode="External"/><Relationship Id="rId1" Type="http://schemas.openxmlformats.org/officeDocument/2006/relationships/externalLinkPath" Target="/Users/hawkj/Documents/Github/Kapiti%20spatial/LAI/Batch%20results/2020/LAI_20_Zone_1_025.csv" TargetMode="External"/></Relationships>
</file>

<file path=xl/externalLinks/_rels/externalLink1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6.csv" TargetMode="External"/><Relationship Id="rId2" Type="http://schemas.openxmlformats.org/officeDocument/2006/relationships/externalLinkPath" Target="file:///C:\Users\hawkj\Documents\Github\Kapiti%20spatial\LAI\Batch%20results\2020\LAI_20_Zone_1_026.csv" TargetMode="External"/><Relationship Id="rId1" Type="http://schemas.openxmlformats.org/officeDocument/2006/relationships/externalLinkPath" Target="/Users/hawkj/Documents/Github/Kapiti%20spatial/LAI/Batch%20results/2020/LAI_20_Zone_1_026.csv" TargetMode="External"/></Relationships>
</file>

<file path=xl/externalLinks/_rels/externalLink1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7.csv" TargetMode="External"/><Relationship Id="rId2" Type="http://schemas.openxmlformats.org/officeDocument/2006/relationships/externalLinkPath" Target="file:///C:\Users\hawkj\Documents\Github\Kapiti%20spatial\LAI\Batch%20results\2020\LAI_20_Zone_1_027.csv" TargetMode="External"/><Relationship Id="rId1" Type="http://schemas.openxmlformats.org/officeDocument/2006/relationships/externalLinkPath" Target="/Users/hawkj/Documents/Github/Kapiti%20spatial/LAI/Batch%20results/2020/LAI_20_Zone_1_027.csv" TargetMode="External"/></Relationships>
</file>

<file path=xl/externalLinks/_rels/externalLink1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8.csv" TargetMode="External"/><Relationship Id="rId2" Type="http://schemas.openxmlformats.org/officeDocument/2006/relationships/externalLinkPath" Target="file:///C:\Users\hawkj\Documents\Github\Kapiti%20spatial\LAI\Batch%20results\2020\LAI_20_Zone_1_028.csv" TargetMode="External"/><Relationship Id="rId1" Type="http://schemas.openxmlformats.org/officeDocument/2006/relationships/externalLinkPath" Target="/Users/hawkj/Documents/Github/Kapiti%20spatial/LAI/Batch%20results/2020/LAI_20_Zone_1_028.csv" TargetMode="External"/></Relationships>
</file>

<file path=xl/externalLinks/_rels/externalLink1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29.csv" TargetMode="External"/><Relationship Id="rId2" Type="http://schemas.openxmlformats.org/officeDocument/2006/relationships/externalLinkPath" Target="file:///C:\Users\hawkj\Documents\Github\Kapiti%20spatial\LAI\Batch%20results\2020\LAI_20_Zone_1_029.csv" TargetMode="External"/><Relationship Id="rId1" Type="http://schemas.openxmlformats.org/officeDocument/2006/relationships/externalLinkPath" Target="/Users/hawkj/Documents/Github/Kapiti%20spatial/LAI/Batch%20results/2020/LAI_20_Zone_1_029.csv" TargetMode="External"/></Relationships>
</file>

<file path=xl/externalLinks/_rels/externalLink1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0.csv" TargetMode="External"/><Relationship Id="rId2" Type="http://schemas.openxmlformats.org/officeDocument/2006/relationships/externalLinkPath" Target="file:///C:\Users\hawkj\Documents\Github\Kapiti%20spatial\LAI\Batch%20results\2020\LAI_20_Zone_1_030.csv" TargetMode="External"/><Relationship Id="rId1" Type="http://schemas.openxmlformats.org/officeDocument/2006/relationships/externalLinkPath" Target="/Users/hawkj/Documents/Github/Kapiti%20spatial/LAI/Batch%20results/2020/LAI_20_Zone_1_030.csv" TargetMode="External"/></Relationships>
</file>

<file path=xl/externalLinks/_rels/externalLink1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1.csv" TargetMode="External"/><Relationship Id="rId2" Type="http://schemas.openxmlformats.org/officeDocument/2006/relationships/externalLinkPath" Target="file:///C:\Users\hawkj\Documents\Github\Kapiti%20spatial\LAI\Batch%20results\2020\LAI_20_Zone_1_031.csv" TargetMode="External"/><Relationship Id="rId1" Type="http://schemas.openxmlformats.org/officeDocument/2006/relationships/externalLinkPath" Target="/Users/hawkj/Documents/Github/Kapiti%20spatial/LAI/Batch%20results/2020/LAI_20_Zone_1_031.csv" TargetMode="External"/></Relationships>
</file>

<file path=xl/externalLinks/_rels/externalLink1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2.csv" TargetMode="External"/><Relationship Id="rId2" Type="http://schemas.openxmlformats.org/officeDocument/2006/relationships/externalLinkPath" Target="file:///C:\Users\hawkj\Documents\Github\Kapiti%20spatial\LAI\Batch%20results\2020\LAI_20_Zone_1_032.csv" TargetMode="External"/><Relationship Id="rId1" Type="http://schemas.openxmlformats.org/officeDocument/2006/relationships/externalLinkPath" Target="/Users/hawkj/Documents/Github/Kapiti%20spatial/LAI/Batch%20results/2020/LAI_20_Zone_1_032.csv" TargetMode="External"/></Relationships>
</file>

<file path=xl/externalLinks/_rels/externalLink1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3.csv" TargetMode="External"/><Relationship Id="rId2" Type="http://schemas.openxmlformats.org/officeDocument/2006/relationships/externalLinkPath" Target="file:///C:\Users\hawkj\Documents\Github\Kapiti%20spatial\LAI\Batch%20results\2020\LAI_20_Zone_1_033.csv" TargetMode="External"/><Relationship Id="rId1" Type="http://schemas.openxmlformats.org/officeDocument/2006/relationships/externalLinkPath" Target="/Users/hawkj/Documents/Github/Kapiti%20spatial/LAI/Batch%20results/2020/LAI_20_Zone_1_033.csv" TargetMode="External"/></Relationships>
</file>

<file path=xl/externalLinks/_rels/externalLink1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4.csv" TargetMode="External"/><Relationship Id="rId2" Type="http://schemas.openxmlformats.org/officeDocument/2006/relationships/externalLinkPath" Target="file:///C:\Users\hawkj\Documents\Github\Kapiti%20spatial\LAI\Batch%20results\2020\LAI_20_Zone_1_034.csv" TargetMode="External"/><Relationship Id="rId1" Type="http://schemas.openxmlformats.org/officeDocument/2006/relationships/externalLinkPath" Target="/Users/hawkj/Documents/Github/Kapiti%20spatial/LAI/Batch%20results/2020/LAI_20_Zone_1_034.csv" TargetMode="External"/></Relationships>
</file>

<file path=xl/externalLinks/_rels/externalLink1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5.csv" TargetMode="External"/><Relationship Id="rId2" Type="http://schemas.openxmlformats.org/officeDocument/2006/relationships/externalLinkPath" Target="file:///C:\Users\hawkj\Documents\Github\Kapiti%20spatial\LAI\Batch%20results\2020\LAI_20_Zone_1_035.csv" TargetMode="External"/><Relationship Id="rId1" Type="http://schemas.openxmlformats.org/officeDocument/2006/relationships/externalLinkPath" Target="/Users/hawkj/Documents/Github/Kapiti%20spatial/LAI/Batch%20results/2020/LAI_20_Zone_1_035.csv" TargetMode="External"/></Relationships>
</file>

<file path=xl/externalLinks/_rels/externalLink1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6.csv" TargetMode="External"/><Relationship Id="rId2" Type="http://schemas.openxmlformats.org/officeDocument/2006/relationships/externalLinkPath" Target="file:///C:\Users\hawkj\Documents\Github\Kapiti%20spatial\LAI\Batch%20results\2020\LAI_20_Zone_1_036.csv" TargetMode="External"/><Relationship Id="rId1" Type="http://schemas.openxmlformats.org/officeDocument/2006/relationships/externalLinkPath" Target="/Users/hawkj/Documents/Github/Kapiti%20spatial/LAI/Batch%20results/2020/LAI_20_Zone_1_036.csv" TargetMode="External"/></Relationships>
</file>

<file path=xl/externalLinks/_rels/externalLink1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7.csv" TargetMode="External"/><Relationship Id="rId2" Type="http://schemas.openxmlformats.org/officeDocument/2006/relationships/externalLinkPath" Target="file:///C:\Users\hawkj\Documents\Github\Kapiti%20spatial\LAI\Batch%20results\2020\LAI_20_Zone_1_037.csv" TargetMode="External"/><Relationship Id="rId1" Type="http://schemas.openxmlformats.org/officeDocument/2006/relationships/externalLinkPath" Target="/Users/hawkj/Documents/Github/Kapiti%20spatial/LAI/Batch%20results/2020/LAI_20_Zone_1_037.csv" TargetMode="External"/></Relationships>
</file>

<file path=xl/externalLinks/_rels/externalLink1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8.csv" TargetMode="External"/><Relationship Id="rId2" Type="http://schemas.openxmlformats.org/officeDocument/2006/relationships/externalLinkPath" Target="file:///C:\Users\hawkj\Documents\Github\Kapiti%20spatial\LAI\Batch%20results\2020\LAI_20_Zone_1_038.csv" TargetMode="External"/><Relationship Id="rId1" Type="http://schemas.openxmlformats.org/officeDocument/2006/relationships/externalLinkPath" Target="/Users/hawkj/Documents/Github/Kapiti%20spatial/LAI/Batch%20results/2020/LAI_20_Zone_1_038.csv" TargetMode="External"/></Relationships>
</file>

<file path=xl/externalLinks/_rels/externalLink1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39.csv" TargetMode="External"/><Relationship Id="rId2" Type="http://schemas.openxmlformats.org/officeDocument/2006/relationships/externalLinkPath" Target="file:///C:\Users\hawkj\Documents\Github\Kapiti%20spatial\LAI\Batch%20results\2020\LAI_20_Zone_1_039.csv" TargetMode="External"/><Relationship Id="rId1" Type="http://schemas.openxmlformats.org/officeDocument/2006/relationships/externalLinkPath" Target="/Users/hawkj/Documents/Github/Kapiti%20spatial/LAI/Batch%20results/2020/LAI_20_Zone_1_039.csv" TargetMode="External"/></Relationships>
</file>

<file path=xl/externalLinks/_rels/externalLink1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0.csv" TargetMode="External"/><Relationship Id="rId2" Type="http://schemas.openxmlformats.org/officeDocument/2006/relationships/externalLinkPath" Target="file:///C:\Users\hawkj\Documents\Github\Kapiti%20spatial\LAI\Batch%20results\2020\LAI_20_Zone_1_040.csv" TargetMode="External"/><Relationship Id="rId1" Type="http://schemas.openxmlformats.org/officeDocument/2006/relationships/externalLinkPath" Target="/Users/hawkj/Documents/Github/Kapiti%20spatial/LAI/Batch%20results/2020/LAI_20_Zone_1_040.csv" TargetMode="External"/></Relationships>
</file>

<file path=xl/externalLinks/_rels/externalLink1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1.csv" TargetMode="External"/><Relationship Id="rId2" Type="http://schemas.openxmlformats.org/officeDocument/2006/relationships/externalLinkPath" Target="file:///C:\Users\hawkj\Documents\Github\Kapiti%20spatial\LAI\Batch%20results\2020\LAI_20_Zone_1_041.csv" TargetMode="External"/><Relationship Id="rId1" Type="http://schemas.openxmlformats.org/officeDocument/2006/relationships/externalLinkPath" Target="/Users/hawkj/Documents/Github/Kapiti%20spatial/LAI/Batch%20results/2020/LAI_20_Zone_1_041.csv" TargetMode="External"/></Relationships>
</file>

<file path=xl/externalLinks/_rels/externalLink1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2.csv" TargetMode="External"/><Relationship Id="rId2" Type="http://schemas.openxmlformats.org/officeDocument/2006/relationships/externalLinkPath" Target="file:///C:\Users\hawkj\Documents\Github\Kapiti%20spatial\LAI\Batch%20results\2020\LAI_20_Zone_1_042.csv" TargetMode="External"/><Relationship Id="rId1" Type="http://schemas.openxmlformats.org/officeDocument/2006/relationships/externalLinkPath" Target="/Users/hawkj/Documents/Github/Kapiti%20spatial/LAI/Batch%20results/2020/LAI_20_Zone_1_042.csv" TargetMode="External"/></Relationships>
</file>

<file path=xl/externalLinks/_rels/externalLink1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3.csv" TargetMode="External"/><Relationship Id="rId2" Type="http://schemas.openxmlformats.org/officeDocument/2006/relationships/externalLinkPath" Target="file:///C:\Users\hawkj\Documents\Github\Kapiti%20spatial\LAI\Batch%20results\2020\LAI_20_Zone_1_043.csv" TargetMode="External"/><Relationship Id="rId1" Type="http://schemas.openxmlformats.org/officeDocument/2006/relationships/externalLinkPath" Target="/Users/hawkj/Documents/Github/Kapiti%20spatial/LAI/Batch%20results/2020/LAI_20_Zone_1_043.csv" TargetMode="External"/></Relationships>
</file>

<file path=xl/externalLinks/_rels/externalLink1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4.csv" TargetMode="External"/><Relationship Id="rId2" Type="http://schemas.openxmlformats.org/officeDocument/2006/relationships/externalLinkPath" Target="file:///C:\Users\hawkj\Documents\Github\Kapiti%20spatial\LAI\Batch%20results\2020\LAI_20_Zone_1_044.csv" TargetMode="External"/><Relationship Id="rId1" Type="http://schemas.openxmlformats.org/officeDocument/2006/relationships/externalLinkPath" Target="/Users/hawkj/Documents/Github/Kapiti%20spatial/LAI/Batch%20results/2020/LAI_20_Zone_1_044.csv" TargetMode="External"/></Relationships>
</file>

<file path=xl/externalLinks/_rels/externalLink1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5.csv" TargetMode="External"/><Relationship Id="rId2" Type="http://schemas.openxmlformats.org/officeDocument/2006/relationships/externalLinkPath" Target="file:///C:\Users\hawkj\Documents\Github\Kapiti%20spatial\LAI\Batch%20results\2020\LAI_20_Zone_1_045.csv" TargetMode="External"/><Relationship Id="rId1" Type="http://schemas.openxmlformats.org/officeDocument/2006/relationships/externalLinkPath" Target="/Users/hawkj/Documents/Github/Kapiti%20spatial/LAI/Batch%20results/2020/LAI_20_Zone_1_045.csv" TargetMode="External"/></Relationships>
</file>

<file path=xl/externalLinks/_rels/externalLink1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0/LAI_20_Zone_1_046.csv" TargetMode="External"/><Relationship Id="rId2" Type="http://schemas.openxmlformats.org/officeDocument/2006/relationships/externalLinkPath" Target="file:///C:\Users\hawkj\Documents\Github\Kapiti%20spatial\LAI\Batch%20results\2020\LAI_20_Zone_1_046.csv" TargetMode="External"/><Relationship Id="rId1" Type="http://schemas.openxmlformats.org/officeDocument/2006/relationships/externalLinkPath" Target="/Users/hawkj/Documents/Github/Kapiti%20spatial/LAI/Batch%20results/2020/LAI_20_Zone_1_046.csv" TargetMode="External"/></Relationships>
</file>

<file path=xl/externalLinks/_rels/externalLink1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.csv" TargetMode="External"/><Relationship Id="rId2" Type="http://schemas.openxmlformats.org/officeDocument/2006/relationships/externalLinkPath" Target="file:///C:\Users\hawkj\Documents\Github\Kapiti%20spatial\LAI\Batch%20results\2021\LAI_21_Zone_1_01.csv" TargetMode="External"/><Relationship Id="rId1" Type="http://schemas.openxmlformats.org/officeDocument/2006/relationships/externalLinkPath" Target="/Users/hawkj/Documents/Github/Kapiti%20spatial/LAI/Batch%20results/2021/LAI_21_Zone_1_01.csv" TargetMode="External"/></Relationships>
</file>

<file path=xl/externalLinks/_rels/externalLink1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.csv" TargetMode="External"/><Relationship Id="rId2" Type="http://schemas.openxmlformats.org/officeDocument/2006/relationships/externalLinkPath" Target="file:///C:\Users\hawkj\Documents\Github\Kapiti%20spatial\LAI\Batch%20results\2021\LAI_21_Zone_1_02.csv" TargetMode="External"/><Relationship Id="rId1" Type="http://schemas.openxmlformats.org/officeDocument/2006/relationships/externalLinkPath" Target="/Users/hawkj/Documents/Github/Kapiti%20spatial/LAI/Batch%20results/2021/LAI_21_Zone_1_02.csv" TargetMode="External"/></Relationships>
</file>

<file path=xl/externalLinks/_rels/externalLink1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.csv" TargetMode="External"/><Relationship Id="rId2" Type="http://schemas.openxmlformats.org/officeDocument/2006/relationships/externalLinkPath" Target="file:///C:\Users\hawkj\Documents\Github\Kapiti%20spatial\LAI\Batch%20results\2021\LAI_21_Zone_1_03.csv" TargetMode="External"/><Relationship Id="rId1" Type="http://schemas.openxmlformats.org/officeDocument/2006/relationships/externalLinkPath" Target="/Users/hawkj/Documents/Github/Kapiti%20spatial/LAI/Batch%20results/2021/LAI_21_Zone_1_03.csv" TargetMode="External"/></Relationships>
</file>

<file path=xl/externalLinks/_rels/externalLink1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.csv" TargetMode="External"/><Relationship Id="rId2" Type="http://schemas.openxmlformats.org/officeDocument/2006/relationships/externalLinkPath" Target="file:///C:\Users\hawkj\Documents\Github\Kapiti%20spatial\LAI\Batch%20results\2021\LAI_21_Zone_1_04.csv" TargetMode="External"/><Relationship Id="rId1" Type="http://schemas.openxmlformats.org/officeDocument/2006/relationships/externalLinkPath" Target="/Users/hawkj/Documents/Github/Kapiti%20spatial/LAI/Batch%20results/2021/LAI_21_Zone_1_04.csv" TargetMode="External"/></Relationships>
</file>

<file path=xl/externalLinks/_rels/externalLink1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5.csv" TargetMode="External"/><Relationship Id="rId2" Type="http://schemas.openxmlformats.org/officeDocument/2006/relationships/externalLinkPath" Target="file:///C:\Users\hawkj\Documents\Github\Kapiti%20spatial\LAI\Batch%20results\2021\LAI_21_Zone_1_05.csv" TargetMode="External"/><Relationship Id="rId1" Type="http://schemas.openxmlformats.org/officeDocument/2006/relationships/externalLinkPath" Target="/Users/hawkj/Documents/Github/Kapiti%20spatial/LAI/Batch%20results/2021/LAI_21_Zone_1_05.csv" TargetMode="External"/></Relationships>
</file>

<file path=xl/externalLinks/_rels/externalLink1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6.csv" TargetMode="External"/><Relationship Id="rId2" Type="http://schemas.openxmlformats.org/officeDocument/2006/relationships/externalLinkPath" Target="file:///C:\Users\hawkj\Documents\Github\Kapiti%20spatial\LAI\Batch%20results\2021\LAI_21_Zone_1_06.csv" TargetMode="External"/><Relationship Id="rId1" Type="http://schemas.openxmlformats.org/officeDocument/2006/relationships/externalLinkPath" Target="/Users/hawkj/Documents/Github/Kapiti%20spatial/LAI/Batch%20results/2021/LAI_21_Zone_1_06.csv" TargetMode="External"/></Relationships>
</file>

<file path=xl/externalLinks/_rels/externalLink1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7.csv" TargetMode="External"/><Relationship Id="rId2" Type="http://schemas.openxmlformats.org/officeDocument/2006/relationships/externalLinkPath" Target="file:///C:\Users\hawkj\Documents\Github\Kapiti%20spatial\LAI\Batch%20results\2021\LAI_21_Zone_1_07.csv" TargetMode="External"/><Relationship Id="rId1" Type="http://schemas.openxmlformats.org/officeDocument/2006/relationships/externalLinkPath" Target="/Users/hawkj/Documents/Github/Kapiti%20spatial/LAI/Batch%20results/2021/LAI_21_Zone_1_07.csv" TargetMode="External"/></Relationships>
</file>

<file path=xl/externalLinks/_rels/externalLink1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8.csv" TargetMode="External"/><Relationship Id="rId2" Type="http://schemas.openxmlformats.org/officeDocument/2006/relationships/externalLinkPath" Target="file:///C:\Users\hawkj\Documents\Github\Kapiti%20spatial\LAI\Batch%20results\2021\LAI_21_Zone_1_08.csv" TargetMode="External"/><Relationship Id="rId1" Type="http://schemas.openxmlformats.org/officeDocument/2006/relationships/externalLinkPath" Target="/Users/hawkj/Documents/Github/Kapiti%20spatial/LAI/Batch%20results/2021/LAI_21_Zone_1_08.csv" TargetMode="External"/></Relationships>
</file>

<file path=xl/externalLinks/_rels/externalLink1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9.csv" TargetMode="External"/><Relationship Id="rId2" Type="http://schemas.openxmlformats.org/officeDocument/2006/relationships/externalLinkPath" Target="file:///C:\Users\hawkj\Documents\Github\Kapiti%20spatial\LAI\Batch%20results\2021\LAI_21_Zone_1_09.csv" TargetMode="External"/><Relationship Id="rId1" Type="http://schemas.openxmlformats.org/officeDocument/2006/relationships/externalLinkPath" Target="/Users/hawkj/Documents/Github/Kapiti%20spatial/LAI/Batch%20results/2021/LAI_21_Zone_1_09.csv" TargetMode="External"/></Relationships>
</file>

<file path=xl/externalLinks/_rels/externalLink1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0.csv" TargetMode="External"/><Relationship Id="rId2" Type="http://schemas.openxmlformats.org/officeDocument/2006/relationships/externalLinkPath" Target="file:///C:\Users\hawkj\Documents\Github\Kapiti%20spatial\LAI\Batch%20results\2021\LAI_21_Zone_1_010.csv" TargetMode="External"/><Relationship Id="rId1" Type="http://schemas.openxmlformats.org/officeDocument/2006/relationships/externalLinkPath" Target="/Users/hawkj/Documents/Github/Kapiti%20spatial/LAI/Batch%20results/2021/LAI_21_Zone_1_010.csv" TargetMode="External"/></Relationships>
</file>

<file path=xl/externalLinks/_rels/externalLink1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1.csv" TargetMode="External"/><Relationship Id="rId2" Type="http://schemas.openxmlformats.org/officeDocument/2006/relationships/externalLinkPath" Target="file:///C:\Users\hawkj\Documents\Github\Kapiti%20spatial\LAI\Batch%20results\2021\LAI_21_Zone_1_011.csv" TargetMode="External"/><Relationship Id="rId1" Type="http://schemas.openxmlformats.org/officeDocument/2006/relationships/externalLinkPath" Target="/Users/hawkj/Documents/Github/Kapiti%20spatial/LAI/Batch%20results/2021/LAI_21_Zone_1_011.csv" TargetMode="External"/></Relationships>
</file>

<file path=xl/externalLinks/_rels/externalLink1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2.csv" TargetMode="External"/><Relationship Id="rId2" Type="http://schemas.openxmlformats.org/officeDocument/2006/relationships/externalLinkPath" Target="file:///C:\Users\hawkj\Documents\Github\Kapiti%20spatial\LAI\Batch%20results\2021\LAI_21_Zone_1_012.csv" TargetMode="External"/><Relationship Id="rId1" Type="http://schemas.openxmlformats.org/officeDocument/2006/relationships/externalLinkPath" Target="/Users/hawkj/Documents/Github/Kapiti%20spatial/LAI/Batch%20results/2021/LAI_21_Zone_1_012.csv" TargetMode="External"/></Relationships>
</file>

<file path=xl/externalLinks/_rels/externalLink1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3.csv" TargetMode="External"/><Relationship Id="rId2" Type="http://schemas.openxmlformats.org/officeDocument/2006/relationships/externalLinkPath" Target="file:///C:\Users\hawkj\Documents\Github\Kapiti%20spatial\LAI\Batch%20results\2021\LAI_21_Zone_1_013.csv" TargetMode="External"/><Relationship Id="rId1" Type="http://schemas.openxmlformats.org/officeDocument/2006/relationships/externalLinkPath" Target="/Users/hawkj/Documents/Github/Kapiti%20spatial/LAI/Batch%20results/2021/LAI_21_Zone_1_013.csv" TargetMode="External"/></Relationships>
</file>

<file path=xl/externalLinks/_rels/externalLink1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4.csv" TargetMode="External"/><Relationship Id="rId2" Type="http://schemas.openxmlformats.org/officeDocument/2006/relationships/externalLinkPath" Target="file:///C:\Users\hawkj\Documents\Github\Kapiti%20spatial\LAI\Batch%20results\2021\LAI_21_Zone_1_014.csv" TargetMode="External"/><Relationship Id="rId1" Type="http://schemas.openxmlformats.org/officeDocument/2006/relationships/externalLinkPath" Target="/Users/hawkj/Documents/Github/Kapiti%20spatial/LAI/Batch%20results/2021/LAI_21_Zone_1_014.csv" TargetMode="External"/></Relationships>
</file>

<file path=xl/externalLinks/_rels/externalLink1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5.csv" TargetMode="External"/><Relationship Id="rId2" Type="http://schemas.openxmlformats.org/officeDocument/2006/relationships/externalLinkPath" Target="file:///C:\Users\hawkj\Documents\Github\Kapiti%20spatial\LAI\Batch%20results\2021\LAI_21_Zone_1_015.csv" TargetMode="External"/><Relationship Id="rId1" Type="http://schemas.openxmlformats.org/officeDocument/2006/relationships/externalLinkPath" Target="/Users/hawkj/Documents/Github/Kapiti%20spatial/LAI/Batch%20results/2021/LAI_21_Zone_1_015.csv" TargetMode="External"/></Relationships>
</file>

<file path=xl/externalLinks/_rels/externalLink1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6.csv" TargetMode="External"/><Relationship Id="rId2" Type="http://schemas.openxmlformats.org/officeDocument/2006/relationships/externalLinkPath" Target="file:///C:\Users\hawkj\Documents\Github\Kapiti%20spatial\LAI\Batch%20results\2021\LAI_21_Zone_1_016.csv" TargetMode="External"/><Relationship Id="rId1" Type="http://schemas.openxmlformats.org/officeDocument/2006/relationships/externalLinkPath" Target="/Users/hawkj/Documents/Github/Kapiti%20spatial/LAI/Batch%20results/2021/LAI_21_Zone_1_016.csv" TargetMode="External"/></Relationships>
</file>

<file path=xl/externalLinks/_rels/externalLink1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7.csv" TargetMode="External"/><Relationship Id="rId2" Type="http://schemas.openxmlformats.org/officeDocument/2006/relationships/externalLinkPath" Target="file:///C:\Users\hawkj\Documents\Github\Kapiti%20spatial\LAI\Batch%20results\2021\LAI_21_Zone_1_017.csv" TargetMode="External"/><Relationship Id="rId1" Type="http://schemas.openxmlformats.org/officeDocument/2006/relationships/externalLinkPath" Target="/Users/hawkj/Documents/Github/Kapiti%20spatial/LAI/Batch%20results/2021/LAI_21_Zone_1_017.csv" TargetMode="External"/></Relationships>
</file>

<file path=xl/externalLinks/_rels/externalLink1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8.csv" TargetMode="External"/><Relationship Id="rId2" Type="http://schemas.openxmlformats.org/officeDocument/2006/relationships/externalLinkPath" Target="file:///C:\Users\hawkj\Documents\Github\Kapiti%20spatial\LAI\Batch%20results\2021\LAI_21_Zone_1_018.csv" TargetMode="External"/><Relationship Id="rId1" Type="http://schemas.openxmlformats.org/officeDocument/2006/relationships/externalLinkPath" Target="/Users/hawkj/Documents/Github/Kapiti%20spatial/LAI/Batch%20results/2021/LAI_21_Zone_1_018.csv" TargetMode="External"/></Relationships>
</file>

<file path=xl/externalLinks/_rels/externalLink1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19.csv" TargetMode="External"/><Relationship Id="rId2" Type="http://schemas.openxmlformats.org/officeDocument/2006/relationships/externalLinkPath" Target="file:///C:\Users\hawkj\Documents\Github\Kapiti%20spatial\LAI\Batch%20results\2021\LAI_21_Zone_1_019.csv" TargetMode="External"/><Relationship Id="rId1" Type="http://schemas.openxmlformats.org/officeDocument/2006/relationships/externalLinkPath" Target="/Users/hawkj/Documents/Github/Kapiti%20spatial/LAI/Batch%20results/2021/LAI_21_Zone_1_019.csv" TargetMode="External"/></Relationships>
</file>

<file path=xl/externalLinks/_rels/externalLink1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0.csv" TargetMode="External"/><Relationship Id="rId2" Type="http://schemas.openxmlformats.org/officeDocument/2006/relationships/externalLinkPath" Target="file:///C:\Users\hawkj\Documents\Github\Kapiti%20spatial\LAI\Batch%20results\2021\LAI_21_Zone_1_020.csv" TargetMode="External"/><Relationship Id="rId1" Type="http://schemas.openxmlformats.org/officeDocument/2006/relationships/externalLinkPath" Target="/Users/hawkj/Documents/Github/Kapiti%20spatial/LAI/Batch%20results/2021/LAI_21_Zone_1_020.csv" TargetMode="External"/></Relationships>
</file>

<file path=xl/externalLinks/_rels/externalLink1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1.csv" TargetMode="External"/><Relationship Id="rId2" Type="http://schemas.openxmlformats.org/officeDocument/2006/relationships/externalLinkPath" Target="file:///C:\Users\hawkj\Documents\Github\Kapiti%20spatial\LAI\Batch%20results\2021\LAI_21_Zone_1_021.csv" TargetMode="External"/><Relationship Id="rId1" Type="http://schemas.openxmlformats.org/officeDocument/2006/relationships/externalLinkPath" Target="/Users/hawkj/Documents/Github/Kapiti%20spatial/LAI/Batch%20results/2021/LAI_21_Zone_1_021.csv" TargetMode="External"/></Relationships>
</file>

<file path=xl/externalLinks/_rels/externalLink1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2.csv" TargetMode="External"/><Relationship Id="rId2" Type="http://schemas.openxmlformats.org/officeDocument/2006/relationships/externalLinkPath" Target="file:///C:\Users\hawkj\Documents\Github\Kapiti%20spatial\LAI\Batch%20results\2021\LAI_21_Zone_1_022.csv" TargetMode="External"/><Relationship Id="rId1" Type="http://schemas.openxmlformats.org/officeDocument/2006/relationships/externalLinkPath" Target="/Users/hawkj/Documents/Github/Kapiti%20spatial/LAI/Batch%20results/2021/LAI_21_Zone_1_022.csv" TargetMode="External"/></Relationships>
</file>

<file path=xl/externalLinks/_rels/externalLink1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3.csv" TargetMode="External"/><Relationship Id="rId2" Type="http://schemas.openxmlformats.org/officeDocument/2006/relationships/externalLinkPath" Target="file:///C:\Users\hawkj\Documents\Github\Kapiti%20spatial\LAI\Batch%20results\2021\LAI_21_Zone_1_023.csv" TargetMode="External"/><Relationship Id="rId1" Type="http://schemas.openxmlformats.org/officeDocument/2006/relationships/externalLinkPath" Target="/Users/hawkj/Documents/Github/Kapiti%20spatial/LAI/Batch%20results/2021/LAI_21_Zone_1_023.csv" TargetMode="External"/></Relationships>
</file>

<file path=xl/externalLinks/_rels/externalLink1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4.csv" TargetMode="External"/><Relationship Id="rId2" Type="http://schemas.openxmlformats.org/officeDocument/2006/relationships/externalLinkPath" Target="file:///C:\Users\hawkj\Documents\Github\Kapiti%20spatial\LAI\Batch%20results\2021\LAI_21_Zone_1_024.csv" TargetMode="External"/><Relationship Id="rId1" Type="http://schemas.openxmlformats.org/officeDocument/2006/relationships/externalLinkPath" Target="/Users/hawkj/Documents/Github/Kapiti%20spatial/LAI/Batch%20results/2021/LAI_21_Zone_1_024.csv" TargetMode="External"/></Relationships>
</file>

<file path=xl/externalLinks/_rels/externalLink1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5.csv" TargetMode="External"/><Relationship Id="rId2" Type="http://schemas.openxmlformats.org/officeDocument/2006/relationships/externalLinkPath" Target="file:///C:\Users\hawkj\Documents\Github\Kapiti%20spatial\LAI\Batch%20results\2021\LAI_21_Zone_1_025.csv" TargetMode="External"/><Relationship Id="rId1" Type="http://schemas.openxmlformats.org/officeDocument/2006/relationships/externalLinkPath" Target="/Users/hawkj/Documents/Github/Kapiti%20spatial/LAI/Batch%20results/2021/LAI_21_Zone_1_025.csv" TargetMode="External"/></Relationships>
</file>

<file path=xl/externalLinks/_rels/externalLink1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7.csv" TargetMode="External"/><Relationship Id="rId2" Type="http://schemas.openxmlformats.org/officeDocument/2006/relationships/externalLinkPath" Target="file:///C:\Users\hawkj\Documents\Github\Kapiti%20spatial\LAI\Batch%20results\2021\LAI_21_Zone_1_027.csv" TargetMode="External"/><Relationship Id="rId1" Type="http://schemas.openxmlformats.org/officeDocument/2006/relationships/externalLinkPath" Target="/Users/hawkj/Documents/Github/Kapiti%20spatial/LAI/Batch%20results/2021/LAI_21_Zone_1_027.csv" TargetMode="External"/></Relationships>
</file>

<file path=xl/externalLinks/_rels/externalLink1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8.csv" TargetMode="External"/><Relationship Id="rId2" Type="http://schemas.openxmlformats.org/officeDocument/2006/relationships/externalLinkPath" Target="file:///C:\Users\hawkj\Documents\Github\Kapiti%20spatial\LAI\Batch%20results\2021\LAI_21_Zone_1_028.csv" TargetMode="External"/><Relationship Id="rId1" Type="http://schemas.openxmlformats.org/officeDocument/2006/relationships/externalLinkPath" Target="/Users/hawkj/Documents/Github/Kapiti%20spatial/LAI/Batch%20results/2021/LAI_21_Zone_1_028.csv" TargetMode="External"/></Relationships>
</file>

<file path=xl/externalLinks/_rels/externalLink1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29.csv" TargetMode="External"/><Relationship Id="rId2" Type="http://schemas.openxmlformats.org/officeDocument/2006/relationships/externalLinkPath" Target="file:///C:\Users\hawkj\Documents\Github\Kapiti%20spatial\LAI\Batch%20results\2021\LAI_21_Zone_1_029.csv" TargetMode="External"/><Relationship Id="rId1" Type="http://schemas.openxmlformats.org/officeDocument/2006/relationships/externalLinkPath" Target="/Users/hawkj/Documents/Github/Kapiti%20spatial/LAI/Batch%20results/2021/LAI_21_Zone_1_029.csv" TargetMode="External"/></Relationships>
</file>

<file path=xl/externalLinks/_rels/externalLink1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0.csv" TargetMode="External"/><Relationship Id="rId2" Type="http://schemas.openxmlformats.org/officeDocument/2006/relationships/externalLinkPath" Target="file:///C:\Users\hawkj\Documents\Github\Kapiti%20spatial\LAI\Batch%20results\2021\LAI_21_Zone_1_030.csv" TargetMode="External"/><Relationship Id="rId1" Type="http://schemas.openxmlformats.org/officeDocument/2006/relationships/externalLinkPath" Target="/Users/hawkj/Documents/Github/Kapiti%20spatial/LAI/Batch%20results/2021/LAI_21_Zone_1_030.csv" TargetMode="External"/></Relationships>
</file>

<file path=xl/externalLinks/_rels/externalLink1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1.csv" TargetMode="External"/><Relationship Id="rId2" Type="http://schemas.openxmlformats.org/officeDocument/2006/relationships/externalLinkPath" Target="file:///C:\Users\hawkj\Documents\Github\Kapiti%20spatial\LAI\Batch%20results\2021\LAI_21_Zone_1_031.csv" TargetMode="External"/><Relationship Id="rId1" Type="http://schemas.openxmlformats.org/officeDocument/2006/relationships/externalLinkPath" Target="/Users/hawkj/Documents/Github/Kapiti%20spatial/LAI/Batch%20results/2021/LAI_21_Zone_1_031.csv" TargetMode="External"/></Relationships>
</file>

<file path=xl/externalLinks/_rels/externalLink1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2.csv" TargetMode="External"/><Relationship Id="rId2" Type="http://schemas.openxmlformats.org/officeDocument/2006/relationships/externalLinkPath" Target="file:///C:\Users\hawkj\Documents\Github\Kapiti%20spatial\LAI\Batch%20results\2021\LAI_21_Zone_1_032.csv" TargetMode="External"/><Relationship Id="rId1" Type="http://schemas.openxmlformats.org/officeDocument/2006/relationships/externalLinkPath" Target="/Users/hawkj/Documents/Github/Kapiti%20spatial/LAI/Batch%20results/2021/LAI_21_Zone_1_032.csv" TargetMode="External"/></Relationships>
</file>

<file path=xl/externalLinks/_rels/externalLink1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3.csv" TargetMode="External"/><Relationship Id="rId2" Type="http://schemas.openxmlformats.org/officeDocument/2006/relationships/externalLinkPath" Target="file:///C:\Users\hawkj\Documents\Github\Kapiti%20spatial\LAI\Batch%20results\2021\LAI_21_Zone_1_033.csv" TargetMode="External"/><Relationship Id="rId1" Type="http://schemas.openxmlformats.org/officeDocument/2006/relationships/externalLinkPath" Target="/Users/hawkj/Documents/Github/Kapiti%20spatial/LAI/Batch%20results/2021/LAI_21_Zone_1_033.csv" TargetMode="External"/></Relationships>
</file>

<file path=xl/externalLinks/_rels/externalLink1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4.csv" TargetMode="External"/><Relationship Id="rId2" Type="http://schemas.openxmlformats.org/officeDocument/2006/relationships/externalLinkPath" Target="file:///C:\Users\hawkj\Documents\Github\Kapiti%20spatial\LAI\Batch%20results\2021\LAI_21_Zone_1_034.csv" TargetMode="External"/><Relationship Id="rId1" Type="http://schemas.openxmlformats.org/officeDocument/2006/relationships/externalLinkPath" Target="/Users/hawkj/Documents/Github/Kapiti%20spatial/LAI/Batch%20results/2021/LAI_21_Zone_1_034.csv" TargetMode="External"/></Relationships>
</file>

<file path=xl/externalLinks/_rels/externalLink1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5.csv" TargetMode="External"/><Relationship Id="rId2" Type="http://schemas.openxmlformats.org/officeDocument/2006/relationships/externalLinkPath" Target="file:///C:\Users\hawkj\Documents\Github\Kapiti%20spatial\LAI\Batch%20results\2021\LAI_21_Zone_1_035.csv" TargetMode="External"/><Relationship Id="rId1" Type="http://schemas.openxmlformats.org/officeDocument/2006/relationships/externalLinkPath" Target="/Users/hawkj/Documents/Github/Kapiti%20spatial/LAI/Batch%20results/2021/LAI_21_Zone_1_035.csv" TargetMode="External"/></Relationships>
</file>

<file path=xl/externalLinks/_rels/externalLink1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6.csv" TargetMode="External"/><Relationship Id="rId2" Type="http://schemas.openxmlformats.org/officeDocument/2006/relationships/externalLinkPath" Target="file:///C:\Users\hawkj\Documents\Github\Kapiti%20spatial\LAI\Batch%20results\2021\LAI_21_Zone_1_036.csv" TargetMode="External"/><Relationship Id="rId1" Type="http://schemas.openxmlformats.org/officeDocument/2006/relationships/externalLinkPath" Target="/Users/hawkj/Documents/Github/Kapiti%20spatial/LAI/Batch%20results/2021/LAI_21_Zone_1_036.csv" TargetMode="External"/></Relationships>
</file>

<file path=xl/externalLinks/_rels/externalLink1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7.csv" TargetMode="External"/><Relationship Id="rId2" Type="http://schemas.openxmlformats.org/officeDocument/2006/relationships/externalLinkPath" Target="file:///C:\Users\hawkj\Documents\Github\Kapiti%20spatial\LAI\Batch%20results\2021\LAI_21_Zone_1_037.csv" TargetMode="External"/><Relationship Id="rId1" Type="http://schemas.openxmlformats.org/officeDocument/2006/relationships/externalLinkPath" Target="/Users/hawkj/Documents/Github/Kapiti%20spatial/LAI/Batch%20results/2021/LAI_21_Zone_1_037.csv" TargetMode="External"/></Relationships>
</file>

<file path=xl/externalLinks/_rels/externalLink1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8.csv" TargetMode="External"/><Relationship Id="rId2" Type="http://schemas.openxmlformats.org/officeDocument/2006/relationships/externalLinkPath" Target="file:///C:\Users\hawkj\Documents\Github\Kapiti%20spatial\LAI\Batch%20results\2021\LAI_21_Zone_1_038.csv" TargetMode="External"/><Relationship Id="rId1" Type="http://schemas.openxmlformats.org/officeDocument/2006/relationships/externalLinkPath" Target="/Users/hawkj/Documents/Github/Kapiti%20spatial/LAI/Batch%20results/2021/LAI_21_Zone_1_038.csv" TargetMode="External"/></Relationships>
</file>

<file path=xl/externalLinks/_rels/externalLink1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39.csv" TargetMode="External"/><Relationship Id="rId2" Type="http://schemas.openxmlformats.org/officeDocument/2006/relationships/externalLinkPath" Target="file:///C:\Users\hawkj\Documents\Github\Kapiti%20spatial\LAI\Batch%20results\2021\LAI_21_Zone_1_039.csv" TargetMode="External"/><Relationship Id="rId1" Type="http://schemas.openxmlformats.org/officeDocument/2006/relationships/externalLinkPath" Target="/Users/hawkj/Documents/Github/Kapiti%20spatial/LAI/Batch%20results/2021/LAI_21_Zone_1_039.csv" TargetMode="External"/></Relationships>
</file>

<file path=xl/externalLinks/_rels/externalLink1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0.csv" TargetMode="External"/><Relationship Id="rId2" Type="http://schemas.openxmlformats.org/officeDocument/2006/relationships/externalLinkPath" Target="file:///C:\Users\hawkj\Documents\Github\Kapiti%20spatial\LAI\Batch%20results\2021\LAI_21_Zone_1_040.csv" TargetMode="External"/><Relationship Id="rId1" Type="http://schemas.openxmlformats.org/officeDocument/2006/relationships/externalLinkPath" Target="/Users/hawkj/Documents/Github/Kapiti%20spatial/LAI/Batch%20results/2021/LAI_21_Zone_1_040.csv" TargetMode="External"/></Relationships>
</file>

<file path=xl/externalLinks/_rels/externalLink1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1.csv" TargetMode="External"/><Relationship Id="rId2" Type="http://schemas.openxmlformats.org/officeDocument/2006/relationships/externalLinkPath" Target="file:///C:\Users\hawkj\Documents\Github\Kapiti%20spatial\LAI\Batch%20results\2021\LAI_21_Zone_1_041.csv" TargetMode="External"/><Relationship Id="rId1" Type="http://schemas.openxmlformats.org/officeDocument/2006/relationships/externalLinkPath" Target="/Users/hawkj/Documents/Github/Kapiti%20spatial/LAI/Batch%20results/2021/LAI_21_Zone_1_041.csv" TargetMode="External"/></Relationships>
</file>

<file path=xl/externalLinks/_rels/externalLink1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2.csv" TargetMode="External"/><Relationship Id="rId2" Type="http://schemas.openxmlformats.org/officeDocument/2006/relationships/externalLinkPath" Target="file:///C:\Users\hawkj\Documents\Github\Kapiti%20spatial\LAI\Batch%20results\2021\LAI_21_Zone_1_042.csv" TargetMode="External"/><Relationship Id="rId1" Type="http://schemas.openxmlformats.org/officeDocument/2006/relationships/externalLinkPath" Target="/Users/hawkj/Documents/Github/Kapiti%20spatial/LAI/Batch%20results/2021/LAI_21_Zone_1_042.csv" TargetMode="External"/></Relationships>
</file>

<file path=xl/externalLinks/_rels/externalLink1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3.csv" TargetMode="External"/><Relationship Id="rId2" Type="http://schemas.openxmlformats.org/officeDocument/2006/relationships/externalLinkPath" Target="file:///C:\Users\hawkj\Documents\Github\Kapiti%20spatial\LAI\Batch%20results\2021\LAI_21_Zone_1_043.csv" TargetMode="External"/><Relationship Id="rId1" Type="http://schemas.openxmlformats.org/officeDocument/2006/relationships/externalLinkPath" Target="/Users/hawkj/Documents/Github/Kapiti%20spatial/LAI/Batch%20results/2021/LAI_21_Zone_1_043.csv" TargetMode="External"/></Relationships>
</file>

<file path=xl/externalLinks/_rels/externalLink1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4.csv" TargetMode="External"/><Relationship Id="rId2" Type="http://schemas.openxmlformats.org/officeDocument/2006/relationships/externalLinkPath" Target="file:///C:\Users\hawkj\Documents\Github\Kapiti%20spatial\LAI\Batch%20results\2021\LAI_21_Zone_1_044.csv" TargetMode="External"/><Relationship Id="rId1" Type="http://schemas.openxmlformats.org/officeDocument/2006/relationships/externalLinkPath" Target="/Users/hawkj/Documents/Github/Kapiti%20spatial/LAI/Batch%20results/2021/LAI_21_Zone_1_044.csv" TargetMode="External"/></Relationships>
</file>

<file path=xl/externalLinks/_rels/externalLink1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5.csv" TargetMode="External"/><Relationship Id="rId2" Type="http://schemas.openxmlformats.org/officeDocument/2006/relationships/externalLinkPath" Target="file:///C:\Users\hawkj\Documents\Github\Kapiti%20spatial\LAI\Batch%20results\2021\LAI_21_Zone_1_045.csv" TargetMode="External"/><Relationship Id="rId1" Type="http://schemas.openxmlformats.org/officeDocument/2006/relationships/externalLinkPath" Target="/Users/hawkj/Documents/Github/Kapiti%20spatial/LAI/Batch%20results/2021/LAI_21_Zone_1_045.csv" TargetMode="External"/></Relationships>
</file>

<file path=xl/externalLinks/_rels/externalLink1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6.csv" TargetMode="External"/><Relationship Id="rId2" Type="http://schemas.openxmlformats.org/officeDocument/2006/relationships/externalLinkPath" Target="file:///C:\Users\hawkj\Documents\Github\Kapiti%20spatial\LAI\Batch%20results\2021\LAI_21_Zone_1_046.csv" TargetMode="External"/><Relationship Id="rId1" Type="http://schemas.openxmlformats.org/officeDocument/2006/relationships/externalLinkPath" Target="/Users/hawkj/Documents/Github/Kapiti%20spatial/LAI/Batch%20results/2021/LAI_21_Zone_1_046.csv" TargetMode="External"/></Relationships>
</file>

<file path=xl/externalLinks/_rels/externalLink1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1/LAI_21_Zone_1_047.csv" TargetMode="External"/><Relationship Id="rId2" Type="http://schemas.openxmlformats.org/officeDocument/2006/relationships/externalLinkPath" Target="file:///C:\Users\hawkj\Documents\Github\Kapiti%20spatial\LAI\Batch%20results\2021\LAI_21_Zone_1_047.csv" TargetMode="External"/><Relationship Id="rId1" Type="http://schemas.openxmlformats.org/officeDocument/2006/relationships/externalLinkPath" Target="/Users/hawkj/Documents/Github/Kapiti%20spatial/LAI/Batch%20results/2021/LAI_21_Zone_1_047.csv" TargetMode="External"/></Relationships>
</file>

<file path=xl/externalLinks/_rels/externalLink1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.csv" TargetMode="External"/><Relationship Id="rId2" Type="http://schemas.openxmlformats.org/officeDocument/2006/relationships/externalLinkPath" Target="file:///C:\Users\hawkj\Documents\Github\Kapiti%20spatial\LAI\Batch%20results\2022\LAI_22_Zone_1_01.csv" TargetMode="External"/><Relationship Id="rId1" Type="http://schemas.openxmlformats.org/officeDocument/2006/relationships/externalLinkPath" Target="/Users/hawkj/Documents/Github/Kapiti%20spatial/LAI/Batch%20results/2022/LAI_22_Zone_1_01.csv" TargetMode="External"/></Relationships>
</file>

<file path=xl/externalLinks/_rels/externalLink1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.csv" TargetMode="External"/><Relationship Id="rId2" Type="http://schemas.openxmlformats.org/officeDocument/2006/relationships/externalLinkPath" Target="file:///C:\Users\hawkj\Documents\Github\Kapiti%20spatial\LAI\Batch%20results\2022\LAI_22_Zone_1_02.csv" TargetMode="External"/><Relationship Id="rId1" Type="http://schemas.openxmlformats.org/officeDocument/2006/relationships/externalLinkPath" Target="/Users/hawkj/Documents/Github/Kapiti%20spatial/LAI/Batch%20results/2022/LAI_22_Zone_1_02.csv" TargetMode="External"/></Relationships>
</file>

<file path=xl/externalLinks/_rels/externalLink1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.csv" TargetMode="External"/><Relationship Id="rId2" Type="http://schemas.openxmlformats.org/officeDocument/2006/relationships/externalLinkPath" Target="file:///C:\Users\hawkj\Documents\Github\Kapiti%20spatial\LAI\Batch%20results\2022\LAI_22_Zone_1_03.csv" TargetMode="External"/><Relationship Id="rId1" Type="http://schemas.openxmlformats.org/officeDocument/2006/relationships/externalLinkPath" Target="/Users/hawkj/Documents/Github/Kapiti%20spatial/LAI/Batch%20results/2022/LAI_22_Zone_1_03.csv" TargetMode="External"/></Relationships>
</file>

<file path=xl/externalLinks/_rels/externalLink1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.csv" TargetMode="External"/><Relationship Id="rId2" Type="http://schemas.openxmlformats.org/officeDocument/2006/relationships/externalLinkPath" Target="file:///C:\Users\hawkj\Documents\Github\Kapiti%20spatial\LAI\Batch%20results\2022\LAI_22_Zone_1_04.csv" TargetMode="External"/><Relationship Id="rId1" Type="http://schemas.openxmlformats.org/officeDocument/2006/relationships/externalLinkPath" Target="/Users/hawkj/Documents/Github/Kapiti%20spatial/LAI/Batch%20results/2022/LAI_22_Zone_1_04.csv" TargetMode="External"/></Relationships>
</file>

<file path=xl/externalLinks/_rels/externalLink1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5.csv" TargetMode="External"/><Relationship Id="rId2" Type="http://schemas.openxmlformats.org/officeDocument/2006/relationships/externalLinkPath" Target="file:///C:\Users\hawkj\Documents\Github\Kapiti%20spatial\LAI\Batch%20results\2022\LAI_22_Zone_1_05.csv" TargetMode="External"/><Relationship Id="rId1" Type="http://schemas.openxmlformats.org/officeDocument/2006/relationships/externalLinkPath" Target="/Users/hawkj/Documents/Github/Kapiti%20spatial/LAI/Batch%20results/2022/LAI_22_Zone_1_05.csv" TargetMode="External"/></Relationships>
</file>

<file path=xl/externalLinks/_rels/externalLink1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6.csv" TargetMode="External"/><Relationship Id="rId2" Type="http://schemas.openxmlformats.org/officeDocument/2006/relationships/externalLinkPath" Target="file:///C:\Users\hawkj\Documents\Github\Kapiti%20spatial\LAI\Batch%20results\2022\LAI_22_Zone_1_06.csv" TargetMode="External"/><Relationship Id="rId1" Type="http://schemas.openxmlformats.org/officeDocument/2006/relationships/externalLinkPath" Target="/Users/hawkj/Documents/Github/Kapiti%20spatial/LAI/Batch%20results/2022/LAI_22_Zone_1_06.csv" TargetMode="External"/></Relationships>
</file>

<file path=xl/externalLinks/_rels/externalLink1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7.csv" TargetMode="External"/><Relationship Id="rId2" Type="http://schemas.openxmlformats.org/officeDocument/2006/relationships/externalLinkPath" Target="file:///C:\Users\hawkj\Documents\Github\Kapiti%20spatial\LAI\Batch%20results\2022\LAI_22_Zone_1_07.csv" TargetMode="External"/><Relationship Id="rId1" Type="http://schemas.openxmlformats.org/officeDocument/2006/relationships/externalLinkPath" Target="/Users/hawkj/Documents/Github/Kapiti%20spatial/LAI/Batch%20results/2022/LAI_22_Zone_1_07.csv" TargetMode="External"/></Relationships>
</file>

<file path=xl/externalLinks/_rels/externalLink1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8.csv" TargetMode="External"/><Relationship Id="rId2" Type="http://schemas.openxmlformats.org/officeDocument/2006/relationships/externalLinkPath" Target="file:///C:\Users\hawkj\Documents\Github\Kapiti%20spatial\LAI\Batch%20results\2022\LAI_22_Zone_1_08.csv" TargetMode="External"/><Relationship Id="rId1" Type="http://schemas.openxmlformats.org/officeDocument/2006/relationships/externalLinkPath" Target="/Users/hawkj/Documents/Github/Kapiti%20spatial/LAI/Batch%20results/2022/LAI_22_Zone_1_08.csv" TargetMode="External"/></Relationships>
</file>

<file path=xl/externalLinks/_rels/externalLink1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9.csv" TargetMode="External"/><Relationship Id="rId2" Type="http://schemas.openxmlformats.org/officeDocument/2006/relationships/externalLinkPath" Target="file:///C:\Users\hawkj\Documents\Github\Kapiti%20spatial\LAI\Batch%20results\2022\LAI_22_Zone_1_09.csv" TargetMode="External"/><Relationship Id="rId1" Type="http://schemas.openxmlformats.org/officeDocument/2006/relationships/externalLinkPath" Target="/Users/hawkj/Documents/Github/Kapiti%20spatial/LAI/Batch%20results/2022/LAI_22_Zone_1_09.csv" TargetMode="External"/></Relationships>
</file>

<file path=xl/externalLinks/_rels/externalLink1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0.csv" TargetMode="External"/><Relationship Id="rId2" Type="http://schemas.openxmlformats.org/officeDocument/2006/relationships/externalLinkPath" Target="file:///C:\Users\hawkj\Documents\Github\Kapiti%20spatial\LAI\Batch%20results\2022\LAI_22_Zone_1_010.csv" TargetMode="External"/><Relationship Id="rId1" Type="http://schemas.openxmlformats.org/officeDocument/2006/relationships/externalLinkPath" Target="/Users/hawkj/Documents/Github/Kapiti%20spatial/LAI/Batch%20results/2022/LAI_22_Zone_1_010.csv" TargetMode="External"/></Relationships>
</file>

<file path=xl/externalLinks/_rels/externalLink1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1.csv" TargetMode="External"/><Relationship Id="rId2" Type="http://schemas.openxmlformats.org/officeDocument/2006/relationships/externalLinkPath" Target="file:///C:\Users\hawkj\Documents\Github\Kapiti%20spatial\LAI\Batch%20results\2022\LAI_22_Zone_1_011.csv" TargetMode="External"/><Relationship Id="rId1" Type="http://schemas.openxmlformats.org/officeDocument/2006/relationships/externalLinkPath" Target="/Users/hawkj/Documents/Github/Kapiti%20spatial/LAI/Batch%20results/2022/LAI_22_Zone_1_011.csv" TargetMode="External"/></Relationships>
</file>

<file path=xl/externalLinks/_rels/externalLink1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2.csv" TargetMode="External"/><Relationship Id="rId2" Type="http://schemas.openxmlformats.org/officeDocument/2006/relationships/externalLinkPath" Target="file:///C:\Users\hawkj\Documents\Github\Kapiti%20spatial\LAI\Batch%20results\2022\LAI_22_Zone_1_012.csv" TargetMode="External"/><Relationship Id="rId1" Type="http://schemas.openxmlformats.org/officeDocument/2006/relationships/externalLinkPath" Target="/Users/hawkj/Documents/Github/Kapiti%20spatial/LAI/Batch%20results/2022/LAI_22_Zone_1_012.csv" TargetMode="External"/></Relationships>
</file>

<file path=xl/externalLinks/_rels/externalLink1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3.csv" TargetMode="External"/><Relationship Id="rId2" Type="http://schemas.openxmlformats.org/officeDocument/2006/relationships/externalLinkPath" Target="file:///C:\Users\hawkj\Documents\Github\Kapiti%20spatial\LAI\Batch%20results\2022\LAI_22_Zone_1_013.csv" TargetMode="External"/><Relationship Id="rId1" Type="http://schemas.openxmlformats.org/officeDocument/2006/relationships/externalLinkPath" Target="/Users/hawkj/Documents/Github/Kapiti%20spatial/LAI/Batch%20results/2022/LAI_22_Zone_1_013.csv" TargetMode="External"/></Relationships>
</file>

<file path=xl/externalLinks/_rels/externalLink1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4.csv" TargetMode="External"/><Relationship Id="rId2" Type="http://schemas.openxmlformats.org/officeDocument/2006/relationships/externalLinkPath" Target="file:///C:\Users\hawkj\Documents\Github\Kapiti%20spatial\LAI\Batch%20results\2022\LAI_22_Zone_1_014.csv" TargetMode="External"/><Relationship Id="rId1" Type="http://schemas.openxmlformats.org/officeDocument/2006/relationships/externalLinkPath" Target="/Users/hawkj/Documents/Github/Kapiti%20spatial/LAI/Batch%20results/2022/LAI_22_Zone_1_014.csv" TargetMode="External"/></Relationships>
</file>

<file path=xl/externalLinks/_rels/externalLink1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5.csv" TargetMode="External"/><Relationship Id="rId2" Type="http://schemas.openxmlformats.org/officeDocument/2006/relationships/externalLinkPath" Target="file:///C:\Users\hawkj\Documents\Github\Kapiti%20spatial\LAI\Batch%20results\2022\LAI_22_Zone_1_015.csv" TargetMode="External"/><Relationship Id="rId1" Type="http://schemas.openxmlformats.org/officeDocument/2006/relationships/externalLinkPath" Target="/Users/hawkj/Documents/Github/Kapiti%20spatial/LAI/Batch%20results/2022/LAI_22_Zone_1_015.csv" TargetMode="External"/></Relationships>
</file>

<file path=xl/externalLinks/_rels/externalLink1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6.csv" TargetMode="External"/><Relationship Id="rId2" Type="http://schemas.openxmlformats.org/officeDocument/2006/relationships/externalLinkPath" Target="file:///C:\Users\hawkj\Documents\Github\Kapiti%20spatial\LAI\Batch%20results\2022\LAI_22_Zone_1_016.csv" TargetMode="External"/><Relationship Id="rId1" Type="http://schemas.openxmlformats.org/officeDocument/2006/relationships/externalLinkPath" Target="/Users/hawkj/Documents/Github/Kapiti%20spatial/LAI/Batch%20results/2022/LAI_22_Zone_1_016.csv" TargetMode="External"/></Relationships>
</file>

<file path=xl/externalLinks/_rels/externalLink19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7.csv" TargetMode="External"/><Relationship Id="rId2" Type="http://schemas.openxmlformats.org/officeDocument/2006/relationships/externalLinkPath" Target="file:///C:\Users\hawkj\Documents\Github\Kapiti%20spatial\LAI\Batch%20results\2022\LAI_22_Zone_1_017.csv" TargetMode="External"/><Relationship Id="rId1" Type="http://schemas.openxmlformats.org/officeDocument/2006/relationships/externalLinkPath" Target="/Users/hawkj/Documents/Github/Kapiti%20spatial/LAI/Batch%20results/2022/LAI_22_Zone_1_017.csv" TargetMode="External"/></Relationships>
</file>

<file path=xl/externalLinks/_rels/externalLink20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8.csv" TargetMode="External"/><Relationship Id="rId2" Type="http://schemas.openxmlformats.org/officeDocument/2006/relationships/externalLinkPath" Target="file:///C:\Users\hawkj\Documents\Github\Kapiti%20spatial\LAI\Batch%20results\2022\LAI_22_Zone_1_018.csv" TargetMode="External"/><Relationship Id="rId1" Type="http://schemas.openxmlformats.org/officeDocument/2006/relationships/externalLinkPath" Target="/Users/hawkj/Documents/Github/Kapiti%20spatial/LAI/Batch%20results/2022/LAI_22_Zone_1_018.csv" TargetMode="External"/></Relationships>
</file>

<file path=xl/externalLinks/_rels/externalLink20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19.csv" TargetMode="External"/><Relationship Id="rId2" Type="http://schemas.openxmlformats.org/officeDocument/2006/relationships/externalLinkPath" Target="file:///C:\Users\hawkj\Documents\Github\Kapiti%20spatial\LAI\Batch%20results\2022\LAI_22_Zone_1_019.csv" TargetMode="External"/><Relationship Id="rId1" Type="http://schemas.openxmlformats.org/officeDocument/2006/relationships/externalLinkPath" Target="/Users/hawkj/Documents/Github/Kapiti%20spatial/LAI/Batch%20results/2022/LAI_22_Zone_1_019.csv" TargetMode="External"/></Relationships>
</file>

<file path=xl/externalLinks/_rels/externalLink20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0.csv" TargetMode="External"/><Relationship Id="rId2" Type="http://schemas.openxmlformats.org/officeDocument/2006/relationships/externalLinkPath" Target="file:///C:\Users\hawkj\Documents\Github\Kapiti%20spatial\LAI\Batch%20results\2022\LAI_22_Zone_1_020.csv" TargetMode="External"/><Relationship Id="rId1" Type="http://schemas.openxmlformats.org/officeDocument/2006/relationships/externalLinkPath" Target="/Users/hawkj/Documents/Github/Kapiti%20spatial/LAI/Batch%20results/2022/LAI_22_Zone_1_020.csv" TargetMode="External"/></Relationships>
</file>

<file path=xl/externalLinks/_rels/externalLink20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1.csv" TargetMode="External"/><Relationship Id="rId2" Type="http://schemas.openxmlformats.org/officeDocument/2006/relationships/externalLinkPath" Target="file:///C:\Users\hawkj\Documents\Github\Kapiti%20spatial\LAI\Batch%20results\2022\LAI_22_Zone_1_021.csv" TargetMode="External"/><Relationship Id="rId1" Type="http://schemas.openxmlformats.org/officeDocument/2006/relationships/externalLinkPath" Target="/Users/hawkj/Documents/Github/Kapiti%20spatial/LAI/Batch%20results/2022/LAI_22_Zone_1_021.csv" TargetMode="External"/></Relationships>
</file>

<file path=xl/externalLinks/_rels/externalLink20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2.csv" TargetMode="External"/><Relationship Id="rId2" Type="http://schemas.openxmlformats.org/officeDocument/2006/relationships/externalLinkPath" Target="file:///C:\Users\hawkj\Documents\Github\Kapiti%20spatial\LAI\Batch%20results\2022\LAI_22_Zone_1_022.csv" TargetMode="External"/><Relationship Id="rId1" Type="http://schemas.openxmlformats.org/officeDocument/2006/relationships/externalLinkPath" Target="/Users/hawkj/Documents/Github/Kapiti%20spatial/LAI/Batch%20results/2022/LAI_22_Zone_1_022.csv" TargetMode="External"/></Relationships>
</file>

<file path=xl/externalLinks/_rels/externalLink20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3.csv" TargetMode="External"/><Relationship Id="rId2" Type="http://schemas.openxmlformats.org/officeDocument/2006/relationships/externalLinkPath" Target="file:///C:\Users\hawkj\Documents\Github\Kapiti%20spatial\LAI\Batch%20results\2022\LAI_22_Zone_1_023.csv" TargetMode="External"/><Relationship Id="rId1" Type="http://schemas.openxmlformats.org/officeDocument/2006/relationships/externalLinkPath" Target="/Users/hawkj/Documents/Github/Kapiti%20spatial/LAI/Batch%20results/2022/LAI_22_Zone_1_023.csv" TargetMode="External"/></Relationships>
</file>

<file path=xl/externalLinks/_rels/externalLink20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4.csv" TargetMode="External"/><Relationship Id="rId2" Type="http://schemas.openxmlformats.org/officeDocument/2006/relationships/externalLinkPath" Target="file:///C:\Users\hawkj\Documents\Github\Kapiti%20spatial\LAI\Batch%20results\2022\LAI_22_Zone_1_024.csv" TargetMode="External"/><Relationship Id="rId1" Type="http://schemas.openxmlformats.org/officeDocument/2006/relationships/externalLinkPath" Target="/Users/hawkj/Documents/Github/Kapiti%20spatial/LAI/Batch%20results/2022/LAI_22_Zone_1_024.csv" TargetMode="External"/></Relationships>
</file>

<file path=xl/externalLinks/_rels/externalLink20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5.csv" TargetMode="External"/><Relationship Id="rId2" Type="http://schemas.openxmlformats.org/officeDocument/2006/relationships/externalLinkPath" Target="file:///C:\Users\hawkj\Documents\Github\Kapiti%20spatial\LAI\Batch%20results\2022\LAI_22_Zone_1_025.csv" TargetMode="External"/><Relationship Id="rId1" Type="http://schemas.openxmlformats.org/officeDocument/2006/relationships/externalLinkPath" Target="/Users/hawkj/Documents/Github/Kapiti%20spatial/LAI/Batch%20results/2022/LAI_22_Zone_1_025.csv" TargetMode="External"/></Relationships>
</file>

<file path=xl/externalLinks/_rels/externalLink20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6.csv" TargetMode="External"/><Relationship Id="rId2" Type="http://schemas.openxmlformats.org/officeDocument/2006/relationships/externalLinkPath" Target="file:///C:\Users\hawkj\Documents\Github\Kapiti%20spatial\LAI\Batch%20results\2022\LAI_22_Zone_1_026.csv" TargetMode="External"/><Relationship Id="rId1" Type="http://schemas.openxmlformats.org/officeDocument/2006/relationships/externalLinkPath" Target="/Users/hawkj/Documents/Github/Kapiti%20spatial/LAI/Batch%20results/2022/LAI_22_Zone_1_026.csv" TargetMode="External"/></Relationships>
</file>

<file path=xl/externalLinks/_rels/externalLink20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7.csv" TargetMode="External"/><Relationship Id="rId2" Type="http://schemas.openxmlformats.org/officeDocument/2006/relationships/externalLinkPath" Target="file:///C:\Users\hawkj\Documents\Github\Kapiti%20spatial\LAI\Batch%20results\2022\LAI_22_Zone_1_027.csv" TargetMode="External"/><Relationship Id="rId1" Type="http://schemas.openxmlformats.org/officeDocument/2006/relationships/externalLinkPath" Target="/Users/hawkj/Documents/Github/Kapiti%20spatial/LAI/Batch%20results/2022/LAI_22_Zone_1_027.csv" TargetMode="External"/></Relationships>
</file>

<file path=xl/externalLinks/_rels/externalLink2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8.csv" TargetMode="External"/><Relationship Id="rId2" Type="http://schemas.openxmlformats.org/officeDocument/2006/relationships/externalLinkPath" Target="file:///C:\Users\hawkj\Documents\Github\Kapiti%20spatial\LAI\Batch%20results\2022\LAI_22_Zone_1_028.csv" TargetMode="External"/><Relationship Id="rId1" Type="http://schemas.openxmlformats.org/officeDocument/2006/relationships/externalLinkPath" Target="/Users/hawkj/Documents/Github/Kapiti%20spatial/LAI/Batch%20results/2022/LAI_22_Zone_1_028.csv" TargetMode="External"/></Relationships>
</file>

<file path=xl/externalLinks/_rels/externalLink2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29.csv" TargetMode="External"/><Relationship Id="rId2" Type="http://schemas.openxmlformats.org/officeDocument/2006/relationships/externalLinkPath" Target="file:///C:\Users\hawkj\Documents\Github\Kapiti%20spatial\LAI\Batch%20results\2022\LAI_22_Zone_1_029.csv" TargetMode="External"/><Relationship Id="rId1" Type="http://schemas.openxmlformats.org/officeDocument/2006/relationships/externalLinkPath" Target="/Users/hawkj/Documents/Github/Kapiti%20spatial/LAI/Batch%20results/2022/LAI_22_Zone_1_029.csv" TargetMode="External"/></Relationships>
</file>

<file path=xl/externalLinks/_rels/externalLink2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0.csv" TargetMode="External"/><Relationship Id="rId2" Type="http://schemas.openxmlformats.org/officeDocument/2006/relationships/externalLinkPath" Target="file:///C:\Users\hawkj\Documents\Github\Kapiti%20spatial\LAI\Batch%20results\2022\LAI_22_Zone_1_030.csv" TargetMode="External"/><Relationship Id="rId1" Type="http://schemas.openxmlformats.org/officeDocument/2006/relationships/externalLinkPath" Target="/Users/hawkj/Documents/Github/Kapiti%20spatial/LAI/Batch%20results/2022/LAI_22_Zone_1_030.csv" TargetMode="External"/></Relationships>
</file>

<file path=xl/externalLinks/_rels/externalLink2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1.csv" TargetMode="External"/><Relationship Id="rId2" Type="http://schemas.openxmlformats.org/officeDocument/2006/relationships/externalLinkPath" Target="file:///C:\Users\hawkj\Documents\Github\Kapiti%20spatial\LAI\Batch%20results\2022\LAI_22_Zone_1_031.csv" TargetMode="External"/><Relationship Id="rId1" Type="http://schemas.openxmlformats.org/officeDocument/2006/relationships/externalLinkPath" Target="/Users/hawkj/Documents/Github/Kapiti%20spatial/LAI/Batch%20results/2022/LAI_22_Zone_1_031.csv" TargetMode="External"/></Relationships>
</file>

<file path=xl/externalLinks/_rels/externalLink2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2.csv" TargetMode="External"/><Relationship Id="rId2" Type="http://schemas.openxmlformats.org/officeDocument/2006/relationships/externalLinkPath" Target="file:///C:\Users\hawkj\Documents\Github\Kapiti%20spatial\LAI\Batch%20results\2022\LAI_22_Zone_1_032.csv" TargetMode="External"/><Relationship Id="rId1" Type="http://schemas.openxmlformats.org/officeDocument/2006/relationships/externalLinkPath" Target="/Users/hawkj/Documents/Github/Kapiti%20spatial/LAI/Batch%20results/2022/LAI_22_Zone_1_032.csv" TargetMode="External"/></Relationships>
</file>

<file path=xl/externalLinks/_rels/externalLink2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3.csv" TargetMode="External"/><Relationship Id="rId2" Type="http://schemas.openxmlformats.org/officeDocument/2006/relationships/externalLinkPath" Target="file:///C:\Users\hawkj\Documents\Github\Kapiti%20spatial\LAI\Batch%20results\2022\LAI_22_Zone_1_033.csv" TargetMode="External"/><Relationship Id="rId1" Type="http://schemas.openxmlformats.org/officeDocument/2006/relationships/externalLinkPath" Target="/Users/hawkj/Documents/Github/Kapiti%20spatial/LAI/Batch%20results/2022/LAI_22_Zone_1_033.csv" TargetMode="External"/></Relationships>
</file>

<file path=xl/externalLinks/_rels/externalLink2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4.csv" TargetMode="External"/><Relationship Id="rId2" Type="http://schemas.openxmlformats.org/officeDocument/2006/relationships/externalLinkPath" Target="file:///C:\Users\hawkj\Documents\Github\Kapiti%20spatial\LAI\Batch%20results\2022\LAI_22_Zone_1_034.csv" TargetMode="External"/><Relationship Id="rId1" Type="http://schemas.openxmlformats.org/officeDocument/2006/relationships/externalLinkPath" Target="/Users/hawkj/Documents/Github/Kapiti%20spatial/LAI/Batch%20results/2022/LAI_22_Zone_1_034.csv" TargetMode="External"/></Relationships>
</file>

<file path=xl/externalLinks/_rels/externalLink2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5.csv" TargetMode="External"/><Relationship Id="rId2" Type="http://schemas.openxmlformats.org/officeDocument/2006/relationships/externalLinkPath" Target="file:///C:\Users\hawkj\Documents\Github\Kapiti%20spatial\LAI\Batch%20results\2022\LAI_22_Zone_1_035.csv" TargetMode="External"/><Relationship Id="rId1" Type="http://schemas.openxmlformats.org/officeDocument/2006/relationships/externalLinkPath" Target="/Users/hawkj/Documents/Github/Kapiti%20spatial/LAI/Batch%20results/2022/LAI_22_Zone_1_035.csv" TargetMode="External"/></Relationships>
</file>

<file path=xl/externalLinks/_rels/externalLink2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6.csv" TargetMode="External"/><Relationship Id="rId2" Type="http://schemas.openxmlformats.org/officeDocument/2006/relationships/externalLinkPath" Target="file:///C:\Users\hawkj\Documents\Github\Kapiti%20spatial\LAI\Batch%20results\2022\LAI_22_Zone_1_036.csv" TargetMode="External"/><Relationship Id="rId1" Type="http://schemas.openxmlformats.org/officeDocument/2006/relationships/externalLinkPath" Target="/Users/hawkj/Documents/Github/Kapiti%20spatial/LAI/Batch%20results/2022/LAI_22_Zone_1_036.csv" TargetMode="External"/></Relationships>
</file>

<file path=xl/externalLinks/_rels/externalLink2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7.csv" TargetMode="External"/><Relationship Id="rId2" Type="http://schemas.openxmlformats.org/officeDocument/2006/relationships/externalLinkPath" Target="file:///C:\Users\hawkj\Documents\Github\Kapiti%20spatial\LAI\Batch%20results\2022\LAI_22_Zone_1_037.csv" TargetMode="External"/><Relationship Id="rId1" Type="http://schemas.openxmlformats.org/officeDocument/2006/relationships/externalLinkPath" Target="/Users/hawkj/Documents/Github/Kapiti%20spatial/LAI/Batch%20results/2022/LAI_22_Zone_1_037.csv" TargetMode="External"/></Relationships>
</file>

<file path=xl/externalLinks/_rels/externalLink2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8.csv" TargetMode="External"/><Relationship Id="rId2" Type="http://schemas.openxmlformats.org/officeDocument/2006/relationships/externalLinkPath" Target="file:///C:\Users\hawkj\Documents\Github\Kapiti%20spatial\LAI\Batch%20results\2022\LAI_22_Zone_1_038.csv" TargetMode="External"/><Relationship Id="rId1" Type="http://schemas.openxmlformats.org/officeDocument/2006/relationships/externalLinkPath" Target="/Users/hawkj/Documents/Github/Kapiti%20spatial/LAI/Batch%20results/2022/LAI_22_Zone_1_038.csv" TargetMode="External"/></Relationships>
</file>

<file path=xl/externalLinks/_rels/externalLink2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39.csv" TargetMode="External"/><Relationship Id="rId2" Type="http://schemas.openxmlformats.org/officeDocument/2006/relationships/externalLinkPath" Target="file:///C:\Users\hawkj\Documents\Github\Kapiti%20spatial\LAI\Batch%20results\2022\LAI_22_Zone_1_039.csv" TargetMode="External"/><Relationship Id="rId1" Type="http://schemas.openxmlformats.org/officeDocument/2006/relationships/externalLinkPath" Target="/Users/hawkj/Documents/Github/Kapiti%20spatial/LAI/Batch%20results/2022/LAI_22_Zone_1_039.csv" TargetMode="External"/></Relationships>
</file>

<file path=xl/externalLinks/_rels/externalLink2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0.csv" TargetMode="External"/><Relationship Id="rId2" Type="http://schemas.openxmlformats.org/officeDocument/2006/relationships/externalLinkPath" Target="file:///C:\Users\hawkj\Documents\Github\Kapiti%20spatial\LAI\Batch%20results\2022\LAI_22_Zone_1_040.csv" TargetMode="External"/><Relationship Id="rId1" Type="http://schemas.openxmlformats.org/officeDocument/2006/relationships/externalLinkPath" Target="/Users/hawkj/Documents/Github/Kapiti%20spatial/LAI/Batch%20results/2022/LAI_22_Zone_1_040.csv" TargetMode="External"/></Relationships>
</file>

<file path=xl/externalLinks/_rels/externalLink2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1.csv" TargetMode="External"/><Relationship Id="rId2" Type="http://schemas.openxmlformats.org/officeDocument/2006/relationships/externalLinkPath" Target="file:///C:\Users\hawkj\Documents\Github\Kapiti%20spatial\LAI\Batch%20results\2022\LAI_22_Zone_1_041.csv" TargetMode="External"/><Relationship Id="rId1" Type="http://schemas.openxmlformats.org/officeDocument/2006/relationships/externalLinkPath" Target="/Users/hawkj/Documents/Github/Kapiti%20spatial/LAI/Batch%20results/2022/LAI_22_Zone_1_041.csv" TargetMode="External"/></Relationships>
</file>

<file path=xl/externalLinks/_rels/externalLink2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2.csv" TargetMode="External"/><Relationship Id="rId2" Type="http://schemas.openxmlformats.org/officeDocument/2006/relationships/externalLinkPath" Target="file:///C:\Users\hawkj\Documents\Github\Kapiti%20spatial\LAI\Batch%20results\2022\LAI_22_Zone_1_042.csv" TargetMode="External"/><Relationship Id="rId1" Type="http://schemas.openxmlformats.org/officeDocument/2006/relationships/externalLinkPath" Target="/Users/hawkj/Documents/Github/Kapiti%20spatial/LAI/Batch%20results/2022/LAI_22_Zone_1_042.csv" TargetMode="External"/></Relationships>
</file>

<file path=xl/externalLinks/_rels/externalLink2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3.csv" TargetMode="External"/><Relationship Id="rId2" Type="http://schemas.openxmlformats.org/officeDocument/2006/relationships/externalLinkPath" Target="file:///C:\Users\hawkj\Documents\Github\Kapiti%20spatial\LAI\Batch%20results\2022\LAI_22_Zone_1_043.csv" TargetMode="External"/><Relationship Id="rId1" Type="http://schemas.openxmlformats.org/officeDocument/2006/relationships/externalLinkPath" Target="/Users/hawkj/Documents/Github/Kapiti%20spatial/LAI/Batch%20results/2022/LAI_22_Zone_1_043.csv" TargetMode="External"/></Relationships>
</file>

<file path=xl/externalLinks/_rels/externalLink2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4.csv" TargetMode="External"/><Relationship Id="rId2" Type="http://schemas.openxmlformats.org/officeDocument/2006/relationships/externalLinkPath" Target="file:///C:\Users\hawkj\Documents\Github\Kapiti%20spatial\LAI\Batch%20results\2022\LAI_22_Zone_1_044.csv" TargetMode="External"/><Relationship Id="rId1" Type="http://schemas.openxmlformats.org/officeDocument/2006/relationships/externalLinkPath" Target="/Users/hawkj/Documents/Github/Kapiti%20spatial/LAI/Batch%20results/2022/LAI_22_Zone_1_044.csv" TargetMode="External"/></Relationships>
</file>

<file path=xl/externalLinks/_rels/externalLink2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5.csv" TargetMode="External"/><Relationship Id="rId2" Type="http://schemas.openxmlformats.org/officeDocument/2006/relationships/externalLinkPath" Target="file:///C:\Users\hawkj\Documents\Github\Kapiti%20spatial\LAI\Batch%20results\2022\LAI_22_Zone_1_045.csv" TargetMode="External"/><Relationship Id="rId1" Type="http://schemas.openxmlformats.org/officeDocument/2006/relationships/externalLinkPath" Target="/Users/hawkj/Documents/Github/Kapiti%20spatial/LAI/Batch%20results/2022/LAI_22_Zone_1_045.csv" TargetMode="External"/></Relationships>
</file>

<file path=xl/externalLinks/_rels/externalLink2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2/LAI_22_Zone_1_046.csv" TargetMode="External"/><Relationship Id="rId2" Type="http://schemas.openxmlformats.org/officeDocument/2006/relationships/externalLinkPath" Target="file:///C:\Users\hawkj\Documents\Github\Kapiti%20spatial\LAI\Batch%20results\2022\LAI_22_Zone_1_046.csv" TargetMode="External"/><Relationship Id="rId1" Type="http://schemas.openxmlformats.org/officeDocument/2006/relationships/externalLinkPath" Target="/Users/hawkj/Documents/Github/Kapiti%20spatial/LAI/Batch%20results/2022/LAI_22_Zone_1_046.csv" TargetMode="External"/></Relationships>
</file>

<file path=xl/externalLinks/_rels/externalLink2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.csv" TargetMode="External"/><Relationship Id="rId2" Type="http://schemas.openxmlformats.org/officeDocument/2006/relationships/externalLinkPath" Target="file:///C:\Users\hawkj\Documents\Github\Kapiti%20spatial\LAI\Batch%20results\2023\LAI_23_Zone_1_01.csv" TargetMode="External"/><Relationship Id="rId1" Type="http://schemas.openxmlformats.org/officeDocument/2006/relationships/externalLinkPath" Target="/Users/hawkj/Documents/Github/Kapiti%20spatial/LAI/Batch%20results/2023/LAI_23_Zone_1_01.csv" TargetMode="External"/></Relationships>
</file>

<file path=xl/externalLinks/_rels/externalLink2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.csv" TargetMode="External"/><Relationship Id="rId2" Type="http://schemas.openxmlformats.org/officeDocument/2006/relationships/externalLinkPath" Target="file:///C:\Users\hawkj\Documents\Github\Kapiti%20spatial\LAI\Batch%20results\2023\LAI_23_Zone_1_02.csv" TargetMode="External"/><Relationship Id="rId1" Type="http://schemas.openxmlformats.org/officeDocument/2006/relationships/externalLinkPath" Target="/Users/hawkj/Documents/Github/Kapiti%20spatial/LAI/Batch%20results/2023/LAI_23_Zone_1_02.csv" TargetMode="External"/></Relationships>
</file>

<file path=xl/externalLinks/_rels/externalLink2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.csv" TargetMode="External"/><Relationship Id="rId2" Type="http://schemas.openxmlformats.org/officeDocument/2006/relationships/externalLinkPath" Target="file:///C:\Users\hawkj\Documents\Github\Kapiti%20spatial\LAI\Batch%20results\2023\LAI_23_Zone_1_03.csv" TargetMode="External"/><Relationship Id="rId1" Type="http://schemas.openxmlformats.org/officeDocument/2006/relationships/externalLinkPath" Target="/Users/hawkj/Documents/Github/Kapiti%20spatial/LAI/Batch%20results/2023/LAI_23_Zone_1_03.csv" TargetMode="External"/></Relationships>
</file>

<file path=xl/externalLinks/_rels/externalLink2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.csv" TargetMode="External"/><Relationship Id="rId2" Type="http://schemas.openxmlformats.org/officeDocument/2006/relationships/externalLinkPath" Target="file:///C:\Users\hawkj\Documents\Github\Kapiti%20spatial\LAI\Batch%20results\2023\LAI_23_Zone_1_04.csv" TargetMode="External"/><Relationship Id="rId1" Type="http://schemas.openxmlformats.org/officeDocument/2006/relationships/externalLinkPath" Target="/Users/hawkj/Documents/Github/Kapiti%20spatial/LAI/Batch%20results/2023/LAI_23_Zone_1_04.csv" TargetMode="External"/></Relationships>
</file>

<file path=xl/externalLinks/_rels/externalLink2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5.csv" TargetMode="External"/><Relationship Id="rId2" Type="http://schemas.openxmlformats.org/officeDocument/2006/relationships/externalLinkPath" Target="file:///C:\Users\hawkj\Documents\Github\Kapiti%20spatial\LAI\Batch%20results\2023\LAI_23_Zone_1_05.csv" TargetMode="External"/><Relationship Id="rId1" Type="http://schemas.openxmlformats.org/officeDocument/2006/relationships/externalLinkPath" Target="/Users/hawkj/Documents/Github/Kapiti%20spatial/LAI/Batch%20results/2023/LAI_23_Zone_1_05.csv" TargetMode="External"/></Relationships>
</file>

<file path=xl/externalLinks/_rels/externalLink2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6.csv" TargetMode="External"/><Relationship Id="rId2" Type="http://schemas.openxmlformats.org/officeDocument/2006/relationships/externalLinkPath" Target="file:///C:\Users\hawkj\Documents\Github\Kapiti%20spatial\LAI\Batch%20results\2023\LAI_23_Zone_1_06.csv" TargetMode="External"/><Relationship Id="rId1" Type="http://schemas.openxmlformats.org/officeDocument/2006/relationships/externalLinkPath" Target="/Users/hawkj/Documents/Github/Kapiti%20spatial/LAI/Batch%20results/2023/LAI_23_Zone_1_06.csv" TargetMode="External"/></Relationships>
</file>

<file path=xl/externalLinks/_rels/externalLink2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7.csv" TargetMode="External"/><Relationship Id="rId2" Type="http://schemas.openxmlformats.org/officeDocument/2006/relationships/externalLinkPath" Target="file:///C:\Users\hawkj\Documents\Github\Kapiti%20spatial\LAI\Batch%20results\2023\LAI_23_Zone_1_07.csv" TargetMode="External"/><Relationship Id="rId1" Type="http://schemas.openxmlformats.org/officeDocument/2006/relationships/externalLinkPath" Target="/Users/hawkj/Documents/Github/Kapiti%20spatial/LAI/Batch%20results/2023/LAI_23_Zone_1_07.csv" TargetMode="External"/></Relationships>
</file>

<file path=xl/externalLinks/_rels/externalLink2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8.csv" TargetMode="External"/><Relationship Id="rId2" Type="http://schemas.openxmlformats.org/officeDocument/2006/relationships/externalLinkPath" Target="file:///C:\Users\hawkj\Documents\Github\Kapiti%20spatial\LAI\Batch%20results\2023\LAI_23_Zone_1_08.csv" TargetMode="External"/><Relationship Id="rId1" Type="http://schemas.openxmlformats.org/officeDocument/2006/relationships/externalLinkPath" Target="/Users/hawkj/Documents/Github/Kapiti%20spatial/LAI/Batch%20results/2023/LAI_23_Zone_1_08.csv" TargetMode="External"/></Relationships>
</file>

<file path=xl/externalLinks/_rels/externalLink2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9.csv" TargetMode="External"/><Relationship Id="rId2" Type="http://schemas.openxmlformats.org/officeDocument/2006/relationships/externalLinkPath" Target="file:///C:\Users\hawkj\Documents\Github\Kapiti%20spatial\LAI\Batch%20results\2023\LAI_23_Zone_1_09.csv" TargetMode="External"/><Relationship Id="rId1" Type="http://schemas.openxmlformats.org/officeDocument/2006/relationships/externalLinkPath" Target="/Users/hawkj/Documents/Github/Kapiti%20spatial/LAI/Batch%20results/2023/LAI_23_Zone_1_09.csv" TargetMode="External"/></Relationships>
</file>

<file path=xl/externalLinks/_rels/externalLink2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0.csv" TargetMode="External"/><Relationship Id="rId2" Type="http://schemas.openxmlformats.org/officeDocument/2006/relationships/externalLinkPath" Target="file:///C:\Users\hawkj\Documents\Github\Kapiti%20spatial\LAI\Batch%20results\2023\LAI_23_Zone_1_010.csv" TargetMode="External"/><Relationship Id="rId1" Type="http://schemas.openxmlformats.org/officeDocument/2006/relationships/externalLinkPath" Target="/Users/hawkj/Documents/Github/Kapiti%20spatial/LAI/Batch%20results/2023/LAI_23_Zone_1_010.csv" TargetMode="External"/></Relationships>
</file>

<file path=xl/externalLinks/_rels/externalLink2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1.csv" TargetMode="External"/><Relationship Id="rId2" Type="http://schemas.openxmlformats.org/officeDocument/2006/relationships/externalLinkPath" Target="file:///C:\Users\hawkj\Documents\Github\Kapiti%20spatial\LAI\Batch%20results\2023\LAI_23_Zone_1_011.csv" TargetMode="External"/><Relationship Id="rId1" Type="http://schemas.openxmlformats.org/officeDocument/2006/relationships/externalLinkPath" Target="/Users/hawkj/Documents/Github/Kapiti%20spatial/LAI/Batch%20results/2023/LAI_23_Zone_1_011.csv" TargetMode="External"/></Relationships>
</file>

<file path=xl/externalLinks/_rels/externalLink2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2.csv" TargetMode="External"/><Relationship Id="rId2" Type="http://schemas.openxmlformats.org/officeDocument/2006/relationships/externalLinkPath" Target="file:///C:\Users\hawkj\Documents\Github\Kapiti%20spatial\LAI\Batch%20results\2023\LAI_23_Zone_1_012.csv" TargetMode="External"/><Relationship Id="rId1" Type="http://schemas.openxmlformats.org/officeDocument/2006/relationships/externalLinkPath" Target="/Users/hawkj/Documents/Github/Kapiti%20spatial/LAI/Batch%20results/2023/LAI_23_Zone_1_012.csv" TargetMode="External"/></Relationships>
</file>

<file path=xl/externalLinks/_rels/externalLink2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3.csv" TargetMode="External"/><Relationship Id="rId2" Type="http://schemas.openxmlformats.org/officeDocument/2006/relationships/externalLinkPath" Target="file:///C:\Users\hawkj\Documents\Github\Kapiti%20spatial\LAI\Batch%20results\2023\LAI_23_Zone_1_013.csv" TargetMode="External"/><Relationship Id="rId1" Type="http://schemas.openxmlformats.org/officeDocument/2006/relationships/externalLinkPath" Target="/Users/hawkj/Documents/Github/Kapiti%20spatial/LAI/Batch%20results/2023/LAI_23_Zone_1_013.csv" TargetMode="External"/></Relationships>
</file>

<file path=xl/externalLinks/_rels/externalLink2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4.csv" TargetMode="External"/><Relationship Id="rId2" Type="http://schemas.openxmlformats.org/officeDocument/2006/relationships/externalLinkPath" Target="file:///C:\Users\hawkj\Documents\Github\Kapiti%20spatial\LAI\Batch%20results\2023\LAI_23_Zone_1_014.csv" TargetMode="External"/><Relationship Id="rId1" Type="http://schemas.openxmlformats.org/officeDocument/2006/relationships/externalLinkPath" Target="/Users/hawkj/Documents/Github/Kapiti%20spatial/LAI/Batch%20results/2023/LAI_23_Zone_1_014.csv" TargetMode="External"/></Relationships>
</file>

<file path=xl/externalLinks/_rels/externalLink2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5.csv" TargetMode="External"/><Relationship Id="rId2" Type="http://schemas.openxmlformats.org/officeDocument/2006/relationships/externalLinkPath" Target="file:///C:\Users\hawkj\Documents\Github\Kapiti%20spatial\LAI\Batch%20results\2023\LAI_23_Zone_1_015.csv" TargetMode="External"/><Relationship Id="rId1" Type="http://schemas.openxmlformats.org/officeDocument/2006/relationships/externalLinkPath" Target="/Users/hawkj/Documents/Github/Kapiti%20spatial/LAI/Batch%20results/2023/LAI_23_Zone_1_015.csv" TargetMode="External"/></Relationships>
</file>

<file path=xl/externalLinks/_rels/externalLink2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6.csv" TargetMode="External"/><Relationship Id="rId2" Type="http://schemas.openxmlformats.org/officeDocument/2006/relationships/externalLinkPath" Target="file:///C:\Users\hawkj\Documents\Github\Kapiti%20spatial\LAI\Batch%20results\2023\LAI_23_Zone_1_016.csv" TargetMode="External"/><Relationship Id="rId1" Type="http://schemas.openxmlformats.org/officeDocument/2006/relationships/externalLinkPath" Target="/Users/hawkj/Documents/Github/Kapiti%20spatial/LAI/Batch%20results/2023/LAI_23_Zone_1_016.csv" TargetMode="External"/></Relationships>
</file>

<file path=xl/externalLinks/_rels/externalLink2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7.csv" TargetMode="External"/><Relationship Id="rId2" Type="http://schemas.openxmlformats.org/officeDocument/2006/relationships/externalLinkPath" Target="file:///C:\Users\hawkj\Documents\Github\Kapiti%20spatial\LAI\Batch%20results\2023\LAI_23_Zone_1_017.csv" TargetMode="External"/><Relationship Id="rId1" Type="http://schemas.openxmlformats.org/officeDocument/2006/relationships/externalLinkPath" Target="/Users/hawkj/Documents/Github/Kapiti%20spatial/LAI/Batch%20results/2023/LAI_23_Zone_1_017.csv" TargetMode="External"/></Relationships>
</file>

<file path=xl/externalLinks/_rels/externalLink2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8.csv" TargetMode="External"/><Relationship Id="rId2" Type="http://schemas.openxmlformats.org/officeDocument/2006/relationships/externalLinkPath" Target="file:///C:\Users\hawkj\Documents\Github\Kapiti%20spatial\LAI\Batch%20results\2023\LAI_23_Zone_1_018.csv" TargetMode="External"/><Relationship Id="rId1" Type="http://schemas.openxmlformats.org/officeDocument/2006/relationships/externalLinkPath" Target="/Users/hawkj/Documents/Github/Kapiti%20spatial/LAI/Batch%20results/2023/LAI_23_Zone_1_018.csv" TargetMode="External"/></Relationships>
</file>

<file path=xl/externalLinks/_rels/externalLink2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19.csv" TargetMode="External"/><Relationship Id="rId2" Type="http://schemas.openxmlformats.org/officeDocument/2006/relationships/externalLinkPath" Target="file:///C:\Users\hawkj\Documents\Github\Kapiti%20spatial\LAI\Batch%20results\2023\LAI_23_Zone_1_019.csv" TargetMode="External"/><Relationship Id="rId1" Type="http://schemas.openxmlformats.org/officeDocument/2006/relationships/externalLinkPath" Target="/Users/hawkj/Documents/Github/Kapiti%20spatial/LAI/Batch%20results/2023/LAI_23_Zone_1_019.csv" TargetMode="External"/></Relationships>
</file>

<file path=xl/externalLinks/_rels/externalLink2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0.csv" TargetMode="External"/><Relationship Id="rId2" Type="http://schemas.openxmlformats.org/officeDocument/2006/relationships/externalLinkPath" Target="file:///C:\Users\hawkj\Documents\Github\Kapiti%20spatial\LAI\Batch%20results\2023\LAI_23_Zone_1_020.csv" TargetMode="External"/><Relationship Id="rId1" Type="http://schemas.openxmlformats.org/officeDocument/2006/relationships/externalLinkPath" Target="/Users/hawkj/Documents/Github/Kapiti%20spatial/LAI/Batch%20results/2023/LAI_23_Zone_1_020.csv" TargetMode="External"/></Relationships>
</file>

<file path=xl/externalLinks/_rels/externalLink2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1.csv" TargetMode="External"/><Relationship Id="rId2" Type="http://schemas.openxmlformats.org/officeDocument/2006/relationships/externalLinkPath" Target="file:///C:\Users\hawkj\Documents\Github\Kapiti%20spatial\LAI\Batch%20results\2023\LAI_23_Zone_1_021.csv" TargetMode="External"/><Relationship Id="rId1" Type="http://schemas.openxmlformats.org/officeDocument/2006/relationships/externalLinkPath" Target="/Users/hawkj/Documents/Github/Kapiti%20spatial/LAI/Batch%20results/2023/LAI_23_Zone_1_021.csv" TargetMode="External"/></Relationships>
</file>

<file path=xl/externalLinks/_rels/externalLink2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2.csv" TargetMode="External"/><Relationship Id="rId2" Type="http://schemas.openxmlformats.org/officeDocument/2006/relationships/externalLinkPath" Target="file:///C:\Users\hawkj\Documents\Github\Kapiti%20spatial\LAI\Batch%20results\2023\LAI_23_Zone_1_022.csv" TargetMode="External"/><Relationship Id="rId1" Type="http://schemas.openxmlformats.org/officeDocument/2006/relationships/externalLinkPath" Target="/Users/hawkj/Documents/Github/Kapiti%20spatial/LAI/Batch%20results/2023/LAI_23_Zone_1_022.csv" TargetMode="External"/></Relationships>
</file>

<file path=xl/externalLinks/_rels/externalLink2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3.csv" TargetMode="External"/><Relationship Id="rId2" Type="http://schemas.openxmlformats.org/officeDocument/2006/relationships/externalLinkPath" Target="file:///C:\Users\hawkj\Documents\Github\Kapiti%20spatial\LAI\Batch%20results\2023\LAI_23_Zone_1_023.csv" TargetMode="External"/><Relationship Id="rId1" Type="http://schemas.openxmlformats.org/officeDocument/2006/relationships/externalLinkPath" Target="/Users/hawkj/Documents/Github/Kapiti%20spatial/LAI/Batch%20results/2023/LAI_23_Zone_1_023.csv" TargetMode="External"/></Relationships>
</file>

<file path=xl/externalLinks/_rels/externalLink2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4.csv" TargetMode="External"/><Relationship Id="rId2" Type="http://schemas.openxmlformats.org/officeDocument/2006/relationships/externalLinkPath" Target="file:///C:\Users\hawkj\Documents\Github\Kapiti%20spatial\LAI\Batch%20results\2023\LAI_23_Zone_1_024.csv" TargetMode="External"/><Relationship Id="rId1" Type="http://schemas.openxmlformats.org/officeDocument/2006/relationships/externalLinkPath" Target="/Users/hawkj/Documents/Github/Kapiti%20spatial/LAI/Batch%20results/2023/LAI_23_Zone_1_024.csv" TargetMode="External"/></Relationships>
</file>

<file path=xl/externalLinks/_rels/externalLink2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5.csv" TargetMode="External"/><Relationship Id="rId2" Type="http://schemas.openxmlformats.org/officeDocument/2006/relationships/externalLinkPath" Target="file:///C:\Users\hawkj\Documents\Github\Kapiti%20spatial\LAI\Batch%20results\2023\LAI_23_Zone_1_025.csv" TargetMode="External"/><Relationship Id="rId1" Type="http://schemas.openxmlformats.org/officeDocument/2006/relationships/externalLinkPath" Target="/Users/hawkj/Documents/Github/Kapiti%20spatial/LAI/Batch%20results/2023/LAI_23_Zone_1_025.csv" TargetMode="External"/></Relationships>
</file>

<file path=xl/externalLinks/_rels/externalLink2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6.csv" TargetMode="External"/><Relationship Id="rId2" Type="http://schemas.openxmlformats.org/officeDocument/2006/relationships/externalLinkPath" Target="file:///C:\Users\hawkj\Documents\Github\Kapiti%20spatial\LAI\Batch%20results\2023\LAI_23_Zone_1_026.csv" TargetMode="External"/><Relationship Id="rId1" Type="http://schemas.openxmlformats.org/officeDocument/2006/relationships/externalLinkPath" Target="/Users/hawkj/Documents/Github/Kapiti%20spatial/LAI/Batch%20results/2023/LAI_23_Zone_1_026.csv" TargetMode="External"/></Relationships>
</file>

<file path=xl/externalLinks/_rels/externalLink2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7.csv" TargetMode="External"/><Relationship Id="rId2" Type="http://schemas.openxmlformats.org/officeDocument/2006/relationships/externalLinkPath" Target="file:///C:\Users\hawkj\Documents\Github\Kapiti%20spatial\LAI\Batch%20results\2023\LAI_23_Zone_1_027.csv" TargetMode="External"/><Relationship Id="rId1" Type="http://schemas.openxmlformats.org/officeDocument/2006/relationships/externalLinkPath" Target="/Users/hawkj/Documents/Github/Kapiti%20spatial/LAI/Batch%20results/2023/LAI_23_Zone_1_027.csv" TargetMode="External"/></Relationships>
</file>

<file path=xl/externalLinks/_rels/externalLink2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8.csv" TargetMode="External"/><Relationship Id="rId2" Type="http://schemas.openxmlformats.org/officeDocument/2006/relationships/externalLinkPath" Target="file:///C:\Users\hawkj\Documents\Github\Kapiti%20spatial\LAI\Batch%20results\2023\LAI_23_Zone_1_028.csv" TargetMode="External"/><Relationship Id="rId1" Type="http://schemas.openxmlformats.org/officeDocument/2006/relationships/externalLinkPath" Target="/Users/hawkj/Documents/Github/Kapiti%20spatial/LAI/Batch%20results/2023/LAI_23_Zone_1_028.csv" TargetMode="External"/></Relationships>
</file>

<file path=xl/externalLinks/_rels/externalLink2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29.csv" TargetMode="External"/><Relationship Id="rId2" Type="http://schemas.openxmlformats.org/officeDocument/2006/relationships/externalLinkPath" Target="file:///C:\Users\hawkj\Documents\Github\Kapiti%20spatial\LAI\Batch%20results\2023\LAI_23_Zone_1_029.csv" TargetMode="External"/><Relationship Id="rId1" Type="http://schemas.openxmlformats.org/officeDocument/2006/relationships/externalLinkPath" Target="/Users/hawkj/Documents/Github/Kapiti%20spatial/LAI/Batch%20results/2023/LAI_23_Zone_1_029.csv" TargetMode="External"/></Relationships>
</file>

<file path=xl/externalLinks/_rels/externalLink2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0.csv" TargetMode="External"/><Relationship Id="rId2" Type="http://schemas.openxmlformats.org/officeDocument/2006/relationships/externalLinkPath" Target="file:///C:\Users\hawkj\Documents\Github\Kapiti%20spatial\LAI\Batch%20results\2023\LAI_23_Zone_1_030.csv" TargetMode="External"/><Relationship Id="rId1" Type="http://schemas.openxmlformats.org/officeDocument/2006/relationships/externalLinkPath" Target="/Users/hawkj/Documents/Github/Kapiti%20spatial/LAI/Batch%20results/2023/LAI_23_Zone_1_030.csv" TargetMode="External"/></Relationships>
</file>

<file path=xl/externalLinks/_rels/externalLink2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1.csv" TargetMode="External"/><Relationship Id="rId2" Type="http://schemas.openxmlformats.org/officeDocument/2006/relationships/externalLinkPath" Target="file:///C:\Users\hawkj\Documents\Github\Kapiti%20spatial\LAI\Batch%20results\2023\LAI_23_Zone_1_031.csv" TargetMode="External"/><Relationship Id="rId1" Type="http://schemas.openxmlformats.org/officeDocument/2006/relationships/externalLinkPath" Target="/Users/hawkj/Documents/Github/Kapiti%20spatial/LAI/Batch%20results/2023/LAI_23_Zone_1_031.csv" TargetMode="External"/></Relationships>
</file>

<file path=xl/externalLinks/_rels/externalLink2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2.csv" TargetMode="External"/><Relationship Id="rId2" Type="http://schemas.openxmlformats.org/officeDocument/2006/relationships/externalLinkPath" Target="file:///C:\Users\hawkj\Documents\Github\Kapiti%20spatial\LAI\Batch%20results\2023\LAI_23_Zone_1_032.csv" TargetMode="External"/><Relationship Id="rId1" Type="http://schemas.openxmlformats.org/officeDocument/2006/relationships/externalLinkPath" Target="/Users/hawkj/Documents/Github/Kapiti%20spatial/LAI/Batch%20results/2023/LAI_23_Zone_1_032.csv" TargetMode="External"/></Relationships>
</file>

<file path=xl/externalLinks/_rels/externalLink2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3.csv" TargetMode="External"/><Relationship Id="rId2" Type="http://schemas.openxmlformats.org/officeDocument/2006/relationships/externalLinkPath" Target="file:///C:\Users\hawkj\Documents\Github\Kapiti%20spatial\LAI\Batch%20results\2023\LAI_23_Zone_1_033.csv" TargetMode="External"/><Relationship Id="rId1" Type="http://schemas.openxmlformats.org/officeDocument/2006/relationships/externalLinkPath" Target="/Users/hawkj/Documents/Github/Kapiti%20spatial/LAI/Batch%20results/2023/LAI_23_Zone_1_033.csv" TargetMode="External"/></Relationships>
</file>

<file path=xl/externalLinks/_rels/externalLink2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4.csv" TargetMode="External"/><Relationship Id="rId2" Type="http://schemas.openxmlformats.org/officeDocument/2006/relationships/externalLinkPath" Target="file:///C:\Users\hawkj\Documents\Github\Kapiti%20spatial\LAI\Batch%20results\2023\LAI_23_Zone_1_034.csv" TargetMode="External"/><Relationship Id="rId1" Type="http://schemas.openxmlformats.org/officeDocument/2006/relationships/externalLinkPath" Target="/Users/hawkj/Documents/Github/Kapiti%20spatial/LAI/Batch%20results/2023/LAI_23_Zone_1_034.csv" TargetMode="External"/></Relationships>
</file>

<file path=xl/externalLinks/_rels/externalLink2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5.csv" TargetMode="External"/><Relationship Id="rId2" Type="http://schemas.openxmlformats.org/officeDocument/2006/relationships/externalLinkPath" Target="file:///C:\Users\hawkj\Documents\Github\Kapiti%20spatial\LAI\Batch%20results\2023\LAI_23_Zone_1_035.csv" TargetMode="External"/><Relationship Id="rId1" Type="http://schemas.openxmlformats.org/officeDocument/2006/relationships/externalLinkPath" Target="/Users/hawkj/Documents/Github/Kapiti%20spatial/LAI/Batch%20results/2023/LAI_23_Zone_1_035.csv" TargetMode="External"/></Relationships>
</file>

<file path=xl/externalLinks/_rels/externalLink2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6.csv" TargetMode="External"/><Relationship Id="rId2" Type="http://schemas.openxmlformats.org/officeDocument/2006/relationships/externalLinkPath" Target="file:///C:\Users\hawkj\Documents\Github\Kapiti%20spatial\LAI\Batch%20results\2023\LAI_23_Zone_1_036.csv" TargetMode="External"/><Relationship Id="rId1" Type="http://schemas.openxmlformats.org/officeDocument/2006/relationships/externalLinkPath" Target="/Users/hawkj/Documents/Github/Kapiti%20spatial/LAI/Batch%20results/2023/LAI_23_Zone_1_036.csv" TargetMode="External"/></Relationships>
</file>

<file path=xl/externalLinks/_rels/externalLink2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7.csv" TargetMode="External"/><Relationship Id="rId2" Type="http://schemas.openxmlformats.org/officeDocument/2006/relationships/externalLinkPath" Target="file:///C:\Users\hawkj\Documents\Github\Kapiti%20spatial\LAI\Batch%20results\2023\LAI_23_Zone_1_037.csv" TargetMode="External"/><Relationship Id="rId1" Type="http://schemas.openxmlformats.org/officeDocument/2006/relationships/externalLinkPath" Target="/Users/hawkj/Documents/Github/Kapiti%20spatial/LAI/Batch%20results/2023/LAI_23_Zone_1_037.csv" TargetMode="External"/></Relationships>
</file>

<file path=xl/externalLinks/_rels/externalLink2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8.csv" TargetMode="External"/><Relationship Id="rId2" Type="http://schemas.openxmlformats.org/officeDocument/2006/relationships/externalLinkPath" Target="file:///C:\Users\hawkj\Documents\Github\Kapiti%20spatial\LAI\Batch%20results\2023\LAI_23_Zone_1_038.csv" TargetMode="External"/><Relationship Id="rId1" Type="http://schemas.openxmlformats.org/officeDocument/2006/relationships/externalLinkPath" Target="/Users/hawkj/Documents/Github/Kapiti%20spatial/LAI/Batch%20results/2023/LAI_23_Zone_1_038.csv" TargetMode="External"/></Relationships>
</file>

<file path=xl/externalLinks/_rels/externalLink2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39.csv" TargetMode="External"/><Relationship Id="rId2" Type="http://schemas.openxmlformats.org/officeDocument/2006/relationships/externalLinkPath" Target="file:///C:\Users\hawkj\Documents\Github\Kapiti%20spatial\LAI\Batch%20results\2023\LAI_23_Zone_1_039.csv" TargetMode="External"/><Relationship Id="rId1" Type="http://schemas.openxmlformats.org/officeDocument/2006/relationships/externalLinkPath" Target="/Users/hawkj/Documents/Github/Kapiti%20spatial/LAI/Batch%20results/2023/LAI_23_Zone_1_039.csv" TargetMode="External"/></Relationships>
</file>

<file path=xl/externalLinks/_rels/externalLink2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0.csv" TargetMode="External"/><Relationship Id="rId2" Type="http://schemas.openxmlformats.org/officeDocument/2006/relationships/externalLinkPath" Target="file:///C:\Users\hawkj\Documents\Github\Kapiti%20spatial\LAI\Batch%20results\2023\LAI_23_Zone_1_040.csv" TargetMode="External"/><Relationship Id="rId1" Type="http://schemas.openxmlformats.org/officeDocument/2006/relationships/externalLinkPath" Target="/Users/hawkj/Documents/Github/Kapiti%20spatial/LAI/Batch%20results/2023/LAI_23_Zone_1_040.csv" TargetMode="External"/></Relationships>
</file>

<file path=xl/externalLinks/_rels/externalLink2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1.csv" TargetMode="External"/><Relationship Id="rId2" Type="http://schemas.openxmlformats.org/officeDocument/2006/relationships/externalLinkPath" Target="file:///C:\Users\hawkj\Documents\Github\Kapiti%20spatial\LAI\Batch%20results\2023\LAI_23_Zone_1_041.csv" TargetMode="External"/><Relationship Id="rId1" Type="http://schemas.openxmlformats.org/officeDocument/2006/relationships/externalLinkPath" Target="/Users/hawkj/Documents/Github/Kapiti%20spatial/LAI/Batch%20results/2023/LAI_23_Zone_1_041.csv" TargetMode="External"/></Relationships>
</file>

<file path=xl/externalLinks/_rels/externalLink2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2.csv" TargetMode="External"/><Relationship Id="rId2" Type="http://schemas.openxmlformats.org/officeDocument/2006/relationships/externalLinkPath" Target="file:///C:\Users\hawkj\Documents\Github\Kapiti%20spatial\LAI\Batch%20results\2023\LAI_23_Zone_1_042.csv" TargetMode="External"/><Relationship Id="rId1" Type="http://schemas.openxmlformats.org/officeDocument/2006/relationships/externalLinkPath" Target="/Users/hawkj/Documents/Github/Kapiti%20spatial/LAI/Batch%20results/2023/LAI_23_Zone_1_042.csv" TargetMode="External"/></Relationships>
</file>

<file path=xl/externalLinks/_rels/externalLink2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3.csv" TargetMode="External"/><Relationship Id="rId2" Type="http://schemas.openxmlformats.org/officeDocument/2006/relationships/externalLinkPath" Target="file:///C:\Users\hawkj\Documents\Github\Kapiti%20spatial\LAI\Batch%20results\2023\LAI_23_Zone_1_043.csv" TargetMode="External"/><Relationship Id="rId1" Type="http://schemas.openxmlformats.org/officeDocument/2006/relationships/externalLinkPath" Target="/Users/hawkj/Documents/Github/Kapiti%20spatial/LAI/Batch%20results/2023/LAI_23_Zone_1_043.csv" TargetMode="External"/></Relationships>
</file>

<file path=xl/externalLinks/_rels/externalLink2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4.csv" TargetMode="External"/><Relationship Id="rId2" Type="http://schemas.openxmlformats.org/officeDocument/2006/relationships/externalLinkPath" Target="file:///C:\Users\hawkj\Documents\Github\Kapiti%20spatial\LAI\Batch%20results\2023\LAI_23_Zone_1_044.csv" TargetMode="External"/><Relationship Id="rId1" Type="http://schemas.openxmlformats.org/officeDocument/2006/relationships/externalLinkPath" Target="/Users/hawkj/Documents/Github/Kapiti%20spatial/LAI/Batch%20results/2023/LAI_23_Zone_1_044.csv" TargetMode="External"/></Relationships>
</file>

<file path=xl/externalLinks/_rels/externalLink2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5.csv" TargetMode="External"/><Relationship Id="rId2" Type="http://schemas.openxmlformats.org/officeDocument/2006/relationships/externalLinkPath" Target="file:///C:\Users\hawkj\Documents\Github\Kapiti%20spatial\LAI\Batch%20results\2023\LAI_23_Zone_1_045.csv" TargetMode="External"/><Relationship Id="rId1" Type="http://schemas.openxmlformats.org/officeDocument/2006/relationships/externalLinkPath" Target="/Users/hawkj/Documents/Github/Kapiti%20spatial/LAI/Batch%20results/2023/LAI_23_Zone_1_045.csv" TargetMode="External"/></Relationships>
</file>

<file path=xl/externalLinks/_rels/externalLink2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3/LAI_23_Zone_1_046.csv" TargetMode="External"/><Relationship Id="rId2" Type="http://schemas.openxmlformats.org/officeDocument/2006/relationships/externalLinkPath" Target="file:///C:\Users\hawkj\Documents\Github\Kapiti%20spatial\LAI\Batch%20results\2023\LAI_23_Zone_1_046.csv" TargetMode="External"/><Relationship Id="rId1" Type="http://schemas.openxmlformats.org/officeDocument/2006/relationships/externalLinkPath" Target="/Users/hawkj/Documents/Github/Kapiti%20spatial/LAI/Batch%20results/2023/LAI_23_Zone_1_046.csv" TargetMode="External"/></Relationships>
</file>

<file path=xl/externalLinks/_rels/externalLink2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.csv" TargetMode="External"/><Relationship Id="rId2" Type="http://schemas.openxmlformats.org/officeDocument/2006/relationships/externalLinkPath" Target="file:///C:\Users\hawkj\Documents\Github\Kapiti%20spatial\LAI\Batch%20results\2024\LAI_24_Zone_1_01.csv" TargetMode="External"/><Relationship Id="rId1" Type="http://schemas.openxmlformats.org/officeDocument/2006/relationships/externalLinkPath" Target="/Users/hawkj/Documents/Github/Kapiti%20spatial/LAI/Batch%20results/2024/LAI_24_Zone_1_01.csv" TargetMode="External"/></Relationships>
</file>

<file path=xl/externalLinks/_rels/externalLink2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.csv" TargetMode="External"/><Relationship Id="rId2" Type="http://schemas.openxmlformats.org/officeDocument/2006/relationships/externalLinkPath" Target="file:///C:\Users\hawkj\Documents\Github\Kapiti%20spatial\LAI\Batch%20results\2024\LAI_24_Zone_1_02.csv" TargetMode="External"/><Relationship Id="rId1" Type="http://schemas.openxmlformats.org/officeDocument/2006/relationships/externalLinkPath" Target="/Users/hawkj/Documents/Github/Kapiti%20spatial/LAI/Batch%20results/2024/LAI_24_Zone_1_02.csv" TargetMode="External"/></Relationships>
</file>

<file path=xl/externalLinks/_rels/externalLink2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.csv" TargetMode="External"/><Relationship Id="rId2" Type="http://schemas.openxmlformats.org/officeDocument/2006/relationships/externalLinkPath" Target="file:///C:\Users\hawkj\Documents\Github\Kapiti%20spatial\LAI\Batch%20results\2024\LAI_24_Zone_1_03.csv" TargetMode="External"/><Relationship Id="rId1" Type="http://schemas.openxmlformats.org/officeDocument/2006/relationships/externalLinkPath" Target="/Users/hawkj/Documents/Github/Kapiti%20spatial/LAI/Batch%20results/2024/LAI_24_Zone_1_03.csv" TargetMode="External"/></Relationships>
</file>

<file path=xl/externalLinks/_rels/externalLink2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.csv" TargetMode="External"/><Relationship Id="rId2" Type="http://schemas.openxmlformats.org/officeDocument/2006/relationships/externalLinkPath" Target="file:///C:\Users\hawkj\Documents\Github\Kapiti%20spatial\LAI\Batch%20results\2024\LAI_24_Zone_1_04.csv" TargetMode="External"/><Relationship Id="rId1" Type="http://schemas.openxmlformats.org/officeDocument/2006/relationships/externalLinkPath" Target="/Users/hawkj/Documents/Github/Kapiti%20spatial/LAI/Batch%20results/2024/LAI_24_Zone_1_04.csv" TargetMode="External"/></Relationships>
</file>

<file path=xl/externalLinks/_rels/externalLink2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5.csv" TargetMode="External"/><Relationship Id="rId2" Type="http://schemas.openxmlformats.org/officeDocument/2006/relationships/externalLinkPath" Target="file:///C:\Users\hawkj\Documents\Github\Kapiti%20spatial\LAI\Batch%20results\2024\LAI_24_Zone_1_05.csv" TargetMode="External"/><Relationship Id="rId1" Type="http://schemas.openxmlformats.org/officeDocument/2006/relationships/externalLinkPath" Target="/Users/hawkj/Documents/Github/Kapiti%20spatial/LAI/Batch%20results/2024/LAI_24_Zone_1_05.csv" TargetMode="External"/></Relationships>
</file>

<file path=xl/externalLinks/_rels/externalLink2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6.csv" TargetMode="External"/><Relationship Id="rId2" Type="http://schemas.openxmlformats.org/officeDocument/2006/relationships/externalLinkPath" Target="file:///C:\Users\hawkj\Documents\Github\Kapiti%20spatial\LAI\Batch%20results\2024\LAI_24_Zone_1_06.csv" TargetMode="External"/><Relationship Id="rId1" Type="http://schemas.openxmlformats.org/officeDocument/2006/relationships/externalLinkPath" Target="/Users/hawkj/Documents/Github/Kapiti%20spatial/LAI/Batch%20results/2024/LAI_24_Zone_1_06.csv" TargetMode="External"/></Relationships>
</file>

<file path=xl/externalLinks/_rels/externalLink2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7.csv" TargetMode="External"/><Relationship Id="rId2" Type="http://schemas.openxmlformats.org/officeDocument/2006/relationships/externalLinkPath" Target="file:///C:\Users\hawkj\Documents\Github\Kapiti%20spatial\LAI\Batch%20results\2024\LAI_24_Zone_1_07.csv" TargetMode="External"/><Relationship Id="rId1" Type="http://schemas.openxmlformats.org/officeDocument/2006/relationships/externalLinkPath" Target="/Users/hawkj/Documents/Github/Kapiti%20spatial/LAI/Batch%20results/2024/LAI_24_Zone_1_07.csv" TargetMode="External"/></Relationships>
</file>

<file path=xl/externalLinks/_rels/externalLink2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8.csv" TargetMode="External"/><Relationship Id="rId2" Type="http://schemas.openxmlformats.org/officeDocument/2006/relationships/externalLinkPath" Target="file:///C:\Users\hawkj\Documents\Github\Kapiti%20spatial\LAI\Batch%20results\2024\LAI_24_Zone_1_08.csv" TargetMode="External"/><Relationship Id="rId1" Type="http://schemas.openxmlformats.org/officeDocument/2006/relationships/externalLinkPath" Target="/Users/hawkj/Documents/Github/Kapiti%20spatial/LAI/Batch%20results/2024/LAI_24_Zone_1_08.csv" TargetMode="External"/></Relationships>
</file>

<file path=xl/externalLinks/_rels/externalLink2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9.csv" TargetMode="External"/><Relationship Id="rId2" Type="http://schemas.openxmlformats.org/officeDocument/2006/relationships/externalLinkPath" Target="file:///C:\Users\hawkj\Documents\Github\Kapiti%20spatial\LAI\Batch%20results\2024\LAI_24_Zone_1_09.csv" TargetMode="External"/><Relationship Id="rId1" Type="http://schemas.openxmlformats.org/officeDocument/2006/relationships/externalLinkPath" Target="/Users/hawkj/Documents/Github/Kapiti%20spatial/LAI/Batch%20results/2024/LAI_24_Zone_1_09.csv" TargetMode="External"/></Relationships>
</file>

<file path=xl/externalLinks/_rels/externalLink2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1.csv" TargetMode="External"/><Relationship Id="rId2" Type="http://schemas.openxmlformats.org/officeDocument/2006/relationships/externalLinkPath" Target="file:///C:\Users\hawkj\Documents\Github\Kapiti%20spatial\LAI\Batch%20results\2024\LAI_24_Zone_1_011.csv" TargetMode="External"/><Relationship Id="rId1" Type="http://schemas.openxmlformats.org/officeDocument/2006/relationships/externalLinkPath" Target="/Users/hawkj/Documents/Github/Kapiti%20spatial/LAI/Batch%20results/2024/LAI_24_Zone_1_011.csv" TargetMode="External"/></Relationships>
</file>

<file path=xl/externalLinks/_rels/externalLink2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2.csv" TargetMode="External"/><Relationship Id="rId2" Type="http://schemas.openxmlformats.org/officeDocument/2006/relationships/externalLinkPath" Target="file:///C:\Users\hawkj\Documents\Github\Kapiti%20spatial\LAI\Batch%20results\2024\LAI_24_Zone_1_012.csv" TargetMode="External"/><Relationship Id="rId1" Type="http://schemas.openxmlformats.org/officeDocument/2006/relationships/externalLinkPath" Target="/Users/hawkj/Documents/Github/Kapiti%20spatial/LAI/Batch%20results/2024/LAI_24_Zone_1_012.csv" TargetMode="External"/></Relationships>
</file>

<file path=xl/externalLinks/_rels/externalLink2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3.csv" TargetMode="External"/><Relationship Id="rId2" Type="http://schemas.openxmlformats.org/officeDocument/2006/relationships/externalLinkPath" Target="file:///C:\Users\hawkj\Documents\Github\Kapiti%20spatial\LAI\Batch%20results\2024\LAI_24_Zone_1_013.csv" TargetMode="External"/><Relationship Id="rId1" Type="http://schemas.openxmlformats.org/officeDocument/2006/relationships/externalLinkPath" Target="/Users/hawkj/Documents/Github/Kapiti%20spatial/LAI/Batch%20results/2024/LAI_24_Zone_1_013.csv" TargetMode="External"/></Relationships>
</file>

<file path=xl/externalLinks/_rels/externalLink2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4.csv" TargetMode="External"/><Relationship Id="rId2" Type="http://schemas.openxmlformats.org/officeDocument/2006/relationships/externalLinkPath" Target="file:///C:\Users\hawkj\Documents\Github\Kapiti%20spatial\LAI\Batch%20results\2024\LAI_24_Zone_1_014.csv" TargetMode="External"/><Relationship Id="rId1" Type="http://schemas.openxmlformats.org/officeDocument/2006/relationships/externalLinkPath" Target="/Users/hawkj/Documents/Github/Kapiti%20spatial/LAI/Batch%20results/2024/LAI_24_Zone_1_014.csv" TargetMode="External"/></Relationships>
</file>

<file path=xl/externalLinks/_rels/externalLink2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5.csv" TargetMode="External"/><Relationship Id="rId2" Type="http://schemas.openxmlformats.org/officeDocument/2006/relationships/externalLinkPath" Target="file:///C:\Users\hawkj\Documents\Github\Kapiti%20spatial\LAI\Batch%20results\2024\LAI_24_Zone_1_015.csv" TargetMode="External"/><Relationship Id="rId1" Type="http://schemas.openxmlformats.org/officeDocument/2006/relationships/externalLinkPath" Target="/Users/hawkj/Documents/Github/Kapiti%20spatial/LAI/Batch%20results/2024/LAI_24_Zone_1_015.csv" TargetMode="External"/></Relationships>
</file>

<file path=xl/externalLinks/_rels/externalLink2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6.csv" TargetMode="External"/><Relationship Id="rId2" Type="http://schemas.openxmlformats.org/officeDocument/2006/relationships/externalLinkPath" Target="file:///C:\Users\hawkj\Documents\Github\Kapiti%20spatial\LAI\Batch%20results\2024\LAI_24_Zone_1_016.csv" TargetMode="External"/><Relationship Id="rId1" Type="http://schemas.openxmlformats.org/officeDocument/2006/relationships/externalLinkPath" Target="/Users/hawkj/Documents/Github/Kapiti%20spatial/LAI/Batch%20results/2024/LAI_24_Zone_1_016.csv" TargetMode="External"/></Relationships>
</file>

<file path=xl/externalLinks/_rels/externalLink2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7.csv" TargetMode="External"/><Relationship Id="rId2" Type="http://schemas.openxmlformats.org/officeDocument/2006/relationships/externalLinkPath" Target="file:///C:\Users\hawkj\Documents\Github\Kapiti%20spatial\LAI\Batch%20results\2024\LAI_24_Zone_1_017.csv" TargetMode="External"/><Relationship Id="rId1" Type="http://schemas.openxmlformats.org/officeDocument/2006/relationships/externalLinkPath" Target="/Users/hawkj/Documents/Github/Kapiti%20spatial/LAI/Batch%20results/2024/LAI_24_Zone_1_017.csv" TargetMode="External"/></Relationships>
</file>

<file path=xl/externalLinks/_rels/externalLink2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8.csv" TargetMode="External"/><Relationship Id="rId2" Type="http://schemas.openxmlformats.org/officeDocument/2006/relationships/externalLinkPath" Target="file:///C:\Users\hawkj\Documents\Github\Kapiti%20spatial\LAI\Batch%20results\2024\LAI_24_Zone_1_018.csv" TargetMode="External"/><Relationship Id="rId1" Type="http://schemas.openxmlformats.org/officeDocument/2006/relationships/externalLinkPath" Target="/Users/hawkj/Documents/Github/Kapiti%20spatial/LAI/Batch%20results/2024/LAI_24_Zone_1_018.csv" TargetMode="External"/></Relationships>
</file>

<file path=xl/externalLinks/_rels/externalLink2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19.csv" TargetMode="External"/><Relationship Id="rId2" Type="http://schemas.openxmlformats.org/officeDocument/2006/relationships/externalLinkPath" Target="file:///C:\Users\hawkj\Documents\Github\Kapiti%20spatial\LAI\Batch%20results\2024\LAI_24_Zone_1_019.csv" TargetMode="External"/><Relationship Id="rId1" Type="http://schemas.openxmlformats.org/officeDocument/2006/relationships/externalLinkPath" Target="/Users/hawkj/Documents/Github/Kapiti%20spatial/LAI/Batch%20results/2024/LAI_24_Zone_1_019.csv" TargetMode="External"/></Relationships>
</file>

<file path=xl/externalLinks/_rels/externalLink2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0.csv" TargetMode="External"/><Relationship Id="rId2" Type="http://schemas.openxmlformats.org/officeDocument/2006/relationships/externalLinkPath" Target="file:///C:\Users\hawkj\Documents\Github\Kapiti%20spatial\LAI\Batch%20results\2024\LAI_24_Zone_1_020.csv" TargetMode="External"/><Relationship Id="rId1" Type="http://schemas.openxmlformats.org/officeDocument/2006/relationships/externalLinkPath" Target="/Users/hawkj/Documents/Github/Kapiti%20spatial/LAI/Batch%20results/2024/LAI_24_Zone_1_020.csv" TargetMode="External"/></Relationships>
</file>

<file path=xl/externalLinks/_rels/externalLink2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1.csv" TargetMode="External"/><Relationship Id="rId2" Type="http://schemas.openxmlformats.org/officeDocument/2006/relationships/externalLinkPath" Target="file:///C:\Users\hawkj\Documents\Github\Kapiti%20spatial\LAI\Batch%20results\2024\LAI_24_Zone_1_021.csv" TargetMode="External"/><Relationship Id="rId1" Type="http://schemas.openxmlformats.org/officeDocument/2006/relationships/externalLinkPath" Target="/Users/hawkj/Documents/Github/Kapiti%20spatial/LAI/Batch%20results/2024/LAI_24_Zone_1_021.csv" TargetMode="External"/></Relationships>
</file>

<file path=xl/externalLinks/_rels/externalLink2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2.csv" TargetMode="External"/><Relationship Id="rId2" Type="http://schemas.openxmlformats.org/officeDocument/2006/relationships/externalLinkPath" Target="file:///C:\Users\hawkj\Documents\Github\Kapiti%20spatial\LAI\Batch%20results\2024\LAI_24_Zone_1_022.csv" TargetMode="External"/><Relationship Id="rId1" Type="http://schemas.openxmlformats.org/officeDocument/2006/relationships/externalLinkPath" Target="/Users/hawkj/Documents/Github/Kapiti%20spatial/LAI/Batch%20results/2024/LAI_24_Zone_1_022.csv" TargetMode="External"/></Relationships>
</file>

<file path=xl/externalLinks/_rels/externalLink2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3.csv" TargetMode="External"/><Relationship Id="rId2" Type="http://schemas.openxmlformats.org/officeDocument/2006/relationships/externalLinkPath" Target="file:///C:\Users\hawkj\Documents\Github\Kapiti%20spatial\LAI\Batch%20results\2024\LAI_24_Zone_1_023.csv" TargetMode="External"/><Relationship Id="rId1" Type="http://schemas.openxmlformats.org/officeDocument/2006/relationships/externalLinkPath" Target="/Users/hawkj/Documents/Github/Kapiti%20spatial/LAI/Batch%20results/2024/LAI_24_Zone_1_023.csv" TargetMode="External"/></Relationships>
</file>

<file path=xl/externalLinks/_rels/externalLink2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4.csv" TargetMode="External"/><Relationship Id="rId2" Type="http://schemas.openxmlformats.org/officeDocument/2006/relationships/externalLinkPath" Target="file:///C:\Users\hawkj\Documents\Github\Kapiti%20spatial\LAI\Batch%20results\2024\LAI_24_Zone_1_024.csv" TargetMode="External"/><Relationship Id="rId1" Type="http://schemas.openxmlformats.org/officeDocument/2006/relationships/externalLinkPath" Target="/Users/hawkj/Documents/Github/Kapiti%20spatial/LAI/Batch%20results/2024/LAI_24_Zone_1_024.csv" TargetMode="External"/></Relationships>
</file>

<file path=xl/externalLinks/_rels/externalLink2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5.csv" TargetMode="External"/><Relationship Id="rId2" Type="http://schemas.openxmlformats.org/officeDocument/2006/relationships/externalLinkPath" Target="file:///C:\Users\hawkj\Documents\Github\Kapiti%20spatial\LAI\Batch%20results\2024\LAI_24_Zone_1_025.csv" TargetMode="External"/><Relationship Id="rId1" Type="http://schemas.openxmlformats.org/officeDocument/2006/relationships/externalLinkPath" Target="/Users/hawkj/Documents/Github/Kapiti%20spatial/LAI/Batch%20results/2024/LAI_24_Zone_1_025.csv" TargetMode="External"/></Relationships>
</file>

<file path=xl/externalLinks/_rels/externalLink29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6.csv" TargetMode="External"/><Relationship Id="rId2" Type="http://schemas.openxmlformats.org/officeDocument/2006/relationships/externalLinkPath" Target="file:///C:\Users\hawkj\Documents\Github\Kapiti%20spatial\LAI\Batch%20results\2024\LAI_24_Zone_1_026.csv" TargetMode="External"/><Relationship Id="rId1" Type="http://schemas.openxmlformats.org/officeDocument/2006/relationships/externalLinkPath" Target="/Users/hawkj/Documents/Github/Kapiti%20spatial/LAI/Batch%20results/2024/LAI_24_Zone_1_026.csv" TargetMode="External"/></Relationships>
</file>

<file path=xl/externalLinks/_rels/externalLink30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7.csv" TargetMode="External"/><Relationship Id="rId2" Type="http://schemas.openxmlformats.org/officeDocument/2006/relationships/externalLinkPath" Target="file:///C:\Users\hawkj\Documents\Github\Kapiti%20spatial\LAI\Batch%20results\2024\LAI_24_Zone_1_027.csv" TargetMode="External"/><Relationship Id="rId1" Type="http://schemas.openxmlformats.org/officeDocument/2006/relationships/externalLinkPath" Target="/Users/hawkj/Documents/Github/Kapiti%20spatial/LAI/Batch%20results/2024/LAI_24_Zone_1_027.csv" TargetMode="External"/></Relationships>
</file>

<file path=xl/externalLinks/_rels/externalLink30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8.csv" TargetMode="External"/><Relationship Id="rId2" Type="http://schemas.openxmlformats.org/officeDocument/2006/relationships/externalLinkPath" Target="file:///C:\Users\hawkj\Documents\Github\Kapiti%20spatial\LAI\Batch%20results\2024\LAI_24_Zone_1_028.csv" TargetMode="External"/><Relationship Id="rId1" Type="http://schemas.openxmlformats.org/officeDocument/2006/relationships/externalLinkPath" Target="/Users/hawkj/Documents/Github/Kapiti%20spatial/LAI/Batch%20results/2024/LAI_24_Zone_1_028.csv" TargetMode="External"/></Relationships>
</file>

<file path=xl/externalLinks/_rels/externalLink30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29.csv" TargetMode="External"/><Relationship Id="rId2" Type="http://schemas.openxmlformats.org/officeDocument/2006/relationships/externalLinkPath" Target="file:///C:\Users\hawkj\Documents\Github\Kapiti%20spatial\LAI\Batch%20results\2024\LAI_24_Zone_1_029.csv" TargetMode="External"/><Relationship Id="rId1" Type="http://schemas.openxmlformats.org/officeDocument/2006/relationships/externalLinkPath" Target="/Users/hawkj/Documents/Github/Kapiti%20spatial/LAI/Batch%20results/2024/LAI_24_Zone_1_029.csv" TargetMode="External"/></Relationships>
</file>

<file path=xl/externalLinks/_rels/externalLink30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0.csv" TargetMode="External"/><Relationship Id="rId2" Type="http://schemas.openxmlformats.org/officeDocument/2006/relationships/externalLinkPath" Target="file:///C:\Users\hawkj\Documents\Github\Kapiti%20spatial\LAI\Batch%20results\2024\LAI_24_Zone_1_030.csv" TargetMode="External"/><Relationship Id="rId1" Type="http://schemas.openxmlformats.org/officeDocument/2006/relationships/externalLinkPath" Target="/Users/hawkj/Documents/Github/Kapiti%20spatial/LAI/Batch%20results/2024/LAI_24_Zone_1_030.csv" TargetMode="External"/></Relationships>
</file>

<file path=xl/externalLinks/_rels/externalLink30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1.csv" TargetMode="External"/><Relationship Id="rId2" Type="http://schemas.openxmlformats.org/officeDocument/2006/relationships/externalLinkPath" Target="file:///C:\Users\hawkj\Documents\Github\Kapiti%20spatial\LAI\Batch%20results\2024\LAI_24_Zone_1_031.csv" TargetMode="External"/><Relationship Id="rId1" Type="http://schemas.openxmlformats.org/officeDocument/2006/relationships/externalLinkPath" Target="/Users/hawkj/Documents/Github/Kapiti%20spatial/LAI/Batch%20results/2024/LAI_24_Zone_1_031.csv" TargetMode="External"/></Relationships>
</file>

<file path=xl/externalLinks/_rels/externalLink30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2.csv" TargetMode="External"/><Relationship Id="rId2" Type="http://schemas.openxmlformats.org/officeDocument/2006/relationships/externalLinkPath" Target="file:///C:\Users\hawkj\Documents\Github\Kapiti%20spatial\LAI\Batch%20results\2024\LAI_24_Zone_1_032.csv" TargetMode="External"/><Relationship Id="rId1" Type="http://schemas.openxmlformats.org/officeDocument/2006/relationships/externalLinkPath" Target="/Users/hawkj/Documents/Github/Kapiti%20spatial/LAI/Batch%20results/2024/LAI_24_Zone_1_032.csv" TargetMode="External"/></Relationships>
</file>

<file path=xl/externalLinks/_rels/externalLink30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4.csv" TargetMode="External"/><Relationship Id="rId2" Type="http://schemas.openxmlformats.org/officeDocument/2006/relationships/externalLinkPath" Target="file:///C:\Users\hawkj\Documents\Github\Kapiti%20spatial\LAI\Batch%20results\2024\LAI_24_Zone_1_034.csv" TargetMode="External"/><Relationship Id="rId1" Type="http://schemas.openxmlformats.org/officeDocument/2006/relationships/externalLinkPath" Target="/Users/hawkj/Documents/Github/Kapiti%20spatial/LAI/Batch%20results/2024/LAI_24_Zone_1_034.csv" TargetMode="External"/></Relationships>
</file>

<file path=xl/externalLinks/_rels/externalLink30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5.csv" TargetMode="External"/><Relationship Id="rId2" Type="http://schemas.openxmlformats.org/officeDocument/2006/relationships/externalLinkPath" Target="file:///C:\Users\hawkj\Documents\Github\Kapiti%20spatial\LAI\Batch%20results\2024\LAI_24_Zone_1_035.csv" TargetMode="External"/><Relationship Id="rId1" Type="http://schemas.openxmlformats.org/officeDocument/2006/relationships/externalLinkPath" Target="/Users/hawkj/Documents/Github/Kapiti%20spatial/LAI/Batch%20results/2024/LAI_24_Zone_1_035.csv" TargetMode="External"/></Relationships>
</file>

<file path=xl/externalLinks/_rels/externalLink30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6.csv" TargetMode="External"/><Relationship Id="rId2" Type="http://schemas.openxmlformats.org/officeDocument/2006/relationships/externalLinkPath" Target="file:///C:\Users\hawkj\Documents\Github\Kapiti%20spatial\LAI\Batch%20results\2024\LAI_24_Zone_1_036.csv" TargetMode="External"/><Relationship Id="rId1" Type="http://schemas.openxmlformats.org/officeDocument/2006/relationships/externalLinkPath" Target="/Users/hawkj/Documents/Github/Kapiti%20spatial/LAI/Batch%20results/2024/LAI_24_Zone_1_036.csv" TargetMode="External"/></Relationships>
</file>

<file path=xl/externalLinks/_rels/externalLink30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7.csv" TargetMode="External"/><Relationship Id="rId2" Type="http://schemas.openxmlformats.org/officeDocument/2006/relationships/externalLinkPath" Target="file:///C:\Users\hawkj\Documents\Github\Kapiti%20spatial\LAI\Batch%20results\2024\LAI_24_Zone_1_037.csv" TargetMode="External"/><Relationship Id="rId1" Type="http://schemas.openxmlformats.org/officeDocument/2006/relationships/externalLinkPath" Target="/Users/hawkj/Documents/Github/Kapiti%20spatial/LAI/Batch%20results/2024/LAI_24_Zone_1_037.csv" TargetMode="External"/></Relationships>
</file>

<file path=xl/externalLinks/_rels/externalLink3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8.csv" TargetMode="External"/><Relationship Id="rId2" Type="http://schemas.openxmlformats.org/officeDocument/2006/relationships/externalLinkPath" Target="file:///C:\Users\hawkj\Documents\Github\Kapiti%20spatial\LAI\Batch%20results\2024\LAI_24_Zone_1_038.csv" TargetMode="External"/><Relationship Id="rId1" Type="http://schemas.openxmlformats.org/officeDocument/2006/relationships/externalLinkPath" Target="/Users/hawkj/Documents/Github/Kapiti%20spatial/LAI/Batch%20results/2024/LAI_24_Zone_1_038.csv" TargetMode="External"/></Relationships>
</file>

<file path=xl/externalLinks/_rels/externalLink3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39.csv" TargetMode="External"/><Relationship Id="rId2" Type="http://schemas.openxmlformats.org/officeDocument/2006/relationships/externalLinkPath" Target="file:///C:\Users\hawkj\Documents\Github\Kapiti%20spatial\LAI\Batch%20results\2024\LAI_24_Zone_1_039.csv" TargetMode="External"/><Relationship Id="rId1" Type="http://schemas.openxmlformats.org/officeDocument/2006/relationships/externalLinkPath" Target="/Users/hawkj/Documents/Github/Kapiti%20spatial/LAI/Batch%20results/2024/LAI_24_Zone_1_039.csv" TargetMode="External"/></Relationships>
</file>

<file path=xl/externalLinks/_rels/externalLink3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0.csv" TargetMode="External"/><Relationship Id="rId2" Type="http://schemas.openxmlformats.org/officeDocument/2006/relationships/externalLinkPath" Target="file:///C:\Users\hawkj\Documents\Github\Kapiti%20spatial\LAI\Batch%20results\2024\LAI_24_Zone_1_040.csv" TargetMode="External"/><Relationship Id="rId1" Type="http://schemas.openxmlformats.org/officeDocument/2006/relationships/externalLinkPath" Target="/Users/hawkj/Documents/Github/Kapiti%20spatial/LAI/Batch%20results/2024/LAI_24_Zone_1_040.csv" TargetMode="External"/></Relationships>
</file>

<file path=xl/externalLinks/_rels/externalLink3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1.csv" TargetMode="External"/><Relationship Id="rId2" Type="http://schemas.openxmlformats.org/officeDocument/2006/relationships/externalLinkPath" Target="file:///C:\Users\hawkj\Documents\Github\Kapiti%20spatial\LAI\Batch%20results\2024\LAI_24_Zone_1_041.csv" TargetMode="External"/><Relationship Id="rId1" Type="http://schemas.openxmlformats.org/officeDocument/2006/relationships/externalLinkPath" Target="/Users/hawkj/Documents/Github/Kapiti%20spatial/LAI/Batch%20results/2024/LAI_24_Zone_1_041.csv" TargetMode="External"/></Relationships>
</file>

<file path=xl/externalLinks/_rels/externalLink3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2.csv" TargetMode="External"/><Relationship Id="rId2" Type="http://schemas.openxmlformats.org/officeDocument/2006/relationships/externalLinkPath" Target="file:///C:\Users\hawkj\Documents\Github\Kapiti%20spatial\LAI\Batch%20results\2024\LAI_24_Zone_1_042.csv" TargetMode="External"/><Relationship Id="rId1" Type="http://schemas.openxmlformats.org/officeDocument/2006/relationships/externalLinkPath" Target="/Users/hawkj/Documents/Github/Kapiti%20spatial/LAI/Batch%20results/2024/LAI_24_Zone_1_042.csv" TargetMode="External"/></Relationships>
</file>

<file path=xl/externalLinks/_rels/externalLink3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3.csv" TargetMode="External"/><Relationship Id="rId2" Type="http://schemas.openxmlformats.org/officeDocument/2006/relationships/externalLinkPath" Target="file:///C:\Users\hawkj\Documents\Github\Kapiti%20spatial\LAI\Batch%20results\2024\LAI_24_Zone_1_043.csv" TargetMode="External"/><Relationship Id="rId1" Type="http://schemas.openxmlformats.org/officeDocument/2006/relationships/externalLinkPath" Target="/Users/hawkj/Documents/Github/Kapiti%20spatial/LAI/Batch%20results/2024/LAI_24_Zone_1_043.csv" TargetMode="External"/></Relationships>
</file>

<file path=xl/externalLinks/_rels/externalLink3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4.csv" TargetMode="External"/><Relationship Id="rId2" Type="http://schemas.openxmlformats.org/officeDocument/2006/relationships/externalLinkPath" Target="file:///C:\Users\hawkj\Documents\Github\Kapiti%20spatial\LAI\Batch%20results\2024\LAI_24_Zone_1_044.csv" TargetMode="External"/><Relationship Id="rId1" Type="http://schemas.openxmlformats.org/officeDocument/2006/relationships/externalLinkPath" Target="/Users/hawkj/Documents/Github/Kapiti%20spatial/LAI/Batch%20results/2024/LAI_24_Zone_1_044.csv" TargetMode="External"/></Relationships>
</file>

<file path=xl/externalLinks/_rels/externalLink3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5.csv" TargetMode="External"/><Relationship Id="rId2" Type="http://schemas.openxmlformats.org/officeDocument/2006/relationships/externalLinkPath" Target="file:///C:\Users\hawkj\Documents\Github\Kapiti%20spatial\LAI\Batch%20results\2024\LAI_24_Zone_1_045.csv" TargetMode="External"/><Relationship Id="rId1" Type="http://schemas.openxmlformats.org/officeDocument/2006/relationships/externalLinkPath" Target="/Users/hawkj/Documents/Github/Kapiti%20spatial/LAI/Batch%20results/2024/LAI_24_Zone_1_045.csv" TargetMode="External"/></Relationships>
</file>

<file path=xl/externalLinks/_rels/externalLink3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6.csv" TargetMode="External"/><Relationship Id="rId2" Type="http://schemas.openxmlformats.org/officeDocument/2006/relationships/externalLinkPath" Target="file:///C:\Users\hawkj\Documents\Github\Kapiti%20spatial\LAI\Batch%20results\2024\LAI_24_Zone_1_046.csv" TargetMode="External"/><Relationship Id="rId1" Type="http://schemas.openxmlformats.org/officeDocument/2006/relationships/externalLinkPath" Target="/Users/hawkj/Documents/Github/Kapiti%20spatial/LAI/Batch%20results/2024/LAI_24_Zone_1_046.csv" TargetMode="External"/></Relationships>
</file>

<file path=xl/externalLinks/_rels/externalLink3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Kapiti%20spatial/LAI/Batch%20results/2024/LAI_24_Zone_1_047.csv" TargetMode="External"/><Relationship Id="rId2" Type="http://schemas.openxmlformats.org/officeDocument/2006/relationships/externalLinkPath" Target="file:///C:\Users\hawkj\Documents\Github\Kapiti%20spatial\LAI\Batch%20results\2024\LAI_24_Zone_1_047.csv" TargetMode="External"/><Relationship Id="rId1" Type="http://schemas.openxmlformats.org/officeDocument/2006/relationships/externalLinkPath" Target="/Users/hawkj/Documents/Github/Kapiti%20spatial/LAI/Batch%20results/2024/LAI_24_Zone_1_04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"/>
    </sheetNames>
    <sheetDataSet>
      <sheetData sheetId="0">
        <row r="2">
          <cell r="C2">
            <v>0.48198452038168899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"/>
    </sheetNames>
    <sheetDataSet>
      <sheetData sheetId="0">
        <row r="2">
          <cell r="C2">
            <v>0.55648592001652797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"/>
    </sheetNames>
    <sheetDataSet>
      <sheetData sheetId="0">
        <row r="2">
          <cell r="C2">
            <v>0.46479154214941998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"/>
    </sheetNames>
    <sheetDataSet>
      <sheetData sheetId="0">
        <row r="2">
          <cell r="C2">
            <v>0.46479154214941998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5"/>
    </sheetNames>
    <sheetDataSet>
      <sheetData sheetId="0">
        <row r="2">
          <cell r="C2">
            <v>0.32373909010368601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6"/>
    </sheetNames>
    <sheetDataSet>
      <sheetData sheetId="0">
        <row r="2">
          <cell r="C2">
            <v>0.35894754795426698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7"/>
    </sheetNames>
    <sheetDataSet>
      <sheetData sheetId="0">
        <row r="2">
          <cell r="C2">
            <v>0.34105245204573298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8"/>
    </sheetNames>
    <sheetDataSet>
      <sheetData sheetId="0">
        <row r="2">
          <cell r="C2">
            <v>0.36479154214942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9"/>
    </sheetNames>
    <sheetDataSet>
      <sheetData sheetId="0">
        <row r="2">
          <cell r="C2">
            <v>0.22373909010368601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0"/>
    </sheetNames>
    <sheetDataSet>
      <sheetData sheetId="0">
        <row r="2">
          <cell r="C2">
            <v>0.150060191854889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1"/>
    </sheetNames>
    <sheetDataSet>
      <sheetData sheetId="0">
        <row r="2">
          <cell r="C2">
            <v>1.09111264390062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2"/>
    </sheetNames>
    <sheetDataSet>
      <sheetData sheetId="0">
        <row r="2">
          <cell r="C2">
            <v>1.3030433619042301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3"/>
    </sheetNames>
    <sheetDataSet>
      <sheetData sheetId="0">
        <row r="2">
          <cell r="C2">
            <v>0.69987961629022299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4"/>
    </sheetNames>
    <sheetDataSet>
      <sheetData sheetId="0">
        <row r="2">
          <cell r="C2">
            <v>0.55894754795426704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5"/>
    </sheetNames>
    <sheetDataSet>
      <sheetData sheetId="0">
        <row r="2">
          <cell r="C2">
            <v>1.2729767805725301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6"/>
    </sheetNames>
    <sheetDataSet>
      <sheetData sheetId="0">
        <row r="2">
          <cell r="C2">
            <v>1.87942465551032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7"/>
    </sheetNames>
    <sheetDataSet>
      <sheetData sheetId="0">
        <row r="2">
          <cell r="C2">
            <v>0.78210490409146605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8"/>
    </sheetNames>
    <sheetDataSet>
      <sheetData sheetId="0">
        <row r="2">
          <cell r="C2">
            <v>2.1509972007303202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19"/>
    </sheetNames>
    <sheetDataSet>
      <sheetData sheetId="0">
        <row r="2">
          <cell r="C2">
            <v>1.79649725003281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0"/>
    </sheetNames>
    <sheetDataSet>
      <sheetData sheetId="0">
        <row r="2">
          <cell r="C2">
            <v>1.6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1"/>
    </sheetNames>
    <sheetDataSet>
      <sheetData sheetId="0">
        <row r="2">
          <cell r="C2">
            <v>0.81623382258069399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2"/>
    </sheetNames>
    <sheetDataSet>
      <sheetData sheetId="0">
        <row r="2">
          <cell r="C2">
            <v>1.02303697242742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3"/>
    </sheetNames>
    <sheetDataSet>
      <sheetData sheetId="0">
        <row r="2">
          <cell r="C2">
            <v>1.01381061197486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4"/>
    </sheetNames>
    <sheetDataSet>
      <sheetData sheetId="0">
        <row r="2">
          <cell r="C2">
            <v>0.91405137939440995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5"/>
    </sheetNames>
    <sheetDataSet>
      <sheetData sheetId="0">
        <row r="2">
          <cell r="C2">
            <v>0.409007739809155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6"/>
    </sheetNames>
    <sheetDataSet>
      <sheetData sheetId="0">
        <row r="2">
          <cell r="C2">
            <v>0.90175951026147405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7"/>
    </sheetNames>
    <sheetDataSet>
      <sheetData sheetId="0">
        <row r="2">
          <cell r="C2">
            <v>0.741052452045733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8"/>
    </sheetNames>
    <sheetDataSet>
      <sheetData sheetId="0">
        <row r="2">
          <cell r="C2">
            <v>0.62620071804142496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29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0"/>
    </sheetNames>
    <sheetDataSet>
      <sheetData sheetId="0">
        <row r="2">
          <cell r="C2">
            <v>0.16725317008715801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1"/>
    </sheetNames>
    <sheetDataSet>
      <sheetData sheetId="0">
        <row r="2">
          <cell r="C2">
            <v>0.1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2"/>
    </sheetNames>
    <sheetDataSet>
      <sheetData sheetId="0">
        <row r="2">
          <cell r="C2">
            <v>0.50900773980915504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3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4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5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6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7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8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39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0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1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2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3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4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5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8_Zone_1_046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"/>
    </sheetNames>
    <sheetDataSet>
      <sheetData sheetId="0">
        <row r="2">
          <cell r="C2">
            <v>1.0238594738134601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"/>
    </sheetNames>
    <sheetDataSet>
      <sheetData sheetId="0">
        <row r="2">
          <cell r="C2">
            <v>1.03520845785058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"/>
    </sheetNames>
    <sheetDataSet>
      <sheetData sheetId="0">
        <row r="2">
          <cell r="C2">
            <v>0.8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"/>
    </sheetNames>
    <sheetDataSet>
      <sheetData sheetId="0">
        <row r="2">
          <cell r="C2">
            <v>0.67379928195857497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5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6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7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8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9"/>
    </sheetNames>
    <sheetDataSet>
      <sheetData sheetId="0">
        <row r="2">
          <cell r="C2">
            <v>0.441754569721997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0"/>
    </sheetNames>
    <sheetDataSet>
      <sheetData sheetId="0">
        <row r="2">
          <cell r="C2">
            <v>0.42373909010368599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1"/>
    </sheetNames>
    <sheetDataSet>
      <sheetData sheetId="0">
        <row r="2">
          <cell r="C2">
            <v>0.41473135029453101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2"/>
    </sheetNames>
    <sheetDataSet>
      <sheetData sheetId="0">
        <row r="2">
          <cell r="C2">
            <v>0.47379928195857501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3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4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5"/>
    </sheetNames>
    <sheetDataSet>
      <sheetData sheetId="0">
        <row r="2">
          <cell r="C2">
            <v>0.338470440398217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6"/>
    </sheetNames>
    <sheetDataSet>
      <sheetData sheetId="0">
        <row r="2">
          <cell r="C2">
            <v>0.52385947381346398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7"/>
    </sheetNames>
    <sheetDataSet>
      <sheetData sheetId="0">
        <row r="2">
          <cell r="C2">
            <v>0.95099720073032201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19"/>
    </sheetNames>
    <sheetDataSet>
      <sheetData sheetId="0">
        <row r="2">
          <cell r="C2">
            <v>0.36491192585919702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0"/>
    </sheetNames>
    <sheetDataSet>
      <sheetData sheetId="0">
        <row r="2">
          <cell r="C2">
            <v>1.3343859564645399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1"/>
    </sheetNames>
    <sheetDataSet>
      <sheetData sheetId="0">
        <row r="2">
          <cell r="C2">
            <v>1.54198946092117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2"/>
    </sheetNames>
    <sheetDataSet>
      <sheetData sheetId="0">
        <row r="2">
          <cell r="C2">
            <v>0.74993980814511196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3"/>
    </sheetNames>
    <sheetDataSet>
      <sheetData sheetId="0">
        <row r="2">
          <cell r="C2">
            <v>0.68923274992937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4"/>
    </sheetNames>
    <sheetDataSet>
      <sheetData sheetId="0">
        <row r="2">
          <cell r="C2">
            <v>0.741052452045733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5"/>
    </sheetNames>
    <sheetDataSet>
      <sheetData sheetId="0">
        <row r="2">
          <cell r="C2">
            <v>0.6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6"/>
    </sheetNames>
    <sheetDataSet>
      <sheetData sheetId="0">
        <row r="2">
          <cell r="C2">
            <v>0.47626090989631398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7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8"/>
    </sheetNames>
    <sheetDataSet>
      <sheetData sheetId="0">
        <row r="2">
          <cell r="C2">
            <v>0.19753837206226099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29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0"/>
    </sheetNames>
    <sheetDataSet>
      <sheetData sheetId="0">
        <row r="2">
          <cell r="C2">
            <v>0.17626090989631399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1"/>
    </sheetNames>
    <sheetDataSet>
      <sheetData sheetId="0">
        <row r="2">
          <cell r="C2">
            <v>0.27860215412427503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2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3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4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5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6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7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8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39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0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1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2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3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4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19_Zone_1_045"/>
    </sheetNames>
    <sheetDataSet>
      <sheetData sheetId="0">
        <row r="2">
          <cell r="C2">
            <v>1.0568734587364901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"/>
    </sheetNames>
    <sheetDataSet>
      <sheetData sheetId="0">
        <row r="2">
          <cell r="C2">
            <v>1.8762609098963099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"/>
    </sheetNames>
    <sheetDataSet>
      <sheetData sheetId="0">
        <row r="2">
          <cell r="C2">
            <v>0.95696745485563695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"/>
    </sheetNames>
    <sheetDataSet>
      <sheetData sheetId="0">
        <row r="2">
          <cell r="C2">
            <v>1.7524014360828499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"/>
    </sheetNames>
    <sheetDataSet>
      <sheetData sheetId="0">
        <row r="2">
          <cell r="C2">
            <v>0.66293379495431104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5"/>
    </sheetNames>
    <sheetDataSet>
      <sheetData sheetId="0">
        <row r="2">
          <cell r="C2">
            <v>1.5076256512327699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6"/>
    </sheetNames>
    <sheetDataSet>
      <sheetData sheetId="0">
        <row r="2">
          <cell r="C2">
            <v>1.4237390901036899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7"/>
    </sheetNames>
    <sheetDataSet>
      <sheetData sheetId="0">
        <row r="2">
          <cell r="C2">
            <v>0.85732469195832695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8"/>
    </sheetNames>
    <sheetDataSet>
      <sheetData sheetId="0">
        <row r="2">
          <cell r="C2">
            <v>1.1761405261865401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9"/>
    </sheetNames>
    <sheetDataSet>
      <sheetData sheetId="0">
        <row r="2">
          <cell r="C2">
            <v>0.65228105237307299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0"/>
    </sheetNames>
    <sheetDataSet>
      <sheetData sheetId="0">
        <row r="2">
          <cell r="C2">
            <v>1.1852686497054701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1"/>
    </sheetNames>
    <sheetDataSet>
      <sheetData sheetId="0">
        <row r="2">
          <cell r="C2">
            <v>0.94807422253587303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2"/>
    </sheetNames>
    <sheetDataSet>
      <sheetData sheetId="0">
        <row r="2">
          <cell r="C2">
            <v>0.65858639682493603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3"/>
    </sheetNames>
    <sheetDataSet>
      <sheetData sheetId="0">
        <row r="2">
          <cell r="C2">
            <v>0.85870678053471305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4"/>
    </sheetNames>
    <sheetDataSet>
      <sheetData sheetId="0">
        <row r="2">
          <cell r="C2">
            <v>1.1000000000000001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5"/>
    </sheetNames>
    <sheetDataSet>
      <sheetData sheetId="0">
        <row r="2">
          <cell r="C2">
            <v>1.20714411639366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6"/>
    </sheetNames>
    <sheetDataSet>
      <sheetData sheetId="0">
        <row r="2">
          <cell r="C2">
            <v>1.2500601918548899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7"/>
    </sheetNames>
    <sheetDataSet>
      <sheetData sheetId="0">
        <row r="2">
          <cell r="C2">
            <v>0.55322393746889098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8"/>
    </sheetNames>
    <sheetDataSet>
      <sheetData sheetId="0">
        <row r="2">
          <cell r="C2">
            <v>0.83800909014150704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19"/>
    </sheetNames>
    <sheetDataSet>
      <sheetData sheetId="0">
        <row r="2">
          <cell r="C2">
            <v>1.20654611187142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0"/>
    </sheetNames>
    <sheetDataSet>
      <sheetData sheetId="0">
        <row r="2">
          <cell r="C2">
            <v>1.0762609098963101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1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2"/>
    </sheetNames>
    <sheetDataSet>
      <sheetData sheetId="0">
        <row r="2">
          <cell r="C2">
            <v>0.38210490409146602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3"/>
    </sheetNames>
    <sheetDataSet>
      <sheetData sheetId="0">
        <row r="2">
          <cell r="C2">
            <v>0.75240143608285004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4"/>
    </sheetNames>
    <sheetDataSet>
      <sheetData sheetId="0">
        <row r="2">
          <cell r="C2">
            <v>0.7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5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6"/>
    </sheetNames>
    <sheetDataSet>
      <sheetData sheetId="0">
        <row r="2">
          <cell r="C2">
            <v>0.71311437051897597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7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8"/>
    </sheetNames>
    <sheetDataSet>
      <sheetData sheetId="0">
        <row r="2">
          <cell r="C2">
            <v>0.50900773980915504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29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0"/>
    </sheetNames>
    <sheetDataSet>
      <sheetData sheetId="0">
        <row r="2">
          <cell r="C2">
            <v>0.27614052618653701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1"/>
    </sheetNames>
    <sheetDataSet>
      <sheetData sheetId="0">
        <row r="2">
          <cell r="C2">
            <v>0.47379928195857501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2"/>
    </sheetNames>
    <sheetDataSet>
      <sheetData sheetId="0">
        <row r="2">
          <cell r="C2">
            <v>0.2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3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4"/>
    </sheetNames>
    <sheetDataSet>
      <sheetData sheetId="0">
        <row r="2">
          <cell r="C2">
            <v>0.40888735609937799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5"/>
    </sheetNames>
    <sheetDataSet>
      <sheetData sheetId="0">
        <row r="2">
          <cell r="C2">
            <v>0.47626090989631398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6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7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8"/>
    </sheetNames>
    <sheetDataSet>
      <sheetData sheetId="0">
        <row r="2">
          <cell r="C2">
            <v>0.22373909010368601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39"/>
    </sheetNames>
    <sheetDataSet>
      <sheetData sheetId="0">
        <row r="2">
          <cell r="C2">
            <v>0.482104904091466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0"/>
    </sheetNames>
    <sheetDataSet>
      <sheetData sheetId="0">
        <row r="2">
          <cell r="C2">
            <v>0.49099226019084502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1"/>
    </sheetNames>
    <sheetDataSet>
      <sheetData sheetId="0">
        <row r="2">
          <cell r="C2">
            <v>0.93730697246524297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2"/>
    </sheetNames>
    <sheetDataSet>
      <sheetData sheetId="0">
        <row r="2">
          <cell r="C2">
            <v>0.67626090989631404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3"/>
    </sheetNames>
    <sheetDataSet>
      <sheetData sheetId="0">
        <row r="2">
          <cell r="C2">
            <v>0.96140917589200503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4"/>
    </sheetNames>
    <sheetDataSet>
      <sheetData sheetId="0">
        <row r="2">
          <cell r="C2">
            <v>0.75906793166404396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5"/>
    </sheetNames>
    <sheetDataSet>
      <sheetData sheetId="0">
        <row r="2">
          <cell r="C2">
            <v>0.64093206833595595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0_Zone_1_046"/>
    </sheetNames>
    <sheetDataSet>
      <sheetData sheetId="0">
        <row r="2">
          <cell r="C2">
            <v>0.55894754795426704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"/>
    </sheetNames>
    <sheetDataSet>
      <sheetData sheetId="0">
        <row r="2">
          <cell r="C2">
            <v>0.67626090989631404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"/>
    </sheetNames>
    <sheetDataSet>
      <sheetData sheetId="0">
        <row r="2">
          <cell r="C2">
            <v>0.623739090103686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"/>
    </sheetNames>
    <sheetDataSet>
      <sheetData sheetId="0">
        <row r="2">
          <cell r="C2">
            <v>0.6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5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6"/>
    </sheetNames>
    <sheetDataSet>
      <sheetData sheetId="0">
        <row r="2">
          <cell r="C2">
            <v>0.74993980814511196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7"/>
    </sheetNames>
    <sheetDataSet>
      <sheetData sheetId="0">
        <row r="2">
          <cell r="C2">
            <v>0.66725317008715801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8"/>
    </sheetNames>
    <sheetDataSet>
      <sheetData sheetId="0">
        <row r="2">
          <cell r="C2">
            <v>0.73274682991284201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9"/>
    </sheetNames>
    <sheetDataSet>
      <sheetData sheetId="0">
        <row r="2">
          <cell r="C2">
            <v>0.86725317008715797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0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1"/>
    </sheetNames>
    <sheetDataSet>
      <sheetData sheetId="0">
        <row r="2">
          <cell r="C2">
            <v>0.6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2"/>
    </sheetNames>
    <sheetDataSet>
      <sheetData sheetId="0">
        <row r="2">
          <cell r="C2">
            <v>0.226200718041425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3"/>
    </sheetNames>
    <sheetDataSet>
      <sheetData sheetId="0">
        <row r="2">
          <cell r="C2">
            <v>0.50012038370977696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4"/>
    </sheetNames>
    <sheetDataSet>
      <sheetData sheetId="0">
        <row r="2">
          <cell r="C2">
            <v>0.429121734042129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5"/>
    </sheetNames>
    <sheetDataSet>
      <sheetData sheetId="0">
        <row r="2">
          <cell r="C2">
            <v>0.24993980814511099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6"/>
    </sheetNames>
    <sheetDataSet>
      <sheetData sheetId="0">
        <row r="2">
          <cell r="C2">
            <v>0.923036972427422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7"/>
    </sheetNames>
    <sheetDataSet>
      <sheetData sheetId="0">
        <row r="2">
          <cell r="C2">
            <v>0.560586674505964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8"/>
    </sheetNames>
    <sheetDataSet>
      <sheetData sheetId="0">
        <row r="2">
          <cell r="C2">
            <v>1.3214141164314801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19"/>
    </sheetNames>
    <sheetDataSet>
      <sheetData sheetId="0">
        <row r="2">
          <cell r="C2">
            <v>1.1000000000000001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0"/>
    </sheetNames>
    <sheetDataSet>
      <sheetData sheetId="0">
        <row r="2">
          <cell r="C2">
            <v>0.66725317008715801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1"/>
    </sheetNames>
    <sheetDataSet>
      <sheetData sheetId="0">
        <row r="2">
          <cell r="C2">
            <v>0.91719297823226997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2"/>
    </sheetNames>
    <sheetDataSet>
      <sheetData sheetId="0">
        <row r="2">
          <cell r="C2">
            <v>0.16725317008715801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3"/>
    </sheetNames>
    <sheetDataSet>
      <sheetData sheetId="0">
        <row r="2">
          <cell r="C2">
            <v>0.52620071804142499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4"/>
    </sheetNames>
    <sheetDataSet>
      <sheetData sheetId="0">
        <row r="2">
          <cell r="C2">
            <v>0.6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5"/>
    </sheetNames>
    <sheetDataSet>
      <sheetData sheetId="0">
        <row r="2">
          <cell r="C2">
            <v>0.47626090989631398</v>
          </cell>
        </row>
      </sheetData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7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8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29"/>
    </sheetNames>
    <sheetDataSet>
      <sheetData sheetId="0">
        <row r="2">
          <cell r="C2">
            <v>0.26211129356827001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0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1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2"/>
    </sheetNames>
    <sheetDataSet>
      <sheetData sheetId="0">
        <row r="2">
          <cell r="C2">
            <v>0.33274682991284199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3"/>
    </sheetNames>
    <sheetDataSet>
      <sheetData sheetId="0">
        <row r="2">
          <cell r="C2">
            <v>0.258947547954267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4"/>
    </sheetNames>
    <sheetDataSet>
      <sheetData sheetId="0">
        <row r="2">
          <cell r="C2">
            <v>0.39169437786710898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5"/>
    </sheetNames>
    <sheetDataSet>
      <sheetData sheetId="0">
        <row r="2">
          <cell r="C2">
            <v>0.34105245204573298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6"/>
    </sheetNames>
    <sheetDataSet>
      <sheetData sheetId="0">
        <row r="2">
          <cell r="C2">
            <v>0.34747818020737298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7"/>
    </sheetNames>
    <sheetDataSet>
      <sheetData sheetId="0">
        <row r="2">
          <cell r="C2">
            <v>0.37379928195857498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8"/>
    </sheetNames>
    <sheetDataSet>
      <sheetData sheetId="0">
        <row r="2">
          <cell r="C2">
            <v>0.24993980814511099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39"/>
    </sheetNames>
    <sheetDataSet>
      <sheetData sheetId="0">
        <row r="2">
          <cell r="C2">
            <v>0.24993980814511099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0"/>
    </sheetNames>
    <sheetDataSet>
      <sheetData sheetId="0">
        <row r="2">
          <cell r="C2">
            <v>0.42139784587572499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1"/>
    </sheetNames>
    <sheetDataSet>
      <sheetData sheetId="0">
        <row r="2">
          <cell r="C2">
            <v>1.6843257646096499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2"/>
    </sheetNames>
    <sheetDataSet>
      <sheetData sheetId="0">
        <row r="2">
          <cell r="C2">
            <v>1.4909922601908401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3"/>
    </sheetNames>
    <sheetDataSet>
      <sheetData sheetId="0">
        <row r="2">
          <cell r="C2">
            <v>1.6843257646096499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4"/>
    </sheetNames>
    <sheetDataSet>
      <sheetData sheetId="0">
        <row r="2">
          <cell r="C2">
            <v>1.4909922601908401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5"/>
    </sheetNames>
    <sheetDataSet>
      <sheetData sheetId="0">
        <row r="2">
          <cell r="C2">
            <v>1.6843257646096499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6"/>
    </sheetNames>
    <sheetDataSet>
      <sheetData sheetId="0">
        <row r="2">
          <cell r="C2">
            <v>1.6843257646096499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1_Zone_1_047"/>
    </sheetNames>
    <sheetDataSet>
      <sheetData sheetId="0">
        <row r="2">
          <cell r="C2">
            <v>1.5672531700871599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"/>
    </sheetNames>
    <sheetDataSet>
      <sheetData sheetId="0" refreshError="1">
        <row r="2">
          <cell r="C2">
            <v>1.5672531700871599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"/>
    </sheetNames>
    <sheetDataSet>
      <sheetData sheetId="0">
        <row r="2">
          <cell r="C2">
            <v>1.4851482659956901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"/>
    </sheetNames>
    <sheetDataSet>
      <sheetData sheetId="0">
        <row r="2">
          <cell r="C2">
            <v>1.258245430278</v>
          </cell>
        </row>
      </sheetData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"/>
    </sheetNames>
    <sheetDataSet>
      <sheetData sheetId="0">
        <row r="2">
          <cell r="C2">
            <v>1.39099226019084</v>
          </cell>
        </row>
      </sheetData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5"/>
    </sheetNames>
    <sheetDataSet>
      <sheetData sheetId="0">
        <row r="2">
          <cell r="C2">
            <v>0.71134898403711699</v>
          </cell>
        </row>
      </sheetData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6"/>
    </sheetNames>
    <sheetDataSet>
      <sheetData sheetId="0">
        <row r="2">
          <cell r="C2">
            <v>1.058245430278</v>
          </cell>
        </row>
      </sheetData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7"/>
    </sheetNames>
    <sheetDataSet>
      <sheetData sheetId="0">
        <row r="2">
          <cell r="C2">
            <v>0.6</v>
          </cell>
        </row>
      </sheetData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8"/>
    </sheetNames>
    <sheetDataSet>
      <sheetData sheetId="0">
        <row r="2">
          <cell r="C2">
            <v>0.82373909010368696</v>
          </cell>
        </row>
      </sheetData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9"/>
    </sheetNames>
    <sheetDataSet>
      <sheetData sheetId="0">
        <row r="2">
          <cell r="C2">
            <v>0.7</v>
          </cell>
        </row>
      </sheetData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0"/>
    </sheetNames>
    <sheetDataSet>
      <sheetData sheetId="0">
        <row r="2">
          <cell r="C2">
            <v>0.64105245204573302</v>
          </cell>
        </row>
      </sheetData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1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2"/>
    </sheetNames>
    <sheetDataSet>
      <sheetData sheetId="0">
        <row r="2">
          <cell r="C2">
            <v>0.50900773980915504</v>
          </cell>
        </row>
      </sheetData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3"/>
    </sheetNames>
    <sheetDataSet>
      <sheetData sheetId="0">
        <row r="2">
          <cell r="C2">
            <v>1.2595598608385301</v>
          </cell>
        </row>
      </sheetData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4"/>
    </sheetNames>
    <sheetDataSet>
      <sheetData sheetId="0">
        <row r="2">
          <cell r="C2">
            <v>0.59111264390062201</v>
          </cell>
        </row>
      </sheetData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5"/>
    </sheetNames>
    <sheetDataSet>
      <sheetData sheetId="0">
        <row r="2">
          <cell r="C2">
            <v>0.89765875577203802</v>
          </cell>
        </row>
      </sheetData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6"/>
    </sheetNames>
    <sheetDataSet>
      <sheetData sheetId="0">
        <row r="2">
          <cell r="C2">
            <v>0.80246162793773901</v>
          </cell>
        </row>
      </sheetData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7"/>
    </sheetNames>
    <sheetDataSet>
      <sheetData sheetId="0">
        <row r="2">
          <cell r="C2">
            <v>0.97626090989631398</v>
          </cell>
        </row>
      </sheetData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8"/>
    </sheetNames>
    <sheetDataSet>
      <sheetData sheetId="0">
        <row r="2">
          <cell r="C2">
            <v>0.58877139967266001</v>
          </cell>
        </row>
      </sheetData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19"/>
    </sheetNames>
    <sheetDataSet>
      <sheetData sheetId="0">
        <row r="2">
          <cell r="C2">
            <v>0.37846549985874001</v>
          </cell>
        </row>
      </sheetData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0"/>
    </sheetNames>
    <sheetDataSet>
      <sheetData sheetId="0">
        <row r="2">
          <cell r="C2">
            <v>0.53204471223657801</v>
          </cell>
        </row>
      </sheetData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1"/>
    </sheetNames>
    <sheetDataSet>
      <sheetData sheetId="0">
        <row r="2">
          <cell r="C2">
            <v>0.33520845785058101</v>
          </cell>
        </row>
      </sheetData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2"/>
    </sheetNames>
    <sheetDataSet>
      <sheetData sheetId="0">
        <row r="2">
          <cell r="C2">
            <v>0.2</v>
          </cell>
        </row>
      </sheetData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3"/>
    </sheetNames>
    <sheetDataSet>
      <sheetData sheetId="0">
        <row r="2">
          <cell r="C2">
            <v>0.455783802340264</v>
          </cell>
        </row>
      </sheetData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4"/>
    </sheetNames>
    <sheetDataSet>
      <sheetData sheetId="0">
        <row r="2">
          <cell r="C2">
            <v>0.409007739809155</v>
          </cell>
        </row>
      </sheetData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5"/>
    </sheetNames>
    <sheetDataSet>
      <sheetData sheetId="0">
        <row r="2">
          <cell r="C2">
            <v>0.44105245204573301</v>
          </cell>
        </row>
      </sheetData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6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7"/>
    </sheetNames>
    <sheetDataSet>
      <sheetData sheetId="0">
        <row r="2">
          <cell r="C2">
            <v>0.1</v>
          </cell>
        </row>
      </sheetData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8"/>
    </sheetNames>
    <sheetDataSet>
      <sheetData sheetId="0">
        <row r="2">
          <cell r="C2">
            <v>0.23274682991284201</v>
          </cell>
        </row>
      </sheetData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29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0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1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2"/>
    </sheetNames>
    <sheetDataSet>
      <sheetData sheetId="0">
        <row r="2">
          <cell r="C2">
            <v>0.1</v>
          </cell>
        </row>
      </sheetData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3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4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5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6"/>
    </sheetNames>
    <sheetDataSet>
      <sheetData sheetId="0">
        <row r="2">
          <cell r="C2">
            <v>0.258947547954267</v>
          </cell>
        </row>
      </sheetData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7"/>
    </sheetNames>
    <sheetDataSet>
      <sheetData sheetId="0">
        <row r="2">
          <cell r="C2">
            <v>0.34105245204573298</v>
          </cell>
        </row>
      </sheetData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8"/>
    </sheetNames>
    <sheetDataSet>
      <sheetData sheetId="0">
        <row r="2">
          <cell r="C2">
            <v>0.34105245204573298</v>
          </cell>
        </row>
      </sheetData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39"/>
    </sheetNames>
    <sheetDataSet>
      <sheetData sheetId="0">
        <row r="2">
          <cell r="C2">
            <v>0.258947547954267</v>
          </cell>
        </row>
      </sheetData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0"/>
    </sheetNames>
    <sheetDataSet>
      <sheetData sheetId="0">
        <row r="2">
          <cell r="C2">
            <v>0.1</v>
          </cell>
        </row>
      </sheetData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1"/>
    </sheetNames>
    <sheetDataSet>
      <sheetData sheetId="0">
        <row r="2">
          <cell r="C2">
            <v>0.273799281958575</v>
          </cell>
        </row>
      </sheetData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2"/>
    </sheetNames>
    <sheetDataSet>
      <sheetData sheetId="0">
        <row r="2">
          <cell r="C2">
            <v>0.20900773980915499</v>
          </cell>
        </row>
      </sheetData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3"/>
    </sheetNames>
    <sheetDataSet>
      <sheetData sheetId="0">
        <row r="2">
          <cell r="C2">
            <v>0.24993980814511099</v>
          </cell>
        </row>
      </sheetData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4"/>
    </sheetNames>
    <sheetDataSet>
      <sheetData sheetId="0">
        <row r="2">
          <cell r="C2">
            <v>0.43356933129888298</v>
          </cell>
        </row>
      </sheetData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5"/>
    </sheetNames>
    <sheetDataSet>
      <sheetData sheetId="0">
        <row r="2">
          <cell r="C2">
            <v>0.59495636041474598</v>
          </cell>
        </row>
      </sheetData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2_Zone_1_046"/>
    </sheetNames>
    <sheetDataSet>
      <sheetData sheetId="0">
        <row r="2">
          <cell r="C2">
            <v>0.41965460617000799</v>
          </cell>
        </row>
      </sheetData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"/>
    </sheetNames>
    <sheetDataSet>
      <sheetData sheetId="0">
        <row r="2">
          <cell r="C2">
            <v>0.37379928195857498</v>
          </cell>
        </row>
      </sheetData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"/>
    </sheetNames>
    <sheetDataSet>
      <sheetData sheetId="0">
        <row r="2">
          <cell r="C2">
            <v>0.306546111871417</v>
          </cell>
        </row>
      </sheetData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"/>
    </sheetNames>
    <sheetDataSet>
      <sheetData sheetId="0">
        <row r="2">
          <cell r="C2">
            <v>0.29753837206226103</v>
          </cell>
        </row>
      </sheetData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5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6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7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8"/>
    </sheetNames>
    <sheetDataSet>
      <sheetData sheetId="0">
        <row r="2">
          <cell r="C2">
            <v>0.36725317008715802</v>
          </cell>
        </row>
      </sheetData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9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0"/>
    </sheetNames>
    <sheetDataSet>
      <sheetData sheetId="0">
        <row r="2">
          <cell r="C2">
            <v>0.29099226019084501</v>
          </cell>
        </row>
      </sheetData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1"/>
    </sheetNames>
    <sheetDataSet>
      <sheetData sheetId="0">
        <row r="2">
          <cell r="C2">
            <v>0.20900773980915499</v>
          </cell>
        </row>
      </sheetData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2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3"/>
    </sheetNames>
    <sheetDataSet>
      <sheetData sheetId="0">
        <row r="2">
          <cell r="C2">
            <v>0.497297604642707</v>
          </cell>
        </row>
      </sheetData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4"/>
    </sheetNames>
    <sheetDataSet>
      <sheetData sheetId="0">
        <row r="2">
          <cell r="C2">
            <v>0.75240143608285004</v>
          </cell>
        </row>
      </sheetData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5"/>
    </sheetNames>
    <sheetDataSet>
      <sheetData sheetId="0">
        <row r="2">
          <cell r="C2">
            <v>0.224441207779951</v>
          </cell>
        </row>
      </sheetData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6"/>
    </sheetNames>
    <sheetDataSet>
      <sheetData sheetId="0">
        <row r="2">
          <cell r="C2">
            <v>1.23999505946052</v>
          </cell>
        </row>
      </sheetData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7"/>
    </sheetNames>
    <sheetDataSet>
      <sheetData sheetId="0">
        <row r="2">
          <cell r="C2">
            <v>1.28634818906682</v>
          </cell>
        </row>
      </sheetData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8"/>
    </sheetNames>
    <sheetDataSet>
      <sheetData sheetId="0">
        <row r="2">
          <cell r="C2">
            <v>1.05006019185489</v>
          </cell>
        </row>
      </sheetData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19"/>
    </sheetNames>
    <sheetDataSet>
      <sheetData sheetId="0">
        <row r="2">
          <cell r="C2">
            <v>0.95836581398777998</v>
          </cell>
        </row>
      </sheetData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0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1"/>
    </sheetNames>
    <sheetDataSet>
      <sheetData sheetId="0">
        <row r="2">
          <cell r="C2">
            <v>0.47379928195857501</v>
          </cell>
        </row>
      </sheetData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2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3"/>
    </sheetNames>
    <sheetDataSet>
      <sheetData sheetId="0">
        <row r="2">
          <cell r="C2">
            <v>0.15894754795426699</v>
          </cell>
        </row>
      </sheetData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4"/>
    </sheetNames>
    <sheetDataSet>
      <sheetData sheetId="0">
        <row r="2">
          <cell r="C2">
            <v>0.33028520197510303</v>
          </cell>
        </row>
      </sheetData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5"/>
    </sheetNames>
    <sheetDataSet>
      <sheetData sheetId="0">
        <row r="2">
          <cell r="C2">
            <v>0.43274682991284202</v>
          </cell>
        </row>
      </sheetData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6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7"/>
    </sheetNames>
    <sheetDataSet>
      <sheetData sheetId="0">
        <row r="2">
          <cell r="C2">
            <v>0.19753837206226099</v>
          </cell>
        </row>
      </sheetData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8"/>
    </sheetNames>
    <sheetDataSet>
      <sheetData sheetId="0">
        <row r="2">
          <cell r="C2">
            <v>0.34105245204573298</v>
          </cell>
        </row>
      </sheetData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29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0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1"/>
    </sheetNames>
    <sheetDataSet>
      <sheetData sheetId="0">
        <row r="2">
          <cell r="C2">
            <v>0.185268649705469</v>
          </cell>
        </row>
      </sheetData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2"/>
    </sheetNames>
    <sheetDataSet>
      <sheetData sheetId="0">
        <row r="2">
          <cell r="C2">
            <v>0.31134898403711703</v>
          </cell>
        </row>
      </sheetData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3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4"/>
    </sheetNames>
    <sheetDataSet>
      <sheetData sheetId="0">
        <row r="2">
          <cell r="C2">
            <v>0.38514826599569202</v>
          </cell>
        </row>
      </sheetData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5"/>
    </sheetNames>
    <sheetDataSet>
      <sheetData sheetId="0">
        <row r="2">
          <cell r="C2">
            <v>0.44105245204573301</v>
          </cell>
        </row>
      </sheetData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6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7"/>
    </sheetNames>
    <sheetDataSet>
      <sheetData sheetId="0">
        <row r="2">
          <cell r="C2">
            <v>0.53136474133645695</v>
          </cell>
        </row>
      </sheetData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8"/>
    </sheetNames>
    <sheetDataSet>
      <sheetData sheetId="0">
        <row r="2">
          <cell r="C2">
            <v>0.23274682991284201</v>
          </cell>
        </row>
      </sheetData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39"/>
    </sheetNames>
    <sheetDataSet>
      <sheetData sheetId="0">
        <row r="2">
          <cell r="C2">
            <v>0.150060191854889</v>
          </cell>
        </row>
      </sheetData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0"/>
    </sheetNames>
    <sheetDataSet>
      <sheetData sheetId="0">
        <row r="2">
          <cell r="C2">
            <v>0.92902349710849497</v>
          </cell>
        </row>
      </sheetData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1"/>
    </sheetNames>
    <sheetDataSet>
      <sheetData sheetId="0">
        <row r="2">
          <cell r="C2">
            <v>1.3499398081451099</v>
          </cell>
        </row>
      </sheetData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2"/>
    </sheetNames>
    <sheetDataSet>
      <sheetData sheetId="0">
        <row r="2">
          <cell r="C2">
            <v>1.4761405261865399</v>
          </cell>
        </row>
      </sheetData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3"/>
    </sheetNames>
    <sheetDataSet>
      <sheetData sheetId="0">
        <row r="2">
          <cell r="C2">
            <v>1.5448961685598599</v>
          </cell>
        </row>
      </sheetData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4"/>
    </sheetNames>
    <sheetDataSet>
      <sheetData sheetId="0">
        <row r="2">
          <cell r="C2">
            <v>1.46140917589201</v>
          </cell>
        </row>
      </sheetData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5"/>
    </sheetNames>
    <sheetDataSet>
      <sheetData sheetId="0">
        <row r="2">
          <cell r="C2">
            <v>1.0721764259626401</v>
          </cell>
        </row>
      </sheetData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3_Zone_1_046"/>
    </sheetNames>
    <sheetDataSet>
      <sheetData sheetId="0" refreshError="1">
        <row r="2">
          <cell r="C2">
            <v>1.0002407674195499</v>
          </cell>
        </row>
      </sheetData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"/>
    </sheetNames>
    <sheetDataSet>
      <sheetData sheetId="0">
        <row r="2">
          <cell r="C2">
            <v>1.0002407674195499</v>
          </cell>
        </row>
      </sheetData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"/>
    </sheetNames>
    <sheetDataSet>
      <sheetData sheetId="0">
        <row r="2">
          <cell r="C2">
            <v>0.23450634017431601</v>
          </cell>
        </row>
      </sheetData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"/>
    </sheetNames>
    <sheetDataSet>
      <sheetData sheetId="0">
        <row r="2">
          <cell r="C2">
            <v>1.82361870639391</v>
          </cell>
        </row>
      </sheetData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"/>
    </sheetNames>
    <sheetDataSet>
      <sheetData sheetId="0">
        <row r="2">
          <cell r="C2">
            <v>1.25544479798708</v>
          </cell>
        </row>
      </sheetData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5"/>
    </sheetNames>
    <sheetDataSet>
      <sheetData sheetId="0">
        <row r="2">
          <cell r="C2">
            <v>1.24163418601222</v>
          </cell>
        </row>
      </sheetData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6"/>
    </sheetNames>
    <sheetDataSet>
      <sheetData sheetId="0">
        <row r="2">
          <cell r="C2">
            <v>1.1051640232950299</v>
          </cell>
        </row>
      </sheetData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7"/>
    </sheetNames>
    <sheetDataSet>
      <sheetData sheetId="0">
        <row r="2">
          <cell r="C2">
            <v>0.69157399415733201</v>
          </cell>
        </row>
      </sheetData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8"/>
    </sheetNames>
    <sheetDataSet>
      <sheetData sheetId="0">
        <row r="2">
          <cell r="C2">
            <v>0.9</v>
          </cell>
        </row>
      </sheetData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9"/>
    </sheetNames>
    <sheetDataSet>
      <sheetData sheetId="0">
        <row r="2">
          <cell r="C2">
            <v>0.84993980814511205</v>
          </cell>
        </row>
      </sheetData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1"/>
    </sheetNames>
    <sheetDataSet>
      <sheetData sheetId="0">
        <row r="2">
          <cell r="C2">
            <v>0.50058173396648697</v>
          </cell>
        </row>
      </sheetData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2"/>
    </sheetNames>
    <sheetDataSet>
      <sheetData sheetId="0">
        <row r="2">
          <cell r="C2">
            <v>0.84947845788840104</v>
          </cell>
        </row>
      </sheetData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3"/>
    </sheetNames>
    <sheetDataSet>
      <sheetData sheetId="0">
        <row r="2">
          <cell r="C2">
            <v>1.2238594738134601</v>
          </cell>
        </row>
      </sheetData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4"/>
    </sheetNames>
    <sheetDataSet>
      <sheetData sheetId="0">
        <row r="2">
          <cell r="C2">
            <v>1.3041066307098199</v>
          </cell>
        </row>
      </sheetData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5"/>
    </sheetNames>
    <sheetDataSet>
      <sheetData sheetId="0">
        <row r="2">
          <cell r="C2">
            <v>1.3</v>
          </cell>
        </row>
      </sheetData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6"/>
    </sheetNames>
    <sheetDataSet>
      <sheetData sheetId="0">
        <row r="2">
          <cell r="C2">
            <v>0.4</v>
          </cell>
        </row>
      </sheetData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7"/>
    </sheetNames>
    <sheetDataSet>
      <sheetData sheetId="0">
        <row r="2">
          <cell r="C2">
            <v>1.3869089939446</v>
          </cell>
        </row>
      </sheetData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8"/>
    </sheetNames>
    <sheetDataSet>
      <sheetData sheetId="0">
        <row r="2">
          <cell r="C2">
            <v>1.9017595102614699</v>
          </cell>
        </row>
      </sheetData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19"/>
    </sheetNames>
    <sheetDataSet>
      <sheetData sheetId="0">
        <row r="2">
          <cell r="C2">
            <v>1.48210490409147</v>
          </cell>
        </row>
      </sheetData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0"/>
    </sheetNames>
    <sheetDataSet>
      <sheetData sheetId="0">
        <row r="2">
          <cell r="C2">
            <v>1.4237390901036899</v>
          </cell>
        </row>
      </sheetData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1"/>
    </sheetNames>
    <sheetDataSet>
      <sheetData sheetId="0">
        <row r="2">
          <cell r="C2">
            <v>1.36316868615348</v>
          </cell>
        </row>
      </sheetData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2"/>
    </sheetNames>
    <sheetDataSet>
      <sheetData sheetId="0">
        <row r="2">
          <cell r="C2">
            <v>1.19357427183836</v>
          </cell>
        </row>
      </sheetData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3"/>
    </sheetNames>
    <sheetDataSet>
      <sheetData sheetId="0">
        <row r="2">
          <cell r="C2">
            <v>0.99007152187116898</v>
          </cell>
        </row>
      </sheetData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4"/>
    </sheetNames>
    <sheetDataSet>
      <sheetData sheetId="0">
        <row r="2">
          <cell r="C2">
            <v>0.681984520381689</v>
          </cell>
        </row>
      </sheetData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5"/>
    </sheetNames>
    <sheetDataSet>
      <sheetData sheetId="0">
        <row r="2">
          <cell r="C2">
            <v>0.59987961629022302</v>
          </cell>
        </row>
      </sheetData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6"/>
    </sheetNames>
    <sheetDataSet>
      <sheetData sheetId="0">
        <row r="2">
          <cell r="C2">
            <v>0.167955287763422</v>
          </cell>
        </row>
      </sheetData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7"/>
    </sheetNames>
    <sheetDataSet>
      <sheetData sheetId="0">
        <row r="2">
          <cell r="C2">
            <v>0.2</v>
          </cell>
        </row>
      </sheetData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8"/>
    </sheetNames>
    <sheetDataSet>
      <sheetData sheetId="0">
        <row r="2">
          <cell r="C2">
            <v>0.66725317008715801</v>
          </cell>
        </row>
      </sheetData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29"/>
    </sheetNames>
    <sheetDataSet>
      <sheetData sheetId="0">
        <row r="2">
          <cell r="C2">
            <v>0.35006019185488901</v>
          </cell>
        </row>
      </sheetData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0"/>
    </sheetNames>
    <sheetDataSet>
      <sheetData sheetId="0">
        <row r="2">
          <cell r="C2">
            <v>0.2</v>
          </cell>
        </row>
      </sheetData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1"/>
    </sheetNames>
    <sheetDataSet>
      <sheetData sheetId="0">
        <row r="2">
          <cell r="C2">
            <v>0.3</v>
          </cell>
        </row>
      </sheetData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2"/>
    </sheetNames>
    <sheetDataSet>
      <sheetData sheetId="0">
        <row r="2">
          <cell r="C2">
            <v>0.54105245204573305</v>
          </cell>
        </row>
      </sheetData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4"/>
    </sheetNames>
    <sheetDataSet>
      <sheetData sheetId="0">
        <row r="2">
          <cell r="C2">
            <v>0.42702321942746602</v>
          </cell>
        </row>
      </sheetData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5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6"/>
    </sheetNames>
    <sheetDataSet>
      <sheetData sheetId="0">
        <row r="2">
          <cell r="C2">
            <v>0.5</v>
          </cell>
        </row>
      </sheetData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7"/>
    </sheetNames>
    <sheetDataSet>
      <sheetData sheetId="0">
        <row r="2">
          <cell r="C2">
            <v>0.32373909010368601</v>
          </cell>
        </row>
      </sheetData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8"/>
    </sheetNames>
    <sheetDataSet>
      <sheetData sheetId="0">
        <row r="2">
          <cell r="C2">
            <v>0.56479154214941996</v>
          </cell>
        </row>
      </sheetData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39"/>
    </sheetNames>
    <sheetDataSet>
      <sheetData sheetId="0">
        <row r="2">
          <cell r="C2">
            <v>0.67626090989631404</v>
          </cell>
        </row>
      </sheetData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0"/>
    </sheetNames>
    <sheetDataSet>
      <sheetData sheetId="0">
        <row r="2">
          <cell r="C2">
            <v>0.71461096658475398</v>
          </cell>
        </row>
      </sheetData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1"/>
    </sheetNames>
    <sheetDataSet>
      <sheetData sheetId="0">
        <row r="2">
          <cell r="C2">
            <v>0.247478180207373</v>
          </cell>
        </row>
      </sheetData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2"/>
    </sheetNames>
    <sheetDataSet>
      <sheetData sheetId="0">
        <row r="2">
          <cell r="C2">
            <v>0.89087187648106803</v>
          </cell>
        </row>
      </sheetData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3"/>
    </sheetNames>
    <sheetDataSet>
      <sheetData sheetId="0">
        <row r="2">
          <cell r="C2">
            <v>1.3587067805347099</v>
          </cell>
        </row>
      </sheetData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4"/>
    </sheetNames>
    <sheetDataSet>
      <sheetData sheetId="0">
        <row r="2">
          <cell r="C2">
            <v>0.80316374561400306</v>
          </cell>
        </row>
      </sheetData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5"/>
    </sheetNames>
    <sheetDataSet>
      <sheetData sheetId="0">
        <row r="2">
          <cell r="C2">
            <v>0.80316374561400306</v>
          </cell>
        </row>
      </sheetData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6"/>
    </sheetNames>
    <sheetDataSet>
      <sheetData sheetId="0">
        <row r="2">
          <cell r="C2">
            <v>0.84409581394995903</v>
          </cell>
        </row>
      </sheetData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I_24_Zone_1_047"/>
    </sheetNames>
    <sheetDataSet>
      <sheetData sheetId="0">
        <row r="2">
          <cell r="C2">
            <v>1.0499398081451099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EC921-BC5E-47FF-A076-4958B614C884}">
  <dimension ref="A1:E322"/>
  <sheetViews>
    <sheetView tabSelected="1" workbookViewId="0">
      <selection activeCell="D3" sqref="D3"/>
    </sheetView>
  </sheetViews>
  <sheetFormatPr defaultRowHeight="14.4" x14ac:dyDescent="0.3"/>
  <cols>
    <col min="4" max="4" width="12.88671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4</v>
      </c>
      <c r="E1" t="s">
        <v>3</v>
      </c>
    </row>
    <row r="2" spans="1:5" x14ac:dyDescent="0.3">
      <c r="A2">
        <v>2018</v>
      </c>
      <c r="B2">
        <v>1</v>
      </c>
      <c r="C2">
        <v>1</v>
      </c>
      <c r="D2" t="str">
        <f>_xlfn.CONCAT(B2,"/",C2,"/",A2)</f>
        <v>1/1/2018</v>
      </c>
      <c r="E2">
        <f>[1]LAI_18_Zone_1_01!$C$2</f>
        <v>0.48198452038168899</v>
      </c>
    </row>
    <row r="3" spans="1:5" x14ac:dyDescent="0.3">
      <c r="A3">
        <v>2018</v>
      </c>
      <c r="B3">
        <v>1</v>
      </c>
      <c r="C3">
        <v>9</v>
      </c>
      <c r="D3" t="str">
        <f t="shared" ref="D3:D65" si="0">_xlfn.CONCAT(B3,"/",C3,"/",A3)</f>
        <v>1/9/2018</v>
      </c>
      <c r="E3">
        <f>[2]LAI_18_Zone_1_02!$C$2</f>
        <v>0.55648592001652797</v>
      </c>
    </row>
    <row r="4" spans="1:5" x14ac:dyDescent="0.3">
      <c r="A4">
        <v>2018</v>
      </c>
      <c r="B4">
        <v>1</v>
      </c>
      <c r="C4">
        <v>17</v>
      </c>
      <c r="D4" t="str">
        <f t="shared" si="0"/>
        <v>1/17/2018</v>
      </c>
      <c r="E4">
        <f>[3]LAI_18_Zone_1_03!$C$2</f>
        <v>0.46479154214941998</v>
      </c>
    </row>
    <row r="5" spans="1:5" x14ac:dyDescent="0.3">
      <c r="A5">
        <v>2018</v>
      </c>
      <c r="B5">
        <v>1</v>
      </c>
      <c r="C5">
        <v>25</v>
      </c>
      <c r="D5" t="str">
        <f t="shared" si="0"/>
        <v>1/25/2018</v>
      </c>
      <c r="E5">
        <f>[4]LAI_18_Zone_1_04!$C$2</f>
        <v>0.46479154214941998</v>
      </c>
    </row>
    <row r="6" spans="1:5" x14ac:dyDescent="0.3">
      <c r="A6">
        <v>2018</v>
      </c>
      <c r="B6">
        <v>2</v>
      </c>
      <c r="C6">
        <v>2</v>
      </c>
      <c r="D6" t="str">
        <f t="shared" si="0"/>
        <v>2/2/2018</v>
      </c>
      <c r="E6">
        <f>[5]LAI_18_Zone_1_05!$C$2</f>
        <v>0.32373909010368601</v>
      </c>
    </row>
    <row r="7" spans="1:5" x14ac:dyDescent="0.3">
      <c r="A7">
        <v>2018</v>
      </c>
      <c r="B7">
        <v>2</v>
      </c>
      <c r="C7">
        <v>10</v>
      </c>
      <c r="D7" t="str">
        <f t="shared" si="0"/>
        <v>2/10/2018</v>
      </c>
      <c r="E7">
        <f>[6]LAI_18_Zone_1_06!$C$2</f>
        <v>0.35894754795426698</v>
      </c>
    </row>
    <row r="8" spans="1:5" x14ac:dyDescent="0.3">
      <c r="A8">
        <v>2018</v>
      </c>
      <c r="B8">
        <v>2</v>
      </c>
      <c r="C8">
        <v>18</v>
      </c>
      <c r="D8" t="str">
        <f t="shared" si="0"/>
        <v>2/18/2018</v>
      </c>
      <c r="E8">
        <f>[7]LAI_18_Zone_1_07!$C$2</f>
        <v>0.34105245204573298</v>
      </c>
    </row>
    <row r="9" spans="1:5" x14ac:dyDescent="0.3">
      <c r="A9">
        <v>2018</v>
      </c>
      <c r="B9">
        <v>2</v>
      </c>
      <c r="C9">
        <v>26</v>
      </c>
      <c r="D9" t="str">
        <f t="shared" si="0"/>
        <v>2/26/2018</v>
      </c>
      <c r="E9">
        <f>[8]LAI_18_Zone_1_08!$C$2</f>
        <v>0.36479154214942</v>
      </c>
    </row>
    <row r="10" spans="1:5" x14ac:dyDescent="0.3">
      <c r="A10">
        <v>2018</v>
      </c>
      <c r="B10">
        <v>3</v>
      </c>
      <c r="C10">
        <v>6</v>
      </c>
      <c r="D10" t="str">
        <f t="shared" si="0"/>
        <v>3/6/2018</v>
      </c>
      <c r="E10">
        <f>[9]LAI_18_Zone_1_09!$C$2</f>
        <v>0.22373909010368601</v>
      </c>
    </row>
    <row r="11" spans="1:5" x14ac:dyDescent="0.3">
      <c r="A11">
        <v>2018</v>
      </c>
      <c r="B11">
        <v>3</v>
      </c>
      <c r="C11">
        <v>14</v>
      </c>
      <c r="D11" t="str">
        <f t="shared" si="0"/>
        <v>3/14/2018</v>
      </c>
      <c r="E11">
        <f>[10]LAI_18_Zone_1_010!$C$2</f>
        <v>0.150060191854889</v>
      </c>
    </row>
    <row r="12" spans="1:5" x14ac:dyDescent="0.3">
      <c r="A12">
        <v>2018</v>
      </c>
      <c r="B12">
        <v>3</v>
      </c>
      <c r="C12">
        <v>22</v>
      </c>
      <c r="D12" t="str">
        <f t="shared" si="0"/>
        <v>3/22/2018</v>
      </c>
      <c r="E12">
        <f>[11]LAI_18_Zone_1_011!$C$2</f>
        <v>1.09111264390062</v>
      </c>
    </row>
    <row r="13" spans="1:5" x14ac:dyDescent="0.3">
      <c r="A13">
        <v>2018</v>
      </c>
      <c r="B13">
        <v>3</v>
      </c>
      <c r="C13">
        <v>30</v>
      </c>
      <c r="D13" t="str">
        <f t="shared" si="0"/>
        <v>3/30/2018</v>
      </c>
      <c r="E13">
        <f>[12]LAI_18_Zone_1_012!$C$2</f>
        <v>1.3030433619042301</v>
      </c>
    </row>
    <row r="14" spans="1:5" x14ac:dyDescent="0.3">
      <c r="A14">
        <v>2018</v>
      </c>
      <c r="B14">
        <v>4</v>
      </c>
      <c r="C14">
        <v>7</v>
      </c>
      <c r="D14" t="str">
        <f t="shared" si="0"/>
        <v>4/7/2018</v>
      </c>
      <c r="E14">
        <f>[13]LAI_18_Zone_1_013!$C$2</f>
        <v>0.69987961629022299</v>
      </c>
    </row>
    <row r="15" spans="1:5" x14ac:dyDescent="0.3">
      <c r="A15">
        <v>2018</v>
      </c>
      <c r="B15">
        <v>4</v>
      </c>
      <c r="C15">
        <v>15</v>
      </c>
      <c r="D15" t="str">
        <f t="shared" si="0"/>
        <v>4/15/2018</v>
      </c>
      <c r="E15">
        <f>[14]LAI_18_Zone_1_014!$C$2</f>
        <v>0.55894754795426704</v>
      </c>
    </row>
    <row r="16" spans="1:5" x14ac:dyDescent="0.3">
      <c r="A16">
        <v>2018</v>
      </c>
      <c r="B16">
        <v>4</v>
      </c>
      <c r="C16">
        <v>23</v>
      </c>
      <c r="D16" t="str">
        <f t="shared" si="0"/>
        <v>4/23/2018</v>
      </c>
      <c r="E16">
        <f>[15]LAI_18_Zone_1_015!$C$2</f>
        <v>1.2729767805725301</v>
      </c>
    </row>
    <row r="17" spans="1:5" x14ac:dyDescent="0.3">
      <c r="A17">
        <v>2018</v>
      </c>
      <c r="B17">
        <v>5</v>
      </c>
      <c r="C17">
        <v>1</v>
      </c>
      <c r="D17" t="str">
        <f t="shared" si="0"/>
        <v>5/1/2018</v>
      </c>
      <c r="E17">
        <f>[16]LAI_18_Zone_1_016!$C$2</f>
        <v>1.87942465551032</v>
      </c>
    </row>
    <row r="18" spans="1:5" x14ac:dyDescent="0.3">
      <c r="A18">
        <v>2018</v>
      </c>
      <c r="B18">
        <v>5</v>
      </c>
      <c r="C18">
        <v>9</v>
      </c>
      <c r="D18" t="str">
        <f t="shared" si="0"/>
        <v>5/9/2018</v>
      </c>
      <c r="E18">
        <f>[17]LAI_18_Zone_1_017!$C$2</f>
        <v>0.78210490409146605</v>
      </c>
    </row>
    <row r="19" spans="1:5" x14ac:dyDescent="0.3">
      <c r="A19">
        <v>2018</v>
      </c>
      <c r="B19">
        <v>5</v>
      </c>
      <c r="C19">
        <v>17</v>
      </c>
      <c r="D19" t="str">
        <f t="shared" si="0"/>
        <v>5/17/2018</v>
      </c>
      <c r="E19">
        <f>[18]LAI_18_Zone_1_018!$C$2</f>
        <v>2.1509972007303202</v>
      </c>
    </row>
    <row r="20" spans="1:5" x14ac:dyDescent="0.3">
      <c r="A20">
        <v>2018</v>
      </c>
      <c r="B20">
        <v>5</v>
      </c>
      <c r="C20">
        <v>25</v>
      </c>
      <c r="D20" t="str">
        <f t="shared" si="0"/>
        <v>5/25/2018</v>
      </c>
      <c r="E20">
        <f>[19]LAI_18_Zone_1_019!$C$2</f>
        <v>1.79649725003281</v>
      </c>
    </row>
    <row r="21" spans="1:5" x14ac:dyDescent="0.3">
      <c r="A21">
        <v>2018</v>
      </c>
      <c r="B21">
        <v>6</v>
      </c>
      <c r="C21">
        <v>2</v>
      </c>
      <c r="D21" t="str">
        <f t="shared" si="0"/>
        <v>6/2/2018</v>
      </c>
      <c r="E21">
        <f>[20]LAI_18_Zone_1_020!$C$2</f>
        <v>1.6</v>
      </c>
    </row>
    <row r="22" spans="1:5" x14ac:dyDescent="0.3">
      <c r="A22">
        <v>2018</v>
      </c>
      <c r="B22">
        <v>6</v>
      </c>
      <c r="C22">
        <v>10</v>
      </c>
      <c r="D22" t="str">
        <f t="shared" si="0"/>
        <v>6/10/2018</v>
      </c>
      <c r="E22">
        <f>[21]LAI_18_Zone_1_021!$C$2</f>
        <v>0.81623382258069399</v>
      </c>
    </row>
    <row r="23" spans="1:5" x14ac:dyDescent="0.3">
      <c r="A23">
        <v>2018</v>
      </c>
      <c r="B23">
        <v>6</v>
      </c>
      <c r="C23">
        <v>18</v>
      </c>
      <c r="D23" t="str">
        <f t="shared" si="0"/>
        <v>6/18/2018</v>
      </c>
      <c r="E23">
        <f>[22]LAI_18_Zone_1_022!$C$2</f>
        <v>1.02303697242742</v>
      </c>
    </row>
    <row r="24" spans="1:5" x14ac:dyDescent="0.3">
      <c r="A24">
        <v>2018</v>
      </c>
      <c r="B24">
        <v>6</v>
      </c>
      <c r="C24">
        <v>26</v>
      </c>
      <c r="D24" t="str">
        <f t="shared" si="0"/>
        <v>6/26/2018</v>
      </c>
      <c r="E24">
        <f>[23]LAI_18_Zone_1_023!$C$2</f>
        <v>1.01381061197486</v>
      </c>
    </row>
    <row r="25" spans="1:5" x14ac:dyDescent="0.3">
      <c r="A25">
        <v>2018</v>
      </c>
      <c r="B25">
        <v>7</v>
      </c>
      <c r="C25">
        <v>4</v>
      </c>
      <c r="D25" t="str">
        <f t="shared" si="0"/>
        <v>7/4/2018</v>
      </c>
      <c r="E25">
        <f>[24]LAI_18_Zone_1_024!$C$2</f>
        <v>0.91405137939440995</v>
      </c>
    </row>
    <row r="26" spans="1:5" x14ac:dyDescent="0.3">
      <c r="A26">
        <v>2018</v>
      </c>
      <c r="B26">
        <v>7</v>
      </c>
      <c r="C26">
        <v>12</v>
      </c>
      <c r="D26" t="str">
        <f t="shared" si="0"/>
        <v>7/12/2018</v>
      </c>
      <c r="E26">
        <f>[25]LAI_18_Zone_1_025!$C$2</f>
        <v>0.409007739809155</v>
      </c>
    </row>
    <row r="27" spans="1:5" x14ac:dyDescent="0.3">
      <c r="A27">
        <v>2018</v>
      </c>
      <c r="B27">
        <v>7</v>
      </c>
      <c r="C27">
        <v>20</v>
      </c>
      <c r="D27" t="str">
        <f t="shared" si="0"/>
        <v>7/20/2018</v>
      </c>
      <c r="E27">
        <f>[26]LAI_18_Zone_1_026!$C$2</f>
        <v>0.90175951026147405</v>
      </c>
    </row>
    <row r="28" spans="1:5" x14ac:dyDescent="0.3">
      <c r="A28">
        <v>2018</v>
      </c>
      <c r="B28">
        <v>7</v>
      </c>
      <c r="C28">
        <v>28</v>
      </c>
      <c r="D28" t="str">
        <f t="shared" si="0"/>
        <v>7/28/2018</v>
      </c>
      <c r="E28">
        <f>[27]LAI_18_Zone_1_027!$C$2</f>
        <v>0.741052452045733</v>
      </c>
    </row>
    <row r="29" spans="1:5" x14ac:dyDescent="0.3">
      <c r="A29">
        <v>2018</v>
      </c>
      <c r="B29">
        <v>8</v>
      </c>
      <c r="C29">
        <v>5</v>
      </c>
      <c r="D29" t="str">
        <f t="shared" si="0"/>
        <v>8/5/2018</v>
      </c>
      <c r="E29">
        <f>[28]LAI_18_Zone_1_028!$C$2</f>
        <v>0.62620071804142496</v>
      </c>
    </row>
    <row r="30" spans="1:5" x14ac:dyDescent="0.3">
      <c r="A30">
        <v>2018</v>
      </c>
      <c r="B30">
        <v>8</v>
      </c>
      <c r="C30">
        <v>13</v>
      </c>
      <c r="D30" t="str">
        <f t="shared" si="0"/>
        <v>8/13/2018</v>
      </c>
      <c r="E30">
        <f>[29]LAI_18_Zone_1_029!$C$2</f>
        <v>0.5</v>
      </c>
    </row>
    <row r="31" spans="1:5" x14ac:dyDescent="0.3">
      <c r="A31">
        <v>2018</v>
      </c>
      <c r="B31">
        <v>8</v>
      </c>
      <c r="C31">
        <v>21</v>
      </c>
      <c r="D31" t="str">
        <f t="shared" si="0"/>
        <v>8/21/2018</v>
      </c>
      <c r="E31">
        <f>[30]LAI_18_Zone_1_030!$C$2</f>
        <v>0.16725317008715801</v>
      </c>
    </row>
    <row r="32" spans="1:5" x14ac:dyDescent="0.3">
      <c r="A32">
        <v>2018</v>
      </c>
      <c r="B32">
        <v>8</v>
      </c>
      <c r="C32">
        <v>29</v>
      </c>
      <c r="D32" t="str">
        <f t="shared" si="0"/>
        <v>8/29/2018</v>
      </c>
      <c r="E32">
        <f>[31]LAI_18_Zone_1_031!$C$2</f>
        <v>0.1</v>
      </c>
    </row>
    <row r="33" spans="1:5" x14ac:dyDescent="0.3">
      <c r="A33">
        <v>2018</v>
      </c>
      <c r="B33">
        <v>9</v>
      </c>
      <c r="C33">
        <v>6</v>
      </c>
      <c r="D33" t="str">
        <f t="shared" si="0"/>
        <v>9/6/2018</v>
      </c>
      <c r="E33">
        <f>[32]LAI_18_Zone_1_032!$C$2</f>
        <v>0.50900773980915504</v>
      </c>
    </row>
    <row r="34" spans="1:5" x14ac:dyDescent="0.3">
      <c r="A34">
        <v>2018</v>
      </c>
      <c r="B34">
        <v>9</v>
      </c>
      <c r="C34">
        <v>14</v>
      </c>
      <c r="D34" t="str">
        <f t="shared" si="0"/>
        <v>9/14/2018</v>
      </c>
      <c r="E34">
        <f>[33]LAI_18_Zone_1_033!$C$2</f>
        <v>1.0568734587364901</v>
      </c>
    </row>
    <row r="35" spans="1:5" x14ac:dyDescent="0.3">
      <c r="A35">
        <v>2018</v>
      </c>
      <c r="B35">
        <v>9</v>
      </c>
      <c r="C35">
        <v>22</v>
      </c>
      <c r="D35" t="str">
        <f t="shared" si="0"/>
        <v>9/22/2018</v>
      </c>
      <c r="E35">
        <f>[34]LAI_18_Zone_1_034!$C$2</f>
        <v>1.0568734587364901</v>
      </c>
    </row>
    <row r="36" spans="1:5" x14ac:dyDescent="0.3">
      <c r="A36">
        <v>2018</v>
      </c>
      <c r="B36">
        <v>9</v>
      </c>
      <c r="C36">
        <v>30</v>
      </c>
      <c r="D36" t="str">
        <f t="shared" si="0"/>
        <v>9/30/2018</v>
      </c>
      <c r="E36">
        <f>[35]LAI_18_Zone_1_035!$C$2</f>
        <v>1.0568734587364901</v>
      </c>
    </row>
    <row r="37" spans="1:5" x14ac:dyDescent="0.3">
      <c r="A37">
        <v>2018</v>
      </c>
      <c r="B37">
        <v>10</v>
      </c>
      <c r="C37">
        <v>8</v>
      </c>
      <c r="D37" t="str">
        <f t="shared" si="0"/>
        <v>10/8/2018</v>
      </c>
      <c r="E37">
        <f>[36]LAI_18_Zone_1_036!$C$2</f>
        <v>1.0568734587364901</v>
      </c>
    </row>
    <row r="38" spans="1:5" x14ac:dyDescent="0.3">
      <c r="A38">
        <v>2018</v>
      </c>
      <c r="B38">
        <v>10</v>
      </c>
      <c r="C38">
        <v>16</v>
      </c>
      <c r="D38" t="str">
        <f t="shared" si="0"/>
        <v>10/16/2018</v>
      </c>
      <c r="E38">
        <f>[37]LAI_18_Zone_1_037!$C$2</f>
        <v>1.0568734587364901</v>
      </c>
    </row>
    <row r="39" spans="1:5" x14ac:dyDescent="0.3">
      <c r="A39">
        <v>2018</v>
      </c>
      <c r="B39">
        <v>10</v>
      </c>
      <c r="C39">
        <v>24</v>
      </c>
      <c r="D39" t="str">
        <f t="shared" si="0"/>
        <v>10/24/2018</v>
      </c>
      <c r="E39">
        <f>[38]LAI_18_Zone_1_038!$C$2</f>
        <v>1.0568734587364901</v>
      </c>
    </row>
    <row r="40" spans="1:5" x14ac:dyDescent="0.3">
      <c r="A40">
        <v>2018</v>
      </c>
      <c r="B40">
        <v>11</v>
      </c>
      <c r="C40">
        <v>1</v>
      </c>
      <c r="D40" t="str">
        <f t="shared" si="0"/>
        <v>11/1/2018</v>
      </c>
      <c r="E40">
        <f>[39]LAI_18_Zone_1_039!$C$2</f>
        <v>1.0568734587364901</v>
      </c>
    </row>
    <row r="41" spans="1:5" x14ac:dyDescent="0.3">
      <c r="A41">
        <v>2018</v>
      </c>
      <c r="B41">
        <v>11</v>
      </c>
      <c r="C41">
        <v>9</v>
      </c>
      <c r="D41" t="str">
        <f t="shared" si="0"/>
        <v>11/9/2018</v>
      </c>
      <c r="E41">
        <f>[40]LAI_18_Zone_1_040!$C$2</f>
        <v>1.0568734587364901</v>
      </c>
    </row>
    <row r="42" spans="1:5" x14ac:dyDescent="0.3">
      <c r="A42">
        <v>2018</v>
      </c>
      <c r="B42">
        <v>11</v>
      </c>
      <c r="C42">
        <v>17</v>
      </c>
      <c r="D42" t="str">
        <f t="shared" si="0"/>
        <v>11/17/2018</v>
      </c>
      <c r="E42">
        <f>[41]LAI_18_Zone_1_041!$C$2</f>
        <v>1.0568734587364901</v>
      </c>
    </row>
    <row r="43" spans="1:5" x14ac:dyDescent="0.3">
      <c r="A43">
        <v>2018</v>
      </c>
      <c r="B43">
        <v>11</v>
      </c>
      <c r="C43">
        <v>25</v>
      </c>
      <c r="D43" t="str">
        <f t="shared" si="0"/>
        <v>11/25/2018</v>
      </c>
      <c r="E43">
        <f>[42]LAI_18_Zone_1_042!$C$2</f>
        <v>1.0568734587364901</v>
      </c>
    </row>
    <row r="44" spans="1:5" x14ac:dyDescent="0.3">
      <c r="A44">
        <v>2018</v>
      </c>
      <c r="B44">
        <v>12</v>
      </c>
      <c r="C44">
        <v>3</v>
      </c>
      <c r="D44" t="str">
        <f t="shared" si="0"/>
        <v>12/3/2018</v>
      </c>
      <c r="E44">
        <f>[43]LAI_18_Zone_1_043!$C$2</f>
        <v>1.0568734587364901</v>
      </c>
    </row>
    <row r="45" spans="1:5" x14ac:dyDescent="0.3">
      <c r="A45">
        <v>2018</v>
      </c>
      <c r="B45">
        <v>12</v>
      </c>
      <c r="C45">
        <v>11</v>
      </c>
      <c r="D45" t="str">
        <f t="shared" si="0"/>
        <v>12/11/2018</v>
      </c>
      <c r="E45">
        <f>[44]LAI_18_Zone_1_044!$C$2</f>
        <v>1.0568734587364901</v>
      </c>
    </row>
    <row r="46" spans="1:5" x14ac:dyDescent="0.3">
      <c r="A46">
        <v>2018</v>
      </c>
      <c r="B46">
        <v>12</v>
      </c>
      <c r="C46">
        <v>19</v>
      </c>
      <c r="D46" t="str">
        <f t="shared" si="0"/>
        <v>12/19/2018</v>
      </c>
      <c r="E46">
        <f>[45]LAI_18_Zone_1_045!$C$2</f>
        <v>1.0568734587364901</v>
      </c>
    </row>
    <row r="47" spans="1:5" x14ac:dyDescent="0.3">
      <c r="A47">
        <v>2018</v>
      </c>
      <c r="B47">
        <v>12</v>
      </c>
      <c r="C47">
        <v>27</v>
      </c>
      <c r="D47" t="str">
        <f t="shared" si="0"/>
        <v>12/27/2018</v>
      </c>
      <c r="E47">
        <f>[46]LAI_18_Zone_1_046!$C$2</f>
        <v>1.0568734587364901</v>
      </c>
    </row>
    <row r="48" spans="1:5" x14ac:dyDescent="0.3">
      <c r="A48">
        <v>2019</v>
      </c>
      <c r="B48">
        <v>1</v>
      </c>
      <c r="C48">
        <v>9</v>
      </c>
      <c r="D48" t="str">
        <f t="shared" si="0"/>
        <v>1/9/2019</v>
      </c>
      <c r="E48">
        <f>[47]LAI_19_Zone_1_01!$C$2</f>
        <v>1.0238594738134601</v>
      </c>
    </row>
    <row r="49" spans="1:5" x14ac:dyDescent="0.3">
      <c r="A49">
        <v>2019</v>
      </c>
      <c r="B49">
        <v>1</v>
      </c>
      <c r="C49">
        <v>17</v>
      </c>
      <c r="D49" t="str">
        <f t="shared" si="0"/>
        <v>1/17/2019</v>
      </c>
      <c r="E49">
        <f>[48]LAI_19_Zone_1_02!$C$2</f>
        <v>1.03520845785058</v>
      </c>
    </row>
    <row r="50" spans="1:5" x14ac:dyDescent="0.3">
      <c r="A50">
        <v>2019</v>
      </c>
      <c r="B50">
        <v>1</v>
      </c>
      <c r="C50">
        <v>25</v>
      </c>
      <c r="D50" t="str">
        <f t="shared" si="0"/>
        <v>1/25/2019</v>
      </c>
      <c r="E50">
        <f>[49]LAI_19_Zone_1_03!$C$2</f>
        <v>0.8</v>
      </c>
    </row>
    <row r="51" spans="1:5" x14ac:dyDescent="0.3">
      <c r="A51">
        <v>2019</v>
      </c>
      <c r="B51">
        <v>2</v>
      </c>
      <c r="C51">
        <v>2</v>
      </c>
      <c r="D51" t="str">
        <f t="shared" si="0"/>
        <v>2/2/2019</v>
      </c>
      <c r="E51">
        <f>[50]LAI_19_Zone_1_04!$C$2</f>
        <v>0.67379928195857497</v>
      </c>
    </row>
    <row r="52" spans="1:5" x14ac:dyDescent="0.3">
      <c r="A52">
        <v>2019</v>
      </c>
      <c r="B52">
        <v>2</v>
      </c>
      <c r="C52">
        <v>10</v>
      </c>
      <c r="D52" t="str">
        <f t="shared" si="0"/>
        <v>2/10/2019</v>
      </c>
      <c r="E52">
        <f>[51]LAI_19_Zone_1_05!$C$2</f>
        <v>0.5</v>
      </c>
    </row>
    <row r="53" spans="1:5" x14ac:dyDescent="0.3">
      <c r="A53">
        <v>2019</v>
      </c>
      <c r="B53">
        <v>2</v>
      </c>
      <c r="C53">
        <v>18</v>
      </c>
      <c r="D53" t="str">
        <f t="shared" si="0"/>
        <v>2/18/2019</v>
      </c>
      <c r="E53">
        <f>[52]LAI_19_Zone_1_06!$C$2</f>
        <v>0.5</v>
      </c>
    </row>
    <row r="54" spans="1:5" x14ac:dyDescent="0.3">
      <c r="A54">
        <v>2019</v>
      </c>
      <c r="B54">
        <v>2</v>
      </c>
      <c r="C54">
        <v>26</v>
      </c>
      <c r="D54" t="str">
        <f t="shared" si="0"/>
        <v>2/26/2019</v>
      </c>
      <c r="E54">
        <f>[53]LAI_19_Zone_1_07!$C$2</f>
        <v>0.5</v>
      </c>
    </row>
    <row r="55" spans="1:5" x14ac:dyDescent="0.3">
      <c r="A55">
        <v>2019</v>
      </c>
      <c r="B55">
        <v>3</v>
      </c>
      <c r="C55">
        <v>6</v>
      </c>
      <c r="D55" t="str">
        <f t="shared" si="0"/>
        <v>3/6/2019</v>
      </c>
      <c r="E55">
        <f>[54]LAI_19_Zone_1_08!$C$2</f>
        <v>0.5</v>
      </c>
    </row>
    <row r="56" spans="1:5" x14ac:dyDescent="0.3">
      <c r="A56">
        <v>2019</v>
      </c>
      <c r="B56">
        <v>3</v>
      </c>
      <c r="C56">
        <v>14</v>
      </c>
      <c r="D56" t="str">
        <f t="shared" si="0"/>
        <v>3/14/2019</v>
      </c>
      <c r="E56">
        <f>[55]LAI_19_Zone_1_09!$C$2</f>
        <v>0.441754569721997</v>
      </c>
    </row>
    <row r="57" spans="1:5" x14ac:dyDescent="0.3">
      <c r="A57">
        <v>2019</v>
      </c>
      <c r="B57">
        <v>3</v>
      </c>
      <c r="C57">
        <v>22</v>
      </c>
      <c r="D57" t="str">
        <f t="shared" si="0"/>
        <v>3/22/2019</v>
      </c>
      <c r="E57">
        <f>[56]LAI_19_Zone_1_010!$C$2</f>
        <v>0.42373909010368599</v>
      </c>
    </row>
    <row r="58" spans="1:5" x14ac:dyDescent="0.3">
      <c r="A58">
        <v>2019</v>
      </c>
      <c r="B58">
        <v>3</v>
      </c>
      <c r="C58">
        <v>30</v>
      </c>
      <c r="D58" t="str">
        <f t="shared" si="0"/>
        <v>3/30/2019</v>
      </c>
      <c r="E58">
        <f>[57]LAI_19_Zone_1_011!$C$2</f>
        <v>0.41473135029453101</v>
      </c>
    </row>
    <row r="59" spans="1:5" x14ac:dyDescent="0.3">
      <c r="A59">
        <v>2019</v>
      </c>
      <c r="B59">
        <v>4</v>
      </c>
      <c r="C59">
        <v>7</v>
      </c>
      <c r="D59" t="str">
        <f t="shared" si="0"/>
        <v>4/7/2019</v>
      </c>
      <c r="E59">
        <f>[58]LAI_19_Zone_1_012!$C$2</f>
        <v>0.47379928195857501</v>
      </c>
    </row>
    <row r="60" spans="1:5" x14ac:dyDescent="0.3">
      <c r="A60">
        <v>2019</v>
      </c>
      <c r="B60">
        <v>4</v>
      </c>
      <c r="C60">
        <v>15</v>
      </c>
      <c r="D60" t="str">
        <f t="shared" si="0"/>
        <v>4/15/2019</v>
      </c>
      <c r="E60">
        <f>[59]LAI_19_Zone_1_013!$C$2</f>
        <v>0.3</v>
      </c>
    </row>
    <row r="61" spans="1:5" x14ac:dyDescent="0.3">
      <c r="A61">
        <v>2019</v>
      </c>
      <c r="B61">
        <v>4</v>
      </c>
      <c r="C61">
        <v>23</v>
      </c>
      <c r="D61" t="str">
        <f t="shared" si="0"/>
        <v>4/23/2019</v>
      </c>
      <c r="E61">
        <f>[60]LAI_19_Zone_1_014!$C$2</f>
        <v>0.3</v>
      </c>
    </row>
    <row r="62" spans="1:5" x14ac:dyDescent="0.3">
      <c r="A62">
        <v>2019</v>
      </c>
      <c r="B62">
        <v>5</v>
      </c>
      <c r="C62">
        <v>1</v>
      </c>
      <c r="D62" t="str">
        <f t="shared" si="0"/>
        <v>5/1/2019</v>
      </c>
      <c r="E62">
        <f>[61]LAI_19_Zone_1_015!$C$2</f>
        <v>0.338470440398217</v>
      </c>
    </row>
    <row r="63" spans="1:5" x14ac:dyDescent="0.3">
      <c r="A63">
        <v>2019</v>
      </c>
      <c r="B63">
        <v>5</v>
      </c>
      <c r="C63">
        <v>9</v>
      </c>
      <c r="D63" t="str">
        <f t="shared" si="0"/>
        <v>5/9/2019</v>
      </c>
      <c r="E63">
        <f>[62]LAI_19_Zone_1_016!$C$2</f>
        <v>0.52385947381346398</v>
      </c>
    </row>
    <row r="64" spans="1:5" x14ac:dyDescent="0.3">
      <c r="A64">
        <v>2019</v>
      </c>
      <c r="B64">
        <v>5</v>
      </c>
      <c r="C64">
        <v>17</v>
      </c>
      <c r="D64" t="str">
        <f t="shared" si="0"/>
        <v>5/17/2019</v>
      </c>
      <c r="E64">
        <f>[63]LAI_19_Zone_1_017!$C$2</f>
        <v>0.95099720073032201</v>
      </c>
    </row>
    <row r="65" spans="1:5" x14ac:dyDescent="0.3">
      <c r="A65">
        <v>2019</v>
      </c>
      <c r="B65">
        <v>5</v>
      </c>
      <c r="C65">
        <v>25</v>
      </c>
      <c r="D65" t="str">
        <f t="shared" si="0"/>
        <v>5/25/2019</v>
      </c>
      <c r="E65">
        <f>[64]LAI_19_Zone_1_019!$C$2</f>
        <v>0.36491192585919702</v>
      </c>
    </row>
    <row r="66" spans="1:5" x14ac:dyDescent="0.3">
      <c r="A66">
        <v>2019</v>
      </c>
      <c r="B66">
        <v>6</v>
      </c>
      <c r="C66">
        <v>2</v>
      </c>
      <c r="D66" t="str">
        <f t="shared" ref="D66:D129" si="1">_xlfn.CONCAT(B66,"/",C66,"/",A66)</f>
        <v>6/2/2019</v>
      </c>
      <c r="E66">
        <f>[64]LAI_19_Zone_1_019!$C$2</f>
        <v>0.36491192585919702</v>
      </c>
    </row>
    <row r="67" spans="1:5" x14ac:dyDescent="0.3">
      <c r="A67">
        <v>2019</v>
      </c>
      <c r="B67">
        <v>6</v>
      </c>
      <c r="C67">
        <v>10</v>
      </c>
      <c r="D67" t="str">
        <f t="shared" si="1"/>
        <v>6/10/2019</v>
      </c>
      <c r="E67">
        <f>[65]LAI_19_Zone_1_020!$C$2</f>
        <v>1.3343859564645399</v>
      </c>
    </row>
    <row r="68" spans="1:5" x14ac:dyDescent="0.3">
      <c r="A68">
        <v>2019</v>
      </c>
      <c r="B68">
        <v>6</v>
      </c>
      <c r="C68">
        <v>18</v>
      </c>
      <c r="D68" t="str">
        <f t="shared" si="1"/>
        <v>6/18/2019</v>
      </c>
      <c r="E68">
        <f>[66]LAI_19_Zone_1_021!$C$2</f>
        <v>1.54198946092117</v>
      </c>
    </row>
    <row r="69" spans="1:5" x14ac:dyDescent="0.3">
      <c r="A69">
        <v>2019</v>
      </c>
      <c r="B69">
        <v>6</v>
      </c>
      <c r="C69">
        <v>26</v>
      </c>
      <c r="D69" t="str">
        <f t="shared" si="1"/>
        <v>6/26/2019</v>
      </c>
      <c r="E69">
        <f>[67]LAI_19_Zone_1_022!$C$2</f>
        <v>0.74993980814511196</v>
      </c>
    </row>
    <row r="70" spans="1:5" x14ac:dyDescent="0.3">
      <c r="A70">
        <v>2019</v>
      </c>
      <c r="B70">
        <v>7</v>
      </c>
      <c r="C70">
        <v>4</v>
      </c>
      <c r="D70" t="str">
        <f t="shared" si="1"/>
        <v>7/4/2019</v>
      </c>
      <c r="E70">
        <f>[68]LAI_19_Zone_1_023!$C$2</f>
        <v>0.68923274992937</v>
      </c>
    </row>
    <row r="71" spans="1:5" x14ac:dyDescent="0.3">
      <c r="A71">
        <v>2019</v>
      </c>
      <c r="B71">
        <v>7</v>
      </c>
      <c r="C71">
        <v>12</v>
      </c>
      <c r="D71" t="str">
        <f t="shared" si="1"/>
        <v>7/12/2019</v>
      </c>
      <c r="E71">
        <f>[69]LAI_19_Zone_1_024!$C$2</f>
        <v>0.741052452045733</v>
      </c>
    </row>
    <row r="72" spans="1:5" x14ac:dyDescent="0.3">
      <c r="A72">
        <v>2019</v>
      </c>
      <c r="B72">
        <v>7</v>
      </c>
      <c r="C72">
        <v>20</v>
      </c>
      <c r="D72" t="str">
        <f t="shared" si="1"/>
        <v>7/20/2019</v>
      </c>
      <c r="E72">
        <f>[70]LAI_19_Zone_1_025!$C$2</f>
        <v>0.6</v>
      </c>
    </row>
    <row r="73" spans="1:5" x14ac:dyDescent="0.3">
      <c r="A73">
        <v>2019</v>
      </c>
      <c r="B73">
        <v>7</v>
      </c>
      <c r="C73">
        <v>28</v>
      </c>
      <c r="D73" t="str">
        <f t="shared" si="1"/>
        <v>7/28/2019</v>
      </c>
      <c r="E73">
        <f>[71]LAI_19_Zone_1_026!$C$2</f>
        <v>0.47626090989631398</v>
      </c>
    </row>
    <row r="74" spans="1:5" x14ac:dyDescent="0.3">
      <c r="A74">
        <v>2019</v>
      </c>
      <c r="B74">
        <v>8</v>
      </c>
      <c r="C74">
        <v>5</v>
      </c>
      <c r="D74" t="str">
        <f t="shared" si="1"/>
        <v>8/5/2019</v>
      </c>
      <c r="E74">
        <f>[72]LAI_19_Zone_1_027!$C$2</f>
        <v>0.3</v>
      </c>
    </row>
    <row r="75" spans="1:5" x14ac:dyDescent="0.3">
      <c r="A75">
        <v>2019</v>
      </c>
      <c r="B75">
        <v>8</v>
      </c>
      <c r="C75">
        <v>13</v>
      </c>
      <c r="D75" t="str">
        <f t="shared" si="1"/>
        <v>8/13/2019</v>
      </c>
      <c r="E75">
        <f>[73]LAI_19_Zone_1_028!$C$2</f>
        <v>0.19753837206226099</v>
      </c>
    </row>
    <row r="76" spans="1:5" x14ac:dyDescent="0.3">
      <c r="A76">
        <v>2019</v>
      </c>
      <c r="B76">
        <v>8</v>
      </c>
      <c r="C76">
        <v>21</v>
      </c>
      <c r="D76" t="str">
        <f t="shared" si="1"/>
        <v>8/21/2019</v>
      </c>
      <c r="E76">
        <f>[74]LAI_19_Zone_1_029!$C$2</f>
        <v>0.3</v>
      </c>
    </row>
    <row r="77" spans="1:5" x14ac:dyDescent="0.3">
      <c r="A77">
        <v>2019</v>
      </c>
      <c r="B77">
        <v>8</v>
      </c>
      <c r="C77">
        <v>29</v>
      </c>
      <c r="D77" t="str">
        <f t="shared" si="1"/>
        <v>8/29/2019</v>
      </c>
      <c r="E77">
        <f>[75]LAI_19_Zone_1_030!$C$2</f>
        <v>0.17626090989631399</v>
      </c>
    </row>
    <row r="78" spans="1:5" x14ac:dyDescent="0.3">
      <c r="A78">
        <v>2019</v>
      </c>
      <c r="B78">
        <v>9</v>
      </c>
      <c r="C78">
        <v>6</v>
      </c>
      <c r="D78" t="str">
        <f t="shared" si="1"/>
        <v>9/6/2019</v>
      </c>
      <c r="E78">
        <f>[76]LAI_19_Zone_1_031!$C$2</f>
        <v>0.27860215412427503</v>
      </c>
    </row>
    <row r="79" spans="1:5" x14ac:dyDescent="0.3">
      <c r="A79">
        <v>2019</v>
      </c>
      <c r="B79">
        <v>9</v>
      </c>
      <c r="C79">
        <v>14</v>
      </c>
      <c r="D79" t="str">
        <f t="shared" si="1"/>
        <v>9/14/2019</v>
      </c>
      <c r="E79">
        <f>[77]LAI_19_Zone_1_032!$C$2</f>
        <v>0.5</v>
      </c>
    </row>
    <row r="80" spans="1:5" x14ac:dyDescent="0.3">
      <c r="A80">
        <v>2019</v>
      </c>
      <c r="B80">
        <v>9</v>
      </c>
      <c r="C80">
        <v>22</v>
      </c>
      <c r="D80" t="str">
        <f t="shared" si="1"/>
        <v>9/22/2019</v>
      </c>
      <c r="E80">
        <f>[78]LAI_19_Zone_1_033!$C$2</f>
        <v>1.0568734587364901</v>
      </c>
    </row>
    <row r="81" spans="1:5" x14ac:dyDescent="0.3">
      <c r="A81">
        <v>2019</v>
      </c>
      <c r="B81">
        <v>9</v>
      </c>
      <c r="C81">
        <v>30</v>
      </c>
      <c r="D81" t="str">
        <f t="shared" si="1"/>
        <v>9/30/2019</v>
      </c>
      <c r="E81">
        <f>[79]LAI_19_Zone_1_034!$C$2</f>
        <v>1.0568734587364901</v>
      </c>
    </row>
    <row r="82" spans="1:5" x14ac:dyDescent="0.3">
      <c r="A82">
        <v>2019</v>
      </c>
      <c r="B82">
        <v>10</v>
      </c>
      <c r="C82">
        <v>8</v>
      </c>
      <c r="D82" t="str">
        <f t="shared" si="1"/>
        <v>10/8/2019</v>
      </c>
      <c r="E82">
        <f>[80]LAI_19_Zone_1_035!$C$2</f>
        <v>1.0568734587364901</v>
      </c>
    </row>
    <row r="83" spans="1:5" x14ac:dyDescent="0.3">
      <c r="A83">
        <v>2019</v>
      </c>
      <c r="B83">
        <v>10</v>
      </c>
      <c r="C83">
        <v>16</v>
      </c>
      <c r="D83" t="str">
        <f t="shared" si="1"/>
        <v>10/16/2019</v>
      </c>
      <c r="E83">
        <f>[81]LAI_19_Zone_1_036!$C$2</f>
        <v>1.0568734587364901</v>
      </c>
    </row>
    <row r="84" spans="1:5" x14ac:dyDescent="0.3">
      <c r="A84">
        <v>2019</v>
      </c>
      <c r="B84">
        <v>10</v>
      </c>
      <c r="C84">
        <v>24</v>
      </c>
      <c r="D84" t="str">
        <f t="shared" si="1"/>
        <v>10/24/2019</v>
      </c>
      <c r="E84">
        <f>[82]LAI_19_Zone_1_037!$C$2</f>
        <v>1.0568734587364901</v>
      </c>
    </row>
    <row r="85" spans="1:5" x14ac:dyDescent="0.3">
      <c r="A85">
        <v>2019</v>
      </c>
      <c r="B85">
        <v>11</v>
      </c>
      <c r="C85">
        <v>1</v>
      </c>
      <c r="D85" t="str">
        <f t="shared" si="1"/>
        <v>11/1/2019</v>
      </c>
      <c r="E85">
        <f>[83]LAI_19_Zone_1_038!$C$2</f>
        <v>1.0568734587364901</v>
      </c>
    </row>
    <row r="86" spans="1:5" x14ac:dyDescent="0.3">
      <c r="A86">
        <v>2019</v>
      </c>
      <c r="B86">
        <v>11</v>
      </c>
      <c r="C86">
        <v>9</v>
      </c>
      <c r="D86" t="str">
        <f t="shared" si="1"/>
        <v>11/9/2019</v>
      </c>
      <c r="E86">
        <f>[84]LAI_19_Zone_1_039!$C$2</f>
        <v>1.0568734587364901</v>
      </c>
    </row>
    <row r="87" spans="1:5" x14ac:dyDescent="0.3">
      <c r="A87">
        <v>2019</v>
      </c>
      <c r="B87">
        <v>11</v>
      </c>
      <c r="C87">
        <v>17</v>
      </c>
      <c r="D87" t="str">
        <f t="shared" si="1"/>
        <v>11/17/2019</v>
      </c>
      <c r="E87">
        <f>[85]LAI_19_Zone_1_040!$C$2</f>
        <v>1.0568734587364901</v>
      </c>
    </row>
    <row r="88" spans="1:5" x14ac:dyDescent="0.3">
      <c r="A88">
        <v>2019</v>
      </c>
      <c r="B88">
        <v>11</v>
      </c>
      <c r="C88">
        <v>25</v>
      </c>
      <c r="D88" t="str">
        <f t="shared" si="1"/>
        <v>11/25/2019</v>
      </c>
      <c r="E88">
        <f>[86]LAI_19_Zone_1_041!$C$2</f>
        <v>1.0568734587364901</v>
      </c>
    </row>
    <row r="89" spans="1:5" x14ac:dyDescent="0.3">
      <c r="A89">
        <v>2019</v>
      </c>
      <c r="B89">
        <v>12</v>
      </c>
      <c r="C89">
        <v>3</v>
      </c>
      <c r="D89" t="str">
        <f t="shared" si="1"/>
        <v>12/3/2019</v>
      </c>
      <c r="E89">
        <f>[87]LAI_19_Zone_1_042!$C$2</f>
        <v>1.0568734587364901</v>
      </c>
    </row>
    <row r="90" spans="1:5" x14ac:dyDescent="0.3">
      <c r="A90">
        <v>2019</v>
      </c>
      <c r="B90">
        <v>12</v>
      </c>
      <c r="C90">
        <v>11</v>
      </c>
      <c r="D90" t="str">
        <f t="shared" si="1"/>
        <v>12/11/2019</v>
      </c>
      <c r="E90">
        <f>[88]LAI_19_Zone_1_043!$C$2</f>
        <v>1.0568734587364901</v>
      </c>
    </row>
    <row r="91" spans="1:5" x14ac:dyDescent="0.3">
      <c r="A91">
        <v>2019</v>
      </c>
      <c r="B91">
        <v>12</v>
      </c>
      <c r="C91">
        <v>19</v>
      </c>
      <c r="D91" t="str">
        <f t="shared" si="1"/>
        <v>12/19/2019</v>
      </c>
      <c r="E91">
        <f>[89]LAI_19_Zone_1_044!$C$2</f>
        <v>1.0568734587364901</v>
      </c>
    </row>
    <row r="92" spans="1:5" x14ac:dyDescent="0.3">
      <c r="A92">
        <v>2019</v>
      </c>
      <c r="B92">
        <v>12</v>
      </c>
      <c r="C92">
        <v>27</v>
      </c>
      <c r="D92" t="str">
        <f t="shared" si="1"/>
        <v>12/27/2019</v>
      </c>
      <c r="E92">
        <f>[90]LAI_19_Zone_1_045!$C$2</f>
        <v>1.0568734587364901</v>
      </c>
    </row>
    <row r="93" spans="1:5" x14ac:dyDescent="0.3">
      <c r="A93">
        <v>2020</v>
      </c>
      <c r="B93">
        <v>1</v>
      </c>
      <c r="C93">
        <v>1</v>
      </c>
      <c r="D93" t="str">
        <f t="shared" si="1"/>
        <v>1/1/2020</v>
      </c>
      <c r="E93">
        <f>[91]LAI_20_Zone_1_01!$C$2</f>
        <v>1.8762609098963099</v>
      </c>
    </row>
    <row r="94" spans="1:5" x14ac:dyDescent="0.3">
      <c r="A94">
        <v>2020</v>
      </c>
      <c r="B94">
        <v>1</v>
      </c>
      <c r="C94">
        <v>9</v>
      </c>
      <c r="D94" t="str">
        <f t="shared" si="1"/>
        <v>1/9/2020</v>
      </c>
      <c r="E94">
        <f>[92]LAI_20_Zone_1_02!$C$2</f>
        <v>0.95696745485563695</v>
      </c>
    </row>
    <row r="95" spans="1:5" x14ac:dyDescent="0.3">
      <c r="A95">
        <v>2020</v>
      </c>
      <c r="B95">
        <v>1</v>
      </c>
      <c r="C95">
        <v>17</v>
      </c>
      <c r="D95" t="str">
        <f t="shared" si="1"/>
        <v>1/17/2020</v>
      </c>
      <c r="E95">
        <f>[93]LAI_20_Zone_1_03!$C$2</f>
        <v>1.7524014360828499</v>
      </c>
    </row>
    <row r="96" spans="1:5" x14ac:dyDescent="0.3">
      <c r="A96">
        <v>2020</v>
      </c>
      <c r="B96">
        <v>1</v>
      </c>
      <c r="C96">
        <v>25</v>
      </c>
      <c r="D96" t="str">
        <f t="shared" si="1"/>
        <v>1/25/2020</v>
      </c>
      <c r="E96">
        <f>[94]LAI_20_Zone_1_04!$C$2</f>
        <v>0.66293379495431104</v>
      </c>
    </row>
    <row r="97" spans="1:5" x14ac:dyDescent="0.3">
      <c r="A97">
        <v>2020</v>
      </c>
      <c r="B97">
        <v>2</v>
      </c>
      <c r="C97">
        <v>2</v>
      </c>
      <c r="D97" t="str">
        <f t="shared" si="1"/>
        <v>2/2/2020</v>
      </c>
      <c r="E97">
        <f>[95]LAI_20_Zone_1_05!$C$2</f>
        <v>1.5076256512327699</v>
      </c>
    </row>
    <row r="98" spans="1:5" x14ac:dyDescent="0.3">
      <c r="A98">
        <v>2020</v>
      </c>
      <c r="B98">
        <v>2</v>
      </c>
      <c r="C98">
        <v>10</v>
      </c>
      <c r="D98" t="str">
        <f t="shared" si="1"/>
        <v>2/10/2020</v>
      </c>
      <c r="E98">
        <f>[96]LAI_20_Zone_1_06!$C$2</f>
        <v>1.4237390901036899</v>
      </c>
    </row>
    <row r="99" spans="1:5" x14ac:dyDescent="0.3">
      <c r="A99">
        <v>2020</v>
      </c>
      <c r="B99">
        <v>2</v>
      </c>
      <c r="C99">
        <v>18</v>
      </c>
      <c r="D99" t="str">
        <f t="shared" si="1"/>
        <v>2/18/2020</v>
      </c>
      <c r="E99">
        <f>[97]LAI_20_Zone_1_07!$C$2</f>
        <v>0.85732469195832695</v>
      </c>
    </row>
    <row r="100" spans="1:5" x14ac:dyDescent="0.3">
      <c r="A100">
        <v>2020</v>
      </c>
      <c r="B100">
        <v>2</v>
      </c>
      <c r="C100">
        <v>26</v>
      </c>
      <c r="D100" t="str">
        <f t="shared" si="1"/>
        <v>2/26/2020</v>
      </c>
      <c r="E100">
        <f>[98]LAI_20_Zone_1_08!$C$2</f>
        <v>1.1761405261865401</v>
      </c>
    </row>
    <row r="101" spans="1:5" x14ac:dyDescent="0.3">
      <c r="A101">
        <v>2020</v>
      </c>
      <c r="B101">
        <v>3</v>
      </c>
      <c r="C101">
        <v>5</v>
      </c>
      <c r="D101" t="str">
        <f t="shared" si="1"/>
        <v>3/5/2020</v>
      </c>
      <c r="E101">
        <f>[99]LAI_20_Zone_1_09!$C$2</f>
        <v>0.65228105237307299</v>
      </c>
    </row>
    <row r="102" spans="1:5" x14ac:dyDescent="0.3">
      <c r="A102">
        <v>2020</v>
      </c>
      <c r="B102">
        <v>3</v>
      </c>
      <c r="C102">
        <v>13</v>
      </c>
      <c r="D102" t="str">
        <f t="shared" si="1"/>
        <v>3/13/2020</v>
      </c>
      <c r="E102">
        <f>[100]LAI_20_Zone_1_010!$C$2</f>
        <v>1.1852686497054701</v>
      </c>
    </row>
    <row r="103" spans="1:5" x14ac:dyDescent="0.3">
      <c r="A103">
        <v>2020</v>
      </c>
      <c r="B103">
        <v>3</v>
      </c>
      <c r="C103">
        <v>21</v>
      </c>
      <c r="D103" t="str">
        <f t="shared" si="1"/>
        <v>3/21/2020</v>
      </c>
      <c r="E103">
        <f>[101]LAI_20_Zone_1_011!$C$2</f>
        <v>0.94807422253587303</v>
      </c>
    </row>
    <row r="104" spans="1:5" x14ac:dyDescent="0.3">
      <c r="A104">
        <v>2020</v>
      </c>
      <c r="B104">
        <v>3</v>
      </c>
      <c r="C104">
        <v>29</v>
      </c>
      <c r="D104" t="str">
        <f t="shared" si="1"/>
        <v>3/29/2020</v>
      </c>
      <c r="E104">
        <f>[102]LAI_20_Zone_1_012!$C$2</f>
        <v>0.65858639682493603</v>
      </c>
    </row>
    <row r="105" spans="1:5" x14ac:dyDescent="0.3">
      <c r="A105">
        <v>2020</v>
      </c>
      <c r="B105">
        <v>4</v>
      </c>
      <c r="C105">
        <v>6</v>
      </c>
      <c r="D105" t="str">
        <f t="shared" si="1"/>
        <v>4/6/2020</v>
      </c>
      <c r="E105">
        <f>[103]LAI_20_Zone_1_013!$C$2</f>
        <v>0.85870678053471305</v>
      </c>
    </row>
    <row r="106" spans="1:5" x14ac:dyDescent="0.3">
      <c r="A106">
        <v>2020</v>
      </c>
      <c r="B106">
        <v>4</v>
      </c>
      <c r="C106">
        <v>14</v>
      </c>
      <c r="D106" t="str">
        <f t="shared" si="1"/>
        <v>4/14/2020</v>
      </c>
      <c r="E106">
        <f>[104]LAI_20_Zone_1_014!$C$2</f>
        <v>1.1000000000000001</v>
      </c>
    </row>
    <row r="107" spans="1:5" x14ac:dyDescent="0.3">
      <c r="A107">
        <v>2020</v>
      </c>
      <c r="B107">
        <v>4</v>
      </c>
      <c r="C107">
        <v>22</v>
      </c>
      <c r="D107" t="str">
        <f t="shared" si="1"/>
        <v>4/22/2020</v>
      </c>
      <c r="E107">
        <f>[105]LAI_20_Zone_1_015!$C$2</f>
        <v>1.20714411639366</v>
      </c>
    </row>
    <row r="108" spans="1:5" x14ac:dyDescent="0.3">
      <c r="A108">
        <v>2020</v>
      </c>
      <c r="B108">
        <v>4</v>
      </c>
      <c r="C108">
        <v>30</v>
      </c>
      <c r="D108" t="str">
        <f t="shared" si="1"/>
        <v>4/30/2020</v>
      </c>
      <c r="E108">
        <f>[106]LAI_20_Zone_1_016!$C$2</f>
        <v>1.2500601918548899</v>
      </c>
    </row>
    <row r="109" spans="1:5" x14ac:dyDescent="0.3">
      <c r="A109">
        <v>2020</v>
      </c>
      <c r="B109">
        <v>5</v>
      </c>
      <c r="C109">
        <v>8</v>
      </c>
      <c r="D109" t="str">
        <f t="shared" si="1"/>
        <v>5/8/2020</v>
      </c>
      <c r="E109">
        <f>[107]LAI_20_Zone_1_017!$C$2</f>
        <v>0.55322393746889098</v>
      </c>
    </row>
    <row r="110" spans="1:5" x14ac:dyDescent="0.3">
      <c r="A110">
        <v>2020</v>
      </c>
      <c r="B110">
        <v>5</v>
      </c>
      <c r="C110">
        <v>16</v>
      </c>
      <c r="D110" t="str">
        <f t="shared" si="1"/>
        <v>5/16/2020</v>
      </c>
      <c r="E110">
        <f>[108]LAI_20_Zone_1_018!$C$2</f>
        <v>0.83800909014150704</v>
      </c>
    </row>
    <row r="111" spans="1:5" x14ac:dyDescent="0.3">
      <c r="A111">
        <v>2020</v>
      </c>
      <c r="B111">
        <v>5</v>
      </c>
      <c r="C111">
        <v>24</v>
      </c>
      <c r="D111" t="str">
        <f t="shared" si="1"/>
        <v>5/24/2020</v>
      </c>
      <c r="E111">
        <f>[109]LAI_20_Zone_1_019!$C$2</f>
        <v>1.20654611187142</v>
      </c>
    </row>
    <row r="112" spans="1:5" x14ac:dyDescent="0.3">
      <c r="A112">
        <v>2020</v>
      </c>
      <c r="B112">
        <v>6</v>
      </c>
      <c r="C112">
        <v>1</v>
      </c>
      <c r="D112" t="str">
        <f t="shared" si="1"/>
        <v>6/1/2020</v>
      </c>
      <c r="E112">
        <f>[110]LAI_20_Zone_1_020!$C$2</f>
        <v>1.0762609098963101</v>
      </c>
    </row>
    <row r="113" spans="1:5" x14ac:dyDescent="0.3">
      <c r="A113">
        <v>2020</v>
      </c>
      <c r="B113">
        <v>6</v>
      </c>
      <c r="C113">
        <v>9</v>
      </c>
      <c r="D113" t="str">
        <f t="shared" si="1"/>
        <v>6/9/2020</v>
      </c>
      <c r="E113">
        <f>[111]LAI_20_Zone_1_021!$C$2</f>
        <v>0.5</v>
      </c>
    </row>
    <row r="114" spans="1:5" x14ac:dyDescent="0.3">
      <c r="A114">
        <v>2020</v>
      </c>
      <c r="B114">
        <v>6</v>
      </c>
      <c r="C114">
        <v>17</v>
      </c>
      <c r="D114" t="str">
        <f t="shared" si="1"/>
        <v>6/17/2020</v>
      </c>
      <c r="E114">
        <f>[112]LAI_20_Zone_1_022!$C$2</f>
        <v>0.38210490409146602</v>
      </c>
    </row>
    <row r="115" spans="1:5" x14ac:dyDescent="0.3">
      <c r="A115">
        <v>2020</v>
      </c>
      <c r="B115">
        <v>6</v>
      </c>
      <c r="C115">
        <v>25</v>
      </c>
      <c r="D115" t="str">
        <f t="shared" si="1"/>
        <v>6/25/2020</v>
      </c>
      <c r="E115">
        <f>[113]LAI_20_Zone_1_023!$C$2</f>
        <v>0.75240143608285004</v>
      </c>
    </row>
    <row r="116" spans="1:5" x14ac:dyDescent="0.3">
      <c r="A116">
        <v>2020</v>
      </c>
      <c r="B116">
        <v>7</v>
      </c>
      <c r="C116">
        <v>3</v>
      </c>
      <c r="D116" t="str">
        <f t="shared" si="1"/>
        <v>7/3/2020</v>
      </c>
      <c r="E116">
        <f>[114]LAI_20_Zone_1_024!$C$2</f>
        <v>0.7</v>
      </c>
    </row>
    <row r="117" spans="1:5" x14ac:dyDescent="0.3">
      <c r="A117">
        <v>2020</v>
      </c>
      <c r="B117">
        <v>7</v>
      </c>
      <c r="C117">
        <v>11</v>
      </c>
      <c r="D117" t="str">
        <f t="shared" si="1"/>
        <v>7/11/2020</v>
      </c>
      <c r="E117">
        <f>[115]LAI_20_Zone_1_025!$C$2</f>
        <v>0.5</v>
      </c>
    </row>
    <row r="118" spans="1:5" x14ac:dyDescent="0.3">
      <c r="A118">
        <v>2020</v>
      </c>
      <c r="B118">
        <v>7</v>
      </c>
      <c r="C118">
        <v>19</v>
      </c>
      <c r="D118" t="str">
        <f t="shared" si="1"/>
        <v>7/19/2020</v>
      </c>
      <c r="E118">
        <f>[116]LAI_20_Zone_1_026!$C$2</f>
        <v>0.71311437051897597</v>
      </c>
    </row>
    <row r="119" spans="1:5" x14ac:dyDescent="0.3">
      <c r="A119">
        <v>2020</v>
      </c>
      <c r="B119">
        <v>7</v>
      </c>
      <c r="C119">
        <v>27</v>
      </c>
      <c r="D119" t="str">
        <f t="shared" si="1"/>
        <v>7/27/2020</v>
      </c>
      <c r="E119">
        <f>[117]LAI_20_Zone_1_027!$C$2</f>
        <v>0.5</v>
      </c>
    </row>
    <row r="120" spans="1:5" x14ac:dyDescent="0.3">
      <c r="A120">
        <v>2020</v>
      </c>
      <c r="B120">
        <v>8</v>
      </c>
      <c r="C120">
        <v>4</v>
      </c>
      <c r="D120" t="str">
        <f t="shared" si="1"/>
        <v>8/4/2020</v>
      </c>
      <c r="E120">
        <f>[118]LAI_20_Zone_1_028!$C$2</f>
        <v>0.50900773980915504</v>
      </c>
    </row>
    <row r="121" spans="1:5" x14ac:dyDescent="0.3">
      <c r="A121">
        <v>2020</v>
      </c>
      <c r="B121">
        <v>8</v>
      </c>
      <c r="C121">
        <v>12</v>
      </c>
      <c r="D121" t="str">
        <f t="shared" si="1"/>
        <v>8/12/2020</v>
      </c>
      <c r="E121">
        <f>[119]LAI_20_Zone_1_029!$C$2</f>
        <v>0.5</v>
      </c>
    </row>
    <row r="122" spans="1:5" x14ac:dyDescent="0.3">
      <c r="A122">
        <v>2020</v>
      </c>
      <c r="B122">
        <v>8</v>
      </c>
      <c r="C122">
        <v>20</v>
      </c>
      <c r="D122" t="str">
        <f t="shared" si="1"/>
        <v>8/20/2020</v>
      </c>
      <c r="E122">
        <f>[120]LAI_20_Zone_1_030!$C$2</f>
        <v>0.27614052618653701</v>
      </c>
    </row>
    <row r="123" spans="1:5" x14ac:dyDescent="0.3">
      <c r="A123">
        <v>2020</v>
      </c>
      <c r="B123">
        <v>8</v>
      </c>
      <c r="C123">
        <v>28</v>
      </c>
      <c r="D123" t="str">
        <f t="shared" si="1"/>
        <v>8/28/2020</v>
      </c>
      <c r="E123">
        <f>[121]LAI_20_Zone_1_031!$C$2</f>
        <v>0.47379928195857501</v>
      </c>
    </row>
    <row r="124" spans="1:5" x14ac:dyDescent="0.3">
      <c r="A124">
        <v>2020</v>
      </c>
      <c r="B124">
        <v>9</v>
      </c>
      <c r="C124">
        <v>5</v>
      </c>
      <c r="D124" t="str">
        <f t="shared" si="1"/>
        <v>9/5/2020</v>
      </c>
      <c r="E124">
        <f>[122]LAI_20_Zone_1_032!$C$2</f>
        <v>0.2</v>
      </c>
    </row>
    <row r="125" spans="1:5" x14ac:dyDescent="0.3">
      <c r="A125">
        <v>2020</v>
      </c>
      <c r="B125">
        <v>9</v>
      </c>
      <c r="C125">
        <v>13</v>
      </c>
      <c r="D125" t="str">
        <f t="shared" si="1"/>
        <v>9/13/2020</v>
      </c>
      <c r="E125">
        <f>[123]LAI_20_Zone_1_033!$C$2</f>
        <v>0.4</v>
      </c>
    </row>
    <row r="126" spans="1:5" x14ac:dyDescent="0.3">
      <c r="A126">
        <v>2020</v>
      </c>
      <c r="B126">
        <v>9</v>
      </c>
      <c r="C126">
        <v>21</v>
      </c>
      <c r="D126" t="str">
        <f t="shared" si="1"/>
        <v>9/21/2020</v>
      </c>
      <c r="E126">
        <f>[124]LAI_20_Zone_1_034!$C$2</f>
        <v>0.40888735609937799</v>
      </c>
    </row>
    <row r="127" spans="1:5" x14ac:dyDescent="0.3">
      <c r="A127">
        <v>2020</v>
      </c>
      <c r="B127">
        <v>9</v>
      </c>
      <c r="C127">
        <v>29</v>
      </c>
      <c r="D127" t="str">
        <f t="shared" si="1"/>
        <v>9/29/2020</v>
      </c>
      <c r="E127">
        <f>[125]LAI_20_Zone_1_035!$C$2</f>
        <v>0.47626090989631398</v>
      </c>
    </row>
    <row r="128" spans="1:5" x14ac:dyDescent="0.3">
      <c r="A128">
        <v>2020</v>
      </c>
      <c r="B128">
        <v>10</v>
      </c>
      <c r="C128">
        <v>7</v>
      </c>
      <c r="D128" t="str">
        <f t="shared" si="1"/>
        <v>10/7/2020</v>
      </c>
      <c r="E128">
        <f>[126]LAI_20_Zone_1_036!$C$2</f>
        <v>0.4</v>
      </c>
    </row>
    <row r="129" spans="1:5" x14ac:dyDescent="0.3">
      <c r="A129">
        <v>2020</v>
      </c>
      <c r="B129">
        <v>10</v>
      </c>
      <c r="C129">
        <v>15</v>
      </c>
      <c r="D129" t="str">
        <f t="shared" si="1"/>
        <v>10/15/2020</v>
      </c>
      <c r="E129">
        <f>[127]LAI_20_Zone_1_037!$C$2</f>
        <v>0.3</v>
      </c>
    </row>
    <row r="130" spans="1:5" x14ac:dyDescent="0.3">
      <c r="A130">
        <v>2020</v>
      </c>
      <c r="B130">
        <v>10</v>
      </c>
      <c r="C130">
        <v>23</v>
      </c>
      <c r="D130" t="str">
        <f t="shared" ref="D130:D193" si="2">_xlfn.CONCAT(B130,"/",C130,"/",A130)</f>
        <v>10/23/2020</v>
      </c>
      <c r="E130">
        <f>[128]LAI_20_Zone_1_038!$C$2</f>
        <v>0.22373909010368601</v>
      </c>
    </row>
    <row r="131" spans="1:5" x14ac:dyDescent="0.3">
      <c r="A131">
        <v>2020</v>
      </c>
      <c r="B131">
        <v>10</v>
      </c>
      <c r="C131">
        <v>31</v>
      </c>
      <c r="D131" t="str">
        <f t="shared" si="2"/>
        <v>10/31/2020</v>
      </c>
      <c r="E131">
        <f>[129]LAI_20_Zone_1_039!$C$2</f>
        <v>0.482104904091466</v>
      </c>
    </row>
    <row r="132" spans="1:5" x14ac:dyDescent="0.3">
      <c r="A132">
        <v>2020</v>
      </c>
      <c r="B132">
        <v>11</v>
      </c>
      <c r="C132">
        <v>8</v>
      </c>
      <c r="D132" t="str">
        <f t="shared" si="2"/>
        <v>11/8/2020</v>
      </c>
      <c r="E132">
        <f>[130]LAI_20_Zone_1_040!$C$2</f>
        <v>0.49099226019084502</v>
      </c>
    </row>
    <row r="133" spans="1:5" x14ac:dyDescent="0.3">
      <c r="A133">
        <v>2020</v>
      </c>
      <c r="B133">
        <v>11</v>
      </c>
      <c r="C133">
        <v>16</v>
      </c>
      <c r="D133" t="str">
        <f t="shared" si="2"/>
        <v>11/16/2020</v>
      </c>
      <c r="E133">
        <f>[131]LAI_20_Zone_1_041!$C$2</f>
        <v>0.93730697246524297</v>
      </c>
    </row>
    <row r="134" spans="1:5" x14ac:dyDescent="0.3">
      <c r="A134">
        <v>2020</v>
      </c>
      <c r="B134">
        <v>11</v>
      </c>
      <c r="C134">
        <v>24</v>
      </c>
      <c r="D134" t="str">
        <f t="shared" si="2"/>
        <v>11/24/2020</v>
      </c>
      <c r="E134">
        <f>[132]LAI_20_Zone_1_042!$C$2</f>
        <v>0.67626090989631404</v>
      </c>
    </row>
    <row r="135" spans="1:5" x14ac:dyDescent="0.3">
      <c r="A135">
        <v>2020</v>
      </c>
      <c r="B135">
        <v>12</v>
      </c>
      <c r="C135">
        <v>2</v>
      </c>
      <c r="D135" t="str">
        <f t="shared" si="2"/>
        <v>12/2/2020</v>
      </c>
      <c r="E135">
        <f>[133]LAI_20_Zone_1_043!$C$2</f>
        <v>0.96140917589200503</v>
      </c>
    </row>
    <row r="136" spans="1:5" x14ac:dyDescent="0.3">
      <c r="A136">
        <v>2020</v>
      </c>
      <c r="B136">
        <v>12</v>
      </c>
      <c r="C136">
        <v>10</v>
      </c>
      <c r="D136" t="str">
        <f t="shared" si="2"/>
        <v>12/10/2020</v>
      </c>
      <c r="E136">
        <f>[134]LAI_20_Zone_1_044!$C$2</f>
        <v>0.75906793166404396</v>
      </c>
    </row>
    <row r="137" spans="1:5" x14ac:dyDescent="0.3">
      <c r="A137">
        <v>2020</v>
      </c>
      <c r="B137">
        <v>12</v>
      </c>
      <c r="C137">
        <v>18</v>
      </c>
      <c r="D137" t="str">
        <f t="shared" si="2"/>
        <v>12/18/2020</v>
      </c>
      <c r="E137">
        <f>[135]LAI_20_Zone_1_045!$C$2</f>
        <v>0.64093206833595595</v>
      </c>
    </row>
    <row r="138" spans="1:5" x14ac:dyDescent="0.3">
      <c r="A138">
        <v>2020</v>
      </c>
      <c r="B138">
        <v>12</v>
      </c>
      <c r="C138">
        <v>26</v>
      </c>
      <c r="D138" t="str">
        <f t="shared" si="2"/>
        <v>12/26/2020</v>
      </c>
      <c r="E138">
        <f>[136]LAI_20_Zone_1_046!$C$2</f>
        <v>0.55894754795426704</v>
      </c>
    </row>
    <row r="139" spans="1:5" x14ac:dyDescent="0.3">
      <c r="A139">
        <v>2021</v>
      </c>
      <c r="B139">
        <v>1</v>
      </c>
      <c r="C139">
        <v>1</v>
      </c>
      <c r="D139" t="str">
        <f t="shared" si="2"/>
        <v>1/1/2021</v>
      </c>
      <c r="E139">
        <f>[137]LAI_21_Zone_1_01!$C$2</f>
        <v>0.67626090989631404</v>
      </c>
    </row>
    <row r="140" spans="1:5" x14ac:dyDescent="0.3">
      <c r="A140">
        <v>2021</v>
      </c>
      <c r="B140">
        <v>1</v>
      </c>
      <c r="C140">
        <v>9</v>
      </c>
      <c r="D140" t="str">
        <f t="shared" si="2"/>
        <v>1/9/2021</v>
      </c>
      <c r="E140">
        <f>[138]LAI_21_Zone_1_02!$C$2</f>
        <v>0.623739090103686</v>
      </c>
    </row>
    <row r="141" spans="1:5" x14ac:dyDescent="0.3">
      <c r="A141">
        <v>2021</v>
      </c>
      <c r="B141">
        <v>1</v>
      </c>
      <c r="C141">
        <v>17</v>
      </c>
      <c r="D141" t="str">
        <f t="shared" si="2"/>
        <v>1/17/2021</v>
      </c>
      <c r="E141">
        <f>[139]LAI_21_Zone_1_03!$C$2</f>
        <v>0.6</v>
      </c>
    </row>
    <row r="142" spans="1:5" x14ac:dyDescent="0.3">
      <c r="A142">
        <v>2021</v>
      </c>
      <c r="B142">
        <v>1</v>
      </c>
      <c r="C142">
        <v>25</v>
      </c>
      <c r="D142" t="str">
        <f t="shared" si="2"/>
        <v>1/25/2021</v>
      </c>
      <c r="E142">
        <f>[140]LAI_21_Zone_1_04!$C$2</f>
        <v>0.5</v>
      </c>
    </row>
    <row r="143" spans="1:5" x14ac:dyDescent="0.3">
      <c r="A143">
        <v>2021</v>
      </c>
      <c r="B143">
        <v>2</v>
      </c>
      <c r="C143">
        <v>2</v>
      </c>
      <c r="D143" t="str">
        <f t="shared" si="2"/>
        <v>2/2/2021</v>
      </c>
      <c r="E143">
        <f>[141]LAI_21_Zone_1_05!$C$2</f>
        <v>0.4</v>
      </c>
    </row>
    <row r="144" spans="1:5" x14ac:dyDescent="0.3">
      <c r="A144">
        <v>2021</v>
      </c>
      <c r="B144">
        <v>2</v>
      </c>
      <c r="C144">
        <v>10</v>
      </c>
      <c r="D144" t="str">
        <f t="shared" si="2"/>
        <v>2/10/2021</v>
      </c>
      <c r="E144">
        <f>[142]LAI_21_Zone_1_06!$C$2</f>
        <v>0.74993980814511196</v>
      </c>
    </row>
    <row r="145" spans="1:5" x14ac:dyDescent="0.3">
      <c r="A145">
        <v>2021</v>
      </c>
      <c r="B145">
        <v>2</v>
      </c>
      <c r="C145">
        <v>18</v>
      </c>
      <c r="D145" t="str">
        <f t="shared" si="2"/>
        <v>2/18/2021</v>
      </c>
      <c r="E145">
        <f>[143]LAI_21_Zone_1_07!$C$2</f>
        <v>0.66725317008715801</v>
      </c>
    </row>
    <row r="146" spans="1:5" x14ac:dyDescent="0.3">
      <c r="A146">
        <v>2021</v>
      </c>
      <c r="B146">
        <v>2</v>
      </c>
      <c r="C146">
        <v>26</v>
      </c>
      <c r="D146" t="str">
        <f t="shared" si="2"/>
        <v>2/26/2021</v>
      </c>
      <c r="E146">
        <f>[144]LAI_21_Zone_1_08!$C$2</f>
        <v>0.73274682991284201</v>
      </c>
    </row>
    <row r="147" spans="1:5" x14ac:dyDescent="0.3">
      <c r="A147">
        <v>2021</v>
      </c>
      <c r="B147">
        <v>3</v>
      </c>
      <c r="C147">
        <v>6</v>
      </c>
      <c r="D147" t="str">
        <f t="shared" si="2"/>
        <v>3/6/2021</v>
      </c>
      <c r="E147">
        <f>[145]LAI_21_Zone_1_09!$C$2</f>
        <v>0.86725317008715797</v>
      </c>
    </row>
    <row r="148" spans="1:5" x14ac:dyDescent="0.3">
      <c r="A148">
        <v>2021</v>
      </c>
      <c r="B148">
        <v>3</v>
      </c>
      <c r="C148">
        <v>14</v>
      </c>
      <c r="D148" t="str">
        <f t="shared" si="2"/>
        <v>3/14/2021</v>
      </c>
      <c r="E148">
        <f>[146]LAI_21_Zone_1_010!$C$2</f>
        <v>0.5</v>
      </c>
    </row>
    <row r="149" spans="1:5" x14ac:dyDescent="0.3">
      <c r="A149">
        <v>2021</v>
      </c>
      <c r="B149">
        <v>3</v>
      </c>
      <c r="C149">
        <v>22</v>
      </c>
      <c r="D149" t="str">
        <f t="shared" si="2"/>
        <v>3/22/2021</v>
      </c>
      <c r="E149">
        <f>[147]LAI_21_Zone_1_011!$C$2</f>
        <v>0.6</v>
      </c>
    </row>
    <row r="150" spans="1:5" x14ac:dyDescent="0.3">
      <c r="A150">
        <v>2021</v>
      </c>
      <c r="B150">
        <v>3</v>
      </c>
      <c r="C150">
        <v>30</v>
      </c>
      <c r="D150" t="str">
        <f t="shared" si="2"/>
        <v>3/30/2021</v>
      </c>
      <c r="E150">
        <f>[148]LAI_21_Zone_1_012!$C$2</f>
        <v>0.226200718041425</v>
      </c>
    </row>
    <row r="151" spans="1:5" x14ac:dyDescent="0.3">
      <c r="A151">
        <v>2021</v>
      </c>
      <c r="B151">
        <v>4</v>
      </c>
      <c r="C151">
        <v>7</v>
      </c>
      <c r="D151" t="str">
        <f t="shared" si="2"/>
        <v>4/7/2021</v>
      </c>
      <c r="E151">
        <f>[149]LAI_21_Zone_1_013!$C$2</f>
        <v>0.50012038370977696</v>
      </c>
    </row>
    <row r="152" spans="1:5" x14ac:dyDescent="0.3">
      <c r="A152">
        <v>2021</v>
      </c>
      <c r="B152">
        <v>4</v>
      </c>
      <c r="C152">
        <v>15</v>
      </c>
      <c r="D152" t="str">
        <f t="shared" si="2"/>
        <v>4/15/2021</v>
      </c>
      <c r="E152">
        <f>[150]LAI_21_Zone_1_014!$C$2</f>
        <v>0.429121734042129</v>
      </c>
    </row>
    <row r="153" spans="1:5" x14ac:dyDescent="0.3">
      <c r="A153">
        <v>2021</v>
      </c>
      <c r="B153">
        <v>4</v>
      </c>
      <c r="C153">
        <v>23</v>
      </c>
      <c r="D153" t="str">
        <f t="shared" si="2"/>
        <v>4/23/2021</v>
      </c>
      <c r="E153">
        <f>[151]LAI_21_Zone_1_015!$C$2</f>
        <v>0.24993980814511099</v>
      </c>
    </row>
    <row r="154" spans="1:5" x14ac:dyDescent="0.3">
      <c r="A154">
        <v>2021</v>
      </c>
      <c r="B154">
        <v>5</v>
      </c>
      <c r="C154">
        <v>1</v>
      </c>
      <c r="D154" t="str">
        <f t="shared" si="2"/>
        <v>5/1/2021</v>
      </c>
      <c r="E154">
        <f>[152]LAI_21_Zone_1_016!$C$2</f>
        <v>0.923036972427422</v>
      </c>
    </row>
    <row r="155" spans="1:5" x14ac:dyDescent="0.3">
      <c r="A155">
        <v>2021</v>
      </c>
      <c r="B155">
        <v>5</v>
      </c>
      <c r="C155">
        <v>9</v>
      </c>
      <c r="D155" t="str">
        <f t="shared" si="2"/>
        <v>5/9/2021</v>
      </c>
      <c r="E155">
        <f>[153]LAI_21_Zone_1_017!$C$2</f>
        <v>0.560586674505964</v>
      </c>
    </row>
    <row r="156" spans="1:5" x14ac:dyDescent="0.3">
      <c r="A156">
        <v>2021</v>
      </c>
      <c r="B156">
        <v>5</v>
      </c>
      <c r="C156">
        <v>17</v>
      </c>
      <c r="D156" t="str">
        <f t="shared" si="2"/>
        <v>5/17/2021</v>
      </c>
      <c r="E156">
        <f>[154]LAI_21_Zone_1_018!$C$2</f>
        <v>1.3214141164314801</v>
      </c>
    </row>
    <row r="157" spans="1:5" x14ac:dyDescent="0.3">
      <c r="A157">
        <v>2021</v>
      </c>
      <c r="B157">
        <v>5</v>
      </c>
      <c r="C157">
        <v>25</v>
      </c>
      <c r="D157" t="str">
        <f t="shared" si="2"/>
        <v>5/25/2021</v>
      </c>
      <c r="E157">
        <f>[155]LAI_21_Zone_1_019!$C$2</f>
        <v>1.1000000000000001</v>
      </c>
    </row>
    <row r="158" spans="1:5" x14ac:dyDescent="0.3">
      <c r="A158">
        <v>2021</v>
      </c>
      <c r="B158">
        <v>6</v>
      </c>
      <c r="C158">
        <v>2</v>
      </c>
      <c r="D158" t="str">
        <f t="shared" si="2"/>
        <v>6/2/2021</v>
      </c>
      <c r="E158">
        <f>[156]LAI_21_Zone_1_020!$C$2</f>
        <v>0.66725317008715801</v>
      </c>
    </row>
    <row r="159" spans="1:5" x14ac:dyDescent="0.3">
      <c r="A159">
        <v>2021</v>
      </c>
      <c r="B159">
        <v>6</v>
      </c>
      <c r="C159">
        <v>10</v>
      </c>
      <c r="D159" t="str">
        <f t="shared" si="2"/>
        <v>6/10/2021</v>
      </c>
      <c r="E159">
        <f>[157]LAI_21_Zone_1_021!$C$2</f>
        <v>0.91719297823226997</v>
      </c>
    </row>
    <row r="160" spans="1:5" x14ac:dyDescent="0.3">
      <c r="A160">
        <v>2021</v>
      </c>
      <c r="B160">
        <v>6</v>
      </c>
      <c r="C160">
        <v>18</v>
      </c>
      <c r="D160" t="str">
        <f t="shared" si="2"/>
        <v>6/18/2021</v>
      </c>
      <c r="E160">
        <f>[158]LAI_21_Zone_1_022!$C$2</f>
        <v>0.16725317008715801</v>
      </c>
    </row>
    <row r="161" spans="1:5" x14ac:dyDescent="0.3">
      <c r="A161">
        <v>2021</v>
      </c>
      <c r="B161">
        <v>6</v>
      </c>
      <c r="C161">
        <v>26</v>
      </c>
      <c r="D161" t="str">
        <f t="shared" si="2"/>
        <v>6/26/2021</v>
      </c>
      <c r="E161">
        <f>[159]LAI_21_Zone_1_023!$C$2</f>
        <v>0.52620071804142499</v>
      </c>
    </row>
    <row r="162" spans="1:5" x14ac:dyDescent="0.3">
      <c r="A162">
        <v>2021</v>
      </c>
      <c r="B162">
        <v>7</v>
      </c>
      <c r="C162">
        <v>4</v>
      </c>
      <c r="D162" t="str">
        <f t="shared" si="2"/>
        <v>7/4/2021</v>
      </c>
      <c r="E162">
        <f>[160]LAI_21_Zone_1_024!$C$2</f>
        <v>0.6</v>
      </c>
    </row>
    <row r="163" spans="1:5" x14ac:dyDescent="0.3">
      <c r="A163">
        <v>2021</v>
      </c>
      <c r="B163">
        <v>7</v>
      </c>
      <c r="C163">
        <v>12</v>
      </c>
      <c r="D163" t="str">
        <f t="shared" si="2"/>
        <v>7/12/2021</v>
      </c>
      <c r="E163">
        <f>[161]LAI_21_Zone_1_025!$C$2</f>
        <v>0.47626090989631398</v>
      </c>
    </row>
    <row r="164" spans="1:5" x14ac:dyDescent="0.3">
      <c r="A164">
        <v>2021</v>
      </c>
      <c r="B164">
        <v>7</v>
      </c>
      <c r="C164">
        <v>20</v>
      </c>
      <c r="D164" t="str">
        <f t="shared" si="2"/>
        <v>7/20/2021</v>
      </c>
      <c r="E164">
        <f>[162]LAI_21_Zone_1_027!$C$2</f>
        <v>0.3</v>
      </c>
    </row>
    <row r="165" spans="1:5" x14ac:dyDescent="0.3">
      <c r="A165">
        <v>2021</v>
      </c>
      <c r="B165">
        <v>7</v>
      </c>
      <c r="C165">
        <v>28</v>
      </c>
      <c r="D165" t="str">
        <f t="shared" si="2"/>
        <v>7/28/2021</v>
      </c>
      <c r="E165">
        <f>[163]LAI_21_Zone_1_028!$C$2</f>
        <v>0.3</v>
      </c>
    </row>
    <row r="166" spans="1:5" x14ac:dyDescent="0.3">
      <c r="A166">
        <v>2021</v>
      </c>
      <c r="B166">
        <v>8</v>
      </c>
      <c r="C166">
        <v>5</v>
      </c>
      <c r="D166" t="str">
        <f t="shared" si="2"/>
        <v>8/5/2021</v>
      </c>
      <c r="E166">
        <f>[164]LAI_21_Zone_1_029!$C$2</f>
        <v>0.26211129356827001</v>
      </c>
    </row>
    <row r="167" spans="1:5" x14ac:dyDescent="0.3">
      <c r="A167">
        <v>2021</v>
      </c>
      <c r="B167">
        <v>8</v>
      </c>
      <c r="C167">
        <v>13</v>
      </c>
      <c r="D167" t="str">
        <f t="shared" si="2"/>
        <v>8/13/2021</v>
      </c>
      <c r="E167">
        <f>[165]LAI_21_Zone_1_030!$C$2</f>
        <v>0.4</v>
      </c>
    </row>
    <row r="168" spans="1:5" x14ac:dyDescent="0.3">
      <c r="A168">
        <v>2021</v>
      </c>
      <c r="B168">
        <v>8</v>
      </c>
      <c r="C168">
        <v>21</v>
      </c>
      <c r="D168" t="str">
        <f t="shared" si="2"/>
        <v>8/21/2021</v>
      </c>
      <c r="E168">
        <f>[166]LAI_21_Zone_1_031!$C$2</f>
        <v>0.4</v>
      </c>
    </row>
    <row r="169" spans="1:5" x14ac:dyDescent="0.3">
      <c r="A169">
        <v>2021</v>
      </c>
      <c r="B169">
        <v>8</v>
      </c>
      <c r="C169">
        <v>29</v>
      </c>
      <c r="D169" t="str">
        <f t="shared" si="2"/>
        <v>8/29/2021</v>
      </c>
      <c r="E169">
        <f>[167]LAI_21_Zone_1_032!$C$2</f>
        <v>0.33274682991284199</v>
      </c>
    </row>
    <row r="170" spans="1:5" x14ac:dyDescent="0.3">
      <c r="A170">
        <v>2021</v>
      </c>
      <c r="B170">
        <v>9</v>
      </c>
      <c r="C170">
        <v>6</v>
      </c>
      <c r="D170" t="str">
        <f t="shared" si="2"/>
        <v>9/6/2021</v>
      </c>
      <c r="E170">
        <f>[168]LAI_21_Zone_1_033!$C$2</f>
        <v>0.258947547954267</v>
      </c>
    </row>
    <row r="171" spans="1:5" x14ac:dyDescent="0.3">
      <c r="A171">
        <v>2021</v>
      </c>
      <c r="B171">
        <v>9</v>
      </c>
      <c r="C171">
        <v>14</v>
      </c>
      <c r="D171" t="str">
        <f t="shared" si="2"/>
        <v>9/14/2021</v>
      </c>
      <c r="E171">
        <f>[169]LAI_21_Zone_1_034!$C$2</f>
        <v>0.39169437786710898</v>
      </c>
    </row>
    <row r="172" spans="1:5" x14ac:dyDescent="0.3">
      <c r="A172">
        <v>2021</v>
      </c>
      <c r="B172">
        <v>9</v>
      </c>
      <c r="C172">
        <v>22</v>
      </c>
      <c r="D172" t="str">
        <f t="shared" si="2"/>
        <v>9/22/2021</v>
      </c>
      <c r="E172">
        <f>[170]LAI_21_Zone_1_035!$C$2</f>
        <v>0.34105245204573298</v>
      </c>
    </row>
    <row r="173" spans="1:5" x14ac:dyDescent="0.3">
      <c r="A173">
        <v>2021</v>
      </c>
      <c r="B173">
        <v>9</v>
      </c>
      <c r="C173">
        <v>30</v>
      </c>
      <c r="D173" t="str">
        <f t="shared" si="2"/>
        <v>9/30/2021</v>
      </c>
      <c r="E173">
        <f>[171]LAI_21_Zone_1_036!$C$2</f>
        <v>0.34747818020737298</v>
      </c>
    </row>
    <row r="174" spans="1:5" x14ac:dyDescent="0.3">
      <c r="A174">
        <v>2021</v>
      </c>
      <c r="B174">
        <v>10</v>
      </c>
      <c r="C174">
        <v>8</v>
      </c>
      <c r="D174" t="str">
        <f t="shared" si="2"/>
        <v>10/8/2021</v>
      </c>
      <c r="E174">
        <f>[172]LAI_21_Zone_1_037!$C$2</f>
        <v>0.37379928195857498</v>
      </c>
    </row>
    <row r="175" spans="1:5" x14ac:dyDescent="0.3">
      <c r="A175">
        <v>2021</v>
      </c>
      <c r="B175">
        <v>10</v>
      </c>
      <c r="C175">
        <v>16</v>
      </c>
      <c r="D175" t="str">
        <f t="shared" si="2"/>
        <v>10/16/2021</v>
      </c>
      <c r="E175">
        <f>[173]LAI_21_Zone_1_038!$C$2</f>
        <v>0.24993980814511099</v>
      </c>
    </row>
    <row r="176" spans="1:5" x14ac:dyDescent="0.3">
      <c r="A176">
        <v>2021</v>
      </c>
      <c r="B176">
        <v>10</v>
      </c>
      <c r="C176">
        <v>24</v>
      </c>
      <c r="D176" t="str">
        <f t="shared" si="2"/>
        <v>10/24/2021</v>
      </c>
      <c r="E176">
        <f>[174]LAI_21_Zone_1_039!$C$2</f>
        <v>0.24993980814511099</v>
      </c>
    </row>
    <row r="177" spans="1:5" x14ac:dyDescent="0.3">
      <c r="A177">
        <v>2021</v>
      </c>
      <c r="B177">
        <v>11</v>
      </c>
      <c r="C177">
        <v>1</v>
      </c>
      <c r="D177" t="str">
        <f t="shared" si="2"/>
        <v>11/1/2021</v>
      </c>
      <c r="E177">
        <f>[175]LAI_21_Zone_1_040!$C$2</f>
        <v>0.42139784587572499</v>
      </c>
    </row>
    <row r="178" spans="1:5" x14ac:dyDescent="0.3">
      <c r="A178">
        <v>2021</v>
      </c>
      <c r="B178">
        <v>11</v>
      </c>
      <c r="C178">
        <v>9</v>
      </c>
      <c r="D178" t="str">
        <f t="shared" si="2"/>
        <v>11/9/2021</v>
      </c>
      <c r="E178">
        <f>[176]LAI_21_Zone_1_041!$C$2</f>
        <v>1.6843257646096499</v>
      </c>
    </row>
    <row r="179" spans="1:5" x14ac:dyDescent="0.3">
      <c r="A179">
        <v>2021</v>
      </c>
      <c r="B179">
        <v>11</v>
      </c>
      <c r="C179">
        <v>17</v>
      </c>
      <c r="D179" t="str">
        <f t="shared" si="2"/>
        <v>11/17/2021</v>
      </c>
      <c r="E179">
        <f>[177]LAI_21_Zone_1_042!$C$2</f>
        <v>1.4909922601908401</v>
      </c>
    </row>
    <row r="180" spans="1:5" x14ac:dyDescent="0.3">
      <c r="A180">
        <v>2021</v>
      </c>
      <c r="B180">
        <v>11</v>
      </c>
      <c r="C180">
        <v>25</v>
      </c>
      <c r="D180" t="str">
        <f t="shared" si="2"/>
        <v>11/25/2021</v>
      </c>
      <c r="E180">
        <f>[178]LAI_21_Zone_1_043!$C$2</f>
        <v>1.6843257646096499</v>
      </c>
    </row>
    <row r="181" spans="1:5" x14ac:dyDescent="0.3">
      <c r="A181">
        <v>2021</v>
      </c>
      <c r="B181">
        <v>12</v>
      </c>
      <c r="C181">
        <v>3</v>
      </c>
      <c r="D181" t="str">
        <f t="shared" si="2"/>
        <v>12/3/2021</v>
      </c>
      <c r="E181">
        <f>[179]LAI_21_Zone_1_044!$C$2</f>
        <v>1.4909922601908401</v>
      </c>
    </row>
    <row r="182" spans="1:5" x14ac:dyDescent="0.3">
      <c r="A182">
        <v>2021</v>
      </c>
      <c r="B182">
        <v>12</v>
      </c>
      <c r="C182">
        <v>11</v>
      </c>
      <c r="D182" t="str">
        <f t="shared" si="2"/>
        <v>12/11/2021</v>
      </c>
      <c r="E182">
        <f>[180]LAI_21_Zone_1_045!$C$2</f>
        <v>1.6843257646096499</v>
      </c>
    </row>
    <row r="183" spans="1:5" x14ac:dyDescent="0.3">
      <c r="A183">
        <v>2021</v>
      </c>
      <c r="B183">
        <v>12</v>
      </c>
      <c r="C183">
        <v>19</v>
      </c>
      <c r="D183" t="str">
        <f t="shared" si="2"/>
        <v>12/19/2021</v>
      </c>
      <c r="E183">
        <f>[181]LAI_21_Zone_1_046!$C$2</f>
        <v>1.6843257646096499</v>
      </c>
    </row>
    <row r="184" spans="1:5" x14ac:dyDescent="0.3">
      <c r="A184">
        <v>2021</v>
      </c>
      <c r="B184">
        <v>12</v>
      </c>
      <c r="C184">
        <v>27</v>
      </c>
      <c r="D184" t="str">
        <f t="shared" si="2"/>
        <v>12/27/2021</v>
      </c>
      <c r="E184">
        <f>[182]LAI_21_Zone_1_047!$C$2</f>
        <v>1.5672531700871599</v>
      </c>
    </row>
    <row r="185" spans="1:5" x14ac:dyDescent="0.3">
      <c r="A185">
        <v>2022</v>
      </c>
      <c r="B185">
        <v>1</v>
      </c>
      <c r="C185">
        <v>1</v>
      </c>
      <c r="D185" t="str">
        <f t="shared" si="2"/>
        <v>1/1/2022</v>
      </c>
      <c r="E185">
        <f>[183]LAI_22_Zone_1_01!$C$2</f>
        <v>1.5672531700871599</v>
      </c>
    </row>
    <row r="186" spans="1:5" x14ac:dyDescent="0.3">
      <c r="A186">
        <v>2022</v>
      </c>
      <c r="B186">
        <v>1</v>
      </c>
      <c r="C186">
        <v>9</v>
      </c>
      <c r="D186" t="str">
        <f t="shared" si="2"/>
        <v>1/9/2022</v>
      </c>
      <c r="E186">
        <f>[184]LAI_22_Zone_1_02!$C$2</f>
        <v>1.4851482659956901</v>
      </c>
    </row>
    <row r="187" spans="1:5" x14ac:dyDescent="0.3">
      <c r="A187">
        <v>2022</v>
      </c>
      <c r="B187">
        <v>1</v>
      </c>
      <c r="C187">
        <v>17</v>
      </c>
      <c r="D187" t="str">
        <f t="shared" si="2"/>
        <v>1/17/2022</v>
      </c>
      <c r="E187">
        <f>[185]LAI_22_Zone_1_03!$C$2</f>
        <v>1.258245430278</v>
      </c>
    </row>
    <row r="188" spans="1:5" x14ac:dyDescent="0.3">
      <c r="A188">
        <v>2022</v>
      </c>
      <c r="B188">
        <v>1</v>
      </c>
      <c r="C188">
        <v>25</v>
      </c>
      <c r="D188" t="str">
        <f t="shared" si="2"/>
        <v>1/25/2022</v>
      </c>
      <c r="E188">
        <f>[186]LAI_22_Zone_1_04!$C$2</f>
        <v>1.39099226019084</v>
      </c>
    </row>
    <row r="189" spans="1:5" x14ac:dyDescent="0.3">
      <c r="A189">
        <v>2022</v>
      </c>
      <c r="B189">
        <v>2</v>
      </c>
      <c r="C189">
        <v>2</v>
      </c>
      <c r="D189" t="str">
        <f t="shared" si="2"/>
        <v>2/2/2022</v>
      </c>
      <c r="E189">
        <f>[187]LAI_22_Zone_1_05!$C$2</f>
        <v>0.71134898403711699</v>
      </c>
    </row>
    <row r="190" spans="1:5" x14ac:dyDescent="0.3">
      <c r="A190">
        <v>2022</v>
      </c>
      <c r="B190">
        <v>2</v>
      </c>
      <c r="C190">
        <v>10</v>
      </c>
      <c r="D190" t="str">
        <f t="shared" si="2"/>
        <v>2/10/2022</v>
      </c>
      <c r="E190">
        <f>[188]LAI_22_Zone_1_06!$C$2</f>
        <v>1.058245430278</v>
      </c>
    </row>
    <row r="191" spans="1:5" x14ac:dyDescent="0.3">
      <c r="A191">
        <v>2022</v>
      </c>
      <c r="B191">
        <v>2</v>
      </c>
      <c r="C191">
        <v>18</v>
      </c>
      <c r="D191" t="str">
        <f t="shared" si="2"/>
        <v>2/18/2022</v>
      </c>
      <c r="E191">
        <f>[189]LAI_22_Zone_1_07!$C$2</f>
        <v>0.6</v>
      </c>
    </row>
    <row r="192" spans="1:5" x14ac:dyDescent="0.3">
      <c r="A192">
        <v>2022</v>
      </c>
      <c r="B192">
        <v>2</v>
      </c>
      <c r="C192">
        <v>26</v>
      </c>
      <c r="D192" t="str">
        <f t="shared" si="2"/>
        <v>2/26/2022</v>
      </c>
      <c r="E192">
        <f>[190]LAI_22_Zone_1_08!$C$2</f>
        <v>0.82373909010368696</v>
      </c>
    </row>
    <row r="193" spans="1:5" x14ac:dyDescent="0.3">
      <c r="A193">
        <v>2022</v>
      </c>
      <c r="B193">
        <v>3</v>
      </c>
      <c r="C193">
        <v>6</v>
      </c>
      <c r="D193" t="str">
        <f t="shared" si="2"/>
        <v>3/6/2022</v>
      </c>
      <c r="E193">
        <f>[191]LAI_22_Zone_1_09!$C$2</f>
        <v>0.7</v>
      </c>
    </row>
    <row r="194" spans="1:5" x14ac:dyDescent="0.3">
      <c r="A194">
        <v>2022</v>
      </c>
      <c r="B194">
        <v>3</v>
      </c>
      <c r="C194">
        <v>14</v>
      </c>
      <c r="D194" t="str">
        <f t="shared" ref="D194:D257" si="3">_xlfn.CONCAT(B194,"/",C194,"/",A194)</f>
        <v>3/14/2022</v>
      </c>
      <c r="E194">
        <f>[192]LAI_22_Zone_1_010!$C$2</f>
        <v>0.64105245204573302</v>
      </c>
    </row>
    <row r="195" spans="1:5" x14ac:dyDescent="0.3">
      <c r="A195">
        <v>2022</v>
      </c>
      <c r="B195">
        <v>3</v>
      </c>
      <c r="C195">
        <v>22</v>
      </c>
      <c r="D195" t="str">
        <f t="shared" si="3"/>
        <v>3/22/2022</v>
      </c>
      <c r="E195">
        <f>[193]LAI_22_Zone_1_011!$C$2</f>
        <v>0.5</v>
      </c>
    </row>
    <row r="196" spans="1:5" x14ac:dyDescent="0.3">
      <c r="A196">
        <v>2022</v>
      </c>
      <c r="B196">
        <v>3</v>
      </c>
      <c r="C196">
        <v>30</v>
      </c>
      <c r="D196" t="str">
        <f t="shared" si="3"/>
        <v>3/30/2022</v>
      </c>
      <c r="E196">
        <f>[194]LAI_22_Zone_1_012!$C$2</f>
        <v>0.50900773980915504</v>
      </c>
    </row>
    <row r="197" spans="1:5" x14ac:dyDescent="0.3">
      <c r="A197">
        <v>2022</v>
      </c>
      <c r="B197">
        <v>4</v>
      </c>
      <c r="C197">
        <v>7</v>
      </c>
      <c r="D197" t="str">
        <f t="shared" si="3"/>
        <v>4/7/2022</v>
      </c>
      <c r="E197">
        <f>[195]LAI_22_Zone_1_013!$C$2</f>
        <v>1.2595598608385301</v>
      </c>
    </row>
    <row r="198" spans="1:5" x14ac:dyDescent="0.3">
      <c r="A198">
        <v>2022</v>
      </c>
      <c r="B198">
        <v>4</v>
      </c>
      <c r="C198">
        <v>15</v>
      </c>
      <c r="D198" t="str">
        <f t="shared" si="3"/>
        <v>4/15/2022</v>
      </c>
      <c r="E198">
        <f>[196]LAI_22_Zone_1_014!$C$2</f>
        <v>0.59111264390062201</v>
      </c>
    </row>
    <row r="199" spans="1:5" x14ac:dyDescent="0.3">
      <c r="A199">
        <v>2022</v>
      </c>
      <c r="B199">
        <v>4</v>
      </c>
      <c r="C199">
        <v>23</v>
      </c>
      <c r="D199" t="str">
        <f t="shared" si="3"/>
        <v>4/23/2022</v>
      </c>
      <c r="E199">
        <f>[197]LAI_22_Zone_1_015!$C$2</f>
        <v>0.89765875577203802</v>
      </c>
    </row>
    <row r="200" spans="1:5" x14ac:dyDescent="0.3">
      <c r="A200">
        <v>2022</v>
      </c>
      <c r="B200">
        <v>5</v>
      </c>
      <c r="C200">
        <v>1</v>
      </c>
      <c r="D200" t="str">
        <f t="shared" si="3"/>
        <v>5/1/2022</v>
      </c>
      <c r="E200">
        <f>[198]LAI_22_Zone_1_016!$C$2</f>
        <v>0.80246162793773901</v>
      </c>
    </row>
    <row r="201" spans="1:5" x14ac:dyDescent="0.3">
      <c r="A201">
        <v>2022</v>
      </c>
      <c r="B201">
        <v>5</v>
      </c>
      <c r="C201">
        <v>9</v>
      </c>
      <c r="D201" t="str">
        <f t="shared" si="3"/>
        <v>5/9/2022</v>
      </c>
      <c r="E201">
        <f>[199]LAI_22_Zone_1_017!$C$2</f>
        <v>0.97626090989631398</v>
      </c>
    </row>
    <row r="202" spans="1:5" x14ac:dyDescent="0.3">
      <c r="A202">
        <v>2022</v>
      </c>
      <c r="B202">
        <v>5</v>
      </c>
      <c r="C202">
        <v>17</v>
      </c>
      <c r="D202" t="str">
        <f t="shared" si="3"/>
        <v>5/17/2022</v>
      </c>
      <c r="E202">
        <f>[200]LAI_22_Zone_1_018!$C$2</f>
        <v>0.58877139967266001</v>
      </c>
    </row>
    <row r="203" spans="1:5" x14ac:dyDescent="0.3">
      <c r="A203">
        <v>2022</v>
      </c>
      <c r="B203">
        <v>5</v>
      </c>
      <c r="C203">
        <v>25</v>
      </c>
      <c r="D203" t="str">
        <f t="shared" si="3"/>
        <v>5/25/2022</v>
      </c>
      <c r="E203">
        <f>[201]LAI_22_Zone_1_019!$C$2</f>
        <v>0.37846549985874001</v>
      </c>
    </row>
    <row r="204" spans="1:5" x14ac:dyDescent="0.3">
      <c r="A204">
        <v>2022</v>
      </c>
      <c r="B204">
        <v>6</v>
      </c>
      <c r="C204">
        <v>2</v>
      </c>
      <c r="D204" t="str">
        <f t="shared" si="3"/>
        <v>6/2/2022</v>
      </c>
      <c r="E204">
        <f>[202]LAI_22_Zone_1_020!$C$2</f>
        <v>0.53204471223657801</v>
      </c>
    </row>
    <row r="205" spans="1:5" x14ac:dyDescent="0.3">
      <c r="A205">
        <v>2022</v>
      </c>
      <c r="B205">
        <v>6</v>
      </c>
      <c r="C205">
        <v>10</v>
      </c>
      <c r="D205" t="str">
        <f t="shared" si="3"/>
        <v>6/10/2022</v>
      </c>
      <c r="E205">
        <f>[203]LAI_22_Zone_1_021!$C$2</f>
        <v>0.33520845785058101</v>
      </c>
    </row>
    <row r="206" spans="1:5" x14ac:dyDescent="0.3">
      <c r="A206">
        <v>2022</v>
      </c>
      <c r="B206">
        <v>6</v>
      </c>
      <c r="C206">
        <v>18</v>
      </c>
      <c r="D206" t="str">
        <f t="shared" si="3"/>
        <v>6/18/2022</v>
      </c>
      <c r="E206">
        <f>[204]LAI_22_Zone_1_022!$C$2</f>
        <v>0.2</v>
      </c>
    </row>
    <row r="207" spans="1:5" x14ac:dyDescent="0.3">
      <c r="A207">
        <v>2022</v>
      </c>
      <c r="B207">
        <v>6</v>
      </c>
      <c r="C207">
        <v>26</v>
      </c>
      <c r="D207" t="str">
        <f t="shared" si="3"/>
        <v>6/26/2022</v>
      </c>
      <c r="E207">
        <f>[205]LAI_22_Zone_1_023!$C$2</f>
        <v>0.455783802340264</v>
      </c>
    </row>
    <row r="208" spans="1:5" x14ac:dyDescent="0.3">
      <c r="A208">
        <v>2022</v>
      </c>
      <c r="B208">
        <v>7</v>
      </c>
      <c r="C208">
        <v>4</v>
      </c>
      <c r="D208" t="str">
        <f t="shared" si="3"/>
        <v>7/4/2022</v>
      </c>
      <c r="E208">
        <f>[206]LAI_22_Zone_1_024!$C$2</f>
        <v>0.409007739809155</v>
      </c>
    </row>
    <row r="209" spans="1:5" x14ac:dyDescent="0.3">
      <c r="A209">
        <v>2022</v>
      </c>
      <c r="B209">
        <v>7</v>
      </c>
      <c r="C209">
        <v>12</v>
      </c>
      <c r="D209" t="str">
        <f t="shared" si="3"/>
        <v>7/12/2022</v>
      </c>
      <c r="E209">
        <f>[207]LAI_22_Zone_1_025!$C$2</f>
        <v>0.44105245204573301</v>
      </c>
    </row>
    <row r="210" spans="1:5" x14ac:dyDescent="0.3">
      <c r="A210">
        <v>2022</v>
      </c>
      <c r="B210">
        <v>7</v>
      </c>
      <c r="C210">
        <v>20</v>
      </c>
      <c r="D210" t="str">
        <f t="shared" si="3"/>
        <v>7/20/2022</v>
      </c>
      <c r="E210">
        <f>[208]LAI_22_Zone_1_026!$C$2</f>
        <v>0.3</v>
      </c>
    </row>
    <row r="211" spans="1:5" x14ac:dyDescent="0.3">
      <c r="A211">
        <v>2022</v>
      </c>
      <c r="B211">
        <v>7</v>
      </c>
      <c r="C211">
        <v>28</v>
      </c>
      <c r="D211" t="str">
        <f t="shared" si="3"/>
        <v>7/28/2022</v>
      </c>
      <c r="E211">
        <f>[209]LAI_22_Zone_1_027!$C$2</f>
        <v>0.1</v>
      </c>
    </row>
    <row r="212" spans="1:5" x14ac:dyDescent="0.3">
      <c r="A212">
        <v>2022</v>
      </c>
      <c r="B212">
        <v>8</v>
      </c>
      <c r="C212">
        <v>5</v>
      </c>
      <c r="D212" t="str">
        <f t="shared" si="3"/>
        <v>8/5/2022</v>
      </c>
      <c r="E212">
        <f>[210]LAI_22_Zone_1_028!$C$2</f>
        <v>0.23274682991284201</v>
      </c>
    </row>
    <row r="213" spans="1:5" x14ac:dyDescent="0.3">
      <c r="A213">
        <v>2022</v>
      </c>
      <c r="B213">
        <v>8</v>
      </c>
      <c r="C213">
        <v>13</v>
      </c>
      <c r="D213" t="str">
        <f t="shared" si="3"/>
        <v>8/13/2022</v>
      </c>
      <c r="E213">
        <f>[211]LAI_22_Zone_1_029!$C$2</f>
        <v>0.3</v>
      </c>
    </row>
    <row r="214" spans="1:5" x14ac:dyDescent="0.3">
      <c r="A214">
        <v>2022</v>
      </c>
      <c r="B214">
        <v>8</v>
      </c>
      <c r="C214">
        <v>21</v>
      </c>
      <c r="D214" t="str">
        <f t="shared" si="3"/>
        <v>8/21/2022</v>
      </c>
      <c r="E214">
        <f>[212]LAI_22_Zone_1_030!$C$2</f>
        <v>0.3</v>
      </c>
    </row>
    <row r="215" spans="1:5" x14ac:dyDescent="0.3">
      <c r="A215">
        <v>2022</v>
      </c>
      <c r="B215">
        <v>8</v>
      </c>
      <c r="C215">
        <v>29</v>
      </c>
      <c r="D215" t="str">
        <f t="shared" si="3"/>
        <v>8/29/2022</v>
      </c>
      <c r="E215">
        <f>[213]LAI_22_Zone_1_031!$C$2</f>
        <v>0.3</v>
      </c>
    </row>
    <row r="216" spans="1:5" x14ac:dyDescent="0.3">
      <c r="A216">
        <v>2022</v>
      </c>
      <c r="B216">
        <v>9</v>
      </c>
      <c r="C216">
        <v>6</v>
      </c>
      <c r="D216" t="str">
        <f t="shared" si="3"/>
        <v>9/6/2022</v>
      </c>
      <c r="E216">
        <f>[214]LAI_22_Zone_1_032!$C$2</f>
        <v>0.1</v>
      </c>
    </row>
    <row r="217" spans="1:5" x14ac:dyDescent="0.3">
      <c r="A217">
        <v>2022</v>
      </c>
      <c r="B217">
        <v>9</v>
      </c>
      <c r="C217">
        <v>14</v>
      </c>
      <c r="D217" t="str">
        <f t="shared" si="3"/>
        <v>9/14/2022</v>
      </c>
      <c r="E217">
        <f>[215]LAI_22_Zone_1_033!$C$2</f>
        <v>0.3</v>
      </c>
    </row>
    <row r="218" spans="1:5" x14ac:dyDescent="0.3">
      <c r="A218">
        <v>2022</v>
      </c>
      <c r="B218">
        <v>9</v>
      </c>
      <c r="C218">
        <v>22</v>
      </c>
      <c r="D218" t="str">
        <f t="shared" si="3"/>
        <v>9/22/2022</v>
      </c>
      <c r="E218">
        <f>[216]LAI_22_Zone_1_034!$C$2</f>
        <v>0.3</v>
      </c>
    </row>
    <row r="219" spans="1:5" x14ac:dyDescent="0.3">
      <c r="A219">
        <v>2022</v>
      </c>
      <c r="B219">
        <v>9</v>
      </c>
      <c r="C219">
        <v>30</v>
      </c>
      <c r="D219" t="str">
        <f t="shared" si="3"/>
        <v>9/30/2022</v>
      </c>
      <c r="E219">
        <f>[217]LAI_22_Zone_1_035!$C$2</f>
        <v>0.3</v>
      </c>
    </row>
    <row r="220" spans="1:5" x14ac:dyDescent="0.3">
      <c r="A220">
        <v>2022</v>
      </c>
      <c r="B220">
        <v>10</v>
      </c>
      <c r="C220">
        <v>8</v>
      </c>
      <c r="D220" t="str">
        <f t="shared" si="3"/>
        <v>10/8/2022</v>
      </c>
      <c r="E220">
        <f>[218]LAI_22_Zone_1_036!$C$2</f>
        <v>0.258947547954267</v>
      </c>
    </row>
    <row r="221" spans="1:5" x14ac:dyDescent="0.3">
      <c r="A221">
        <v>2022</v>
      </c>
      <c r="B221">
        <v>10</v>
      </c>
      <c r="C221">
        <v>16</v>
      </c>
      <c r="D221" t="str">
        <f t="shared" si="3"/>
        <v>10/16/2022</v>
      </c>
      <c r="E221">
        <f>[219]LAI_22_Zone_1_037!$C$2</f>
        <v>0.34105245204573298</v>
      </c>
    </row>
    <row r="222" spans="1:5" x14ac:dyDescent="0.3">
      <c r="A222">
        <v>2022</v>
      </c>
      <c r="B222">
        <v>10</v>
      </c>
      <c r="C222">
        <v>24</v>
      </c>
      <c r="D222" t="str">
        <f t="shared" si="3"/>
        <v>10/24/2022</v>
      </c>
      <c r="E222">
        <f>[220]LAI_22_Zone_1_038!$C$2</f>
        <v>0.34105245204573298</v>
      </c>
    </row>
    <row r="223" spans="1:5" x14ac:dyDescent="0.3">
      <c r="A223">
        <v>2022</v>
      </c>
      <c r="B223">
        <v>11</v>
      </c>
      <c r="C223">
        <v>1</v>
      </c>
      <c r="D223" t="str">
        <f t="shared" si="3"/>
        <v>11/1/2022</v>
      </c>
      <c r="E223">
        <f>[221]LAI_22_Zone_1_039!$C$2</f>
        <v>0.258947547954267</v>
      </c>
    </row>
    <row r="224" spans="1:5" x14ac:dyDescent="0.3">
      <c r="A224">
        <v>2022</v>
      </c>
      <c r="B224">
        <v>11</v>
      </c>
      <c r="C224">
        <v>9</v>
      </c>
      <c r="D224" t="str">
        <f t="shared" si="3"/>
        <v>11/9/2022</v>
      </c>
      <c r="E224">
        <f>[222]LAI_22_Zone_1_040!$C$2</f>
        <v>0.1</v>
      </c>
    </row>
    <row r="225" spans="1:5" x14ac:dyDescent="0.3">
      <c r="A225">
        <v>2022</v>
      </c>
      <c r="B225">
        <v>11</v>
      </c>
      <c r="C225">
        <v>17</v>
      </c>
      <c r="D225" t="str">
        <f t="shared" si="3"/>
        <v>11/17/2022</v>
      </c>
      <c r="E225">
        <f>[223]LAI_22_Zone_1_041!$C$2</f>
        <v>0.273799281958575</v>
      </c>
    </row>
    <row r="226" spans="1:5" x14ac:dyDescent="0.3">
      <c r="A226">
        <v>2022</v>
      </c>
      <c r="B226">
        <v>11</v>
      </c>
      <c r="C226">
        <v>25</v>
      </c>
      <c r="D226" t="str">
        <f t="shared" si="3"/>
        <v>11/25/2022</v>
      </c>
      <c r="E226">
        <f>[224]LAI_22_Zone_1_042!$C$2</f>
        <v>0.20900773980915499</v>
      </c>
    </row>
    <row r="227" spans="1:5" x14ac:dyDescent="0.3">
      <c r="A227">
        <v>2022</v>
      </c>
      <c r="B227">
        <v>12</v>
      </c>
      <c r="C227">
        <v>3</v>
      </c>
      <c r="D227" t="str">
        <f t="shared" si="3"/>
        <v>12/3/2022</v>
      </c>
      <c r="E227">
        <f>[225]LAI_22_Zone_1_043!$C$2</f>
        <v>0.24993980814511099</v>
      </c>
    </row>
    <row r="228" spans="1:5" x14ac:dyDescent="0.3">
      <c r="A228">
        <v>2022</v>
      </c>
      <c r="B228">
        <v>12</v>
      </c>
      <c r="C228">
        <v>11</v>
      </c>
      <c r="D228" t="str">
        <f t="shared" si="3"/>
        <v>12/11/2022</v>
      </c>
      <c r="E228">
        <f>[226]LAI_22_Zone_1_044!$C$2</f>
        <v>0.43356933129888298</v>
      </c>
    </row>
    <row r="229" spans="1:5" x14ac:dyDescent="0.3">
      <c r="A229">
        <v>2022</v>
      </c>
      <c r="B229">
        <v>12</v>
      </c>
      <c r="C229">
        <v>19</v>
      </c>
      <c r="D229" t="str">
        <f t="shared" si="3"/>
        <v>12/19/2022</v>
      </c>
      <c r="E229">
        <f>[227]LAI_22_Zone_1_045!$C$2</f>
        <v>0.59495636041474598</v>
      </c>
    </row>
    <row r="230" spans="1:5" x14ac:dyDescent="0.3">
      <c r="A230">
        <v>2022</v>
      </c>
      <c r="B230">
        <v>12</v>
      </c>
      <c r="C230">
        <v>27</v>
      </c>
      <c r="D230" t="str">
        <f t="shared" si="3"/>
        <v>12/27/2022</v>
      </c>
      <c r="E230">
        <f>[228]LAI_22_Zone_1_046!$C$2</f>
        <v>0.41965460617000799</v>
      </c>
    </row>
    <row r="231" spans="1:5" x14ac:dyDescent="0.3">
      <c r="A231">
        <v>2023</v>
      </c>
      <c r="B231">
        <v>1</v>
      </c>
      <c r="C231">
        <v>1</v>
      </c>
      <c r="D231" t="str">
        <f t="shared" si="3"/>
        <v>1/1/2023</v>
      </c>
      <c r="E231">
        <f>[229]LAI_23_Zone_1_01!$C$2</f>
        <v>0.37379928195857498</v>
      </c>
    </row>
    <row r="232" spans="1:5" x14ac:dyDescent="0.3">
      <c r="A232">
        <v>2023</v>
      </c>
      <c r="B232">
        <v>1</v>
      </c>
      <c r="C232">
        <v>9</v>
      </c>
      <c r="D232" t="str">
        <f t="shared" si="3"/>
        <v>1/9/2023</v>
      </c>
      <c r="E232">
        <f>[230]LAI_23_Zone_1_02!$C$2</f>
        <v>0.306546111871417</v>
      </c>
    </row>
    <row r="233" spans="1:5" x14ac:dyDescent="0.3">
      <c r="A233">
        <v>2023</v>
      </c>
      <c r="B233">
        <v>1</v>
      </c>
      <c r="C233">
        <v>17</v>
      </c>
      <c r="D233" t="str">
        <f t="shared" si="3"/>
        <v>1/17/2023</v>
      </c>
      <c r="E233">
        <f>[231]LAI_23_Zone_1_03!$C$2</f>
        <v>0.3</v>
      </c>
    </row>
    <row r="234" spans="1:5" x14ac:dyDescent="0.3">
      <c r="A234">
        <v>2023</v>
      </c>
      <c r="B234">
        <v>1</v>
      </c>
      <c r="C234">
        <v>25</v>
      </c>
      <c r="D234" t="str">
        <f t="shared" si="3"/>
        <v>1/25/2023</v>
      </c>
      <c r="E234">
        <f>[232]LAI_23_Zone_1_04!$C$2</f>
        <v>0.29753837206226103</v>
      </c>
    </row>
    <row r="235" spans="1:5" x14ac:dyDescent="0.3">
      <c r="A235">
        <v>2023</v>
      </c>
      <c r="B235">
        <v>2</v>
      </c>
      <c r="C235">
        <v>2</v>
      </c>
      <c r="D235" t="str">
        <f t="shared" si="3"/>
        <v>2/2/2023</v>
      </c>
      <c r="E235">
        <f>[233]LAI_23_Zone_1_05!$C$2</f>
        <v>0.3</v>
      </c>
    </row>
    <row r="236" spans="1:5" x14ac:dyDescent="0.3">
      <c r="A236">
        <v>2023</v>
      </c>
      <c r="B236">
        <v>2</v>
      </c>
      <c r="C236">
        <v>10</v>
      </c>
      <c r="D236" t="str">
        <f t="shared" si="3"/>
        <v>2/10/2023</v>
      </c>
      <c r="E236">
        <f>[234]LAI_23_Zone_1_06!$C$2</f>
        <v>0.3</v>
      </c>
    </row>
    <row r="237" spans="1:5" x14ac:dyDescent="0.3">
      <c r="A237">
        <v>2023</v>
      </c>
      <c r="B237">
        <v>2</v>
      </c>
      <c r="C237">
        <v>18</v>
      </c>
      <c r="D237" t="str">
        <f t="shared" si="3"/>
        <v>2/18/2023</v>
      </c>
      <c r="E237">
        <f>[235]LAI_23_Zone_1_07!$C$2</f>
        <v>0.3</v>
      </c>
    </row>
    <row r="238" spans="1:5" x14ac:dyDescent="0.3">
      <c r="A238">
        <v>2023</v>
      </c>
      <c r="B238">
        <v>2</v>
      </c>
      <c r="C238">
        <v>26</v>
      </c>
      <c r="D238" t="str">
        <f t="shared" si="3"/>
        <v>2/26/2023</v>
      </c>
      <c r="E238">
        <f>[236]LAI_23_Zone_1_08!$C$2</f>
        <v>0.36725317008715802</v>
      </c>
    </row>
    <row r="239" spans="1:5" x14ac:dyDescent="0.3">
      <c r="A239">
        <v>2023</v>
      </c>
      <c r="B239">
        <v>3</v>
      </c>
      <c r="C239">
        <v>6</v>
      </c>
      <c r="D239" t="str">
        <f t="shared" si="3"/>
        <v>3/6/2023</v>
      </c>
      <c r="E239">
        <f>[237]LAI_23_Zone_1_09!$C$2</f>
        <v>0.3</v>
      </c>
    </row>
    <row r="240" spans="1:5" x14ac:dyDescent="0.3">
      <c r="A240">
        <v>2023</v>
      </c>
      <c r="B240">
        <v>3</v>
      </c>
      <c r="C240">
        <v>14</v>
      </c>
      <c r="D240" t="str">
        <f t="shared" si="3"/>
        <v>3/14/2023</v>
      </c>
      <c r="E240">
        <f>[238]LAI_23_Zone_1_010!$C$2</f>
        <v>0.29099226019084501</v>
      </c>
    </row>
    <row r="241" spans="1:5" x14ac:dyDescent="0.3">
      <c r="A241">
        <v>2023</v>
      </c>
      <c r="B241">
        <v>3</v>
      </c>
      <c r="C241">
        <v>22</v>
      </c>
      <c r="D241" t="str">
        <f t="shared" si="3"/>
        <v>3/22/2023</v>
      </c>
      <c r="E241">
        <f>[239]LAI_23_Zone_1_011!$C$2</f>
        <v>0.20900773980915499</v>
      </c>
    </row>
    <row r="242" spans="1:5" x14ac:dyDescent="0.3">
      <c r="A242">
        <v>2023</v>
      </c>
      <c r="B242">
        <v>3</v>
      </c>
      <c r="C242">
        <v>30</v>
      </c>
      <c r="D242" t="str">
        <f t="shared" si="3"/>
        <v>3/30/2023</v>
      </c>
      <c r="E242">
        <f>[240]LAI_23_Zone_1_012!$C$2</f>
        <v>0.5</v>
      </c>
    </row>
    <row r="243" spans="1:5" x14ac:dyDescent="0.3">
      <c r="A243">
        <v>2023</v>
      </c>
      <c r="B243">
        <v>4</v>
      </c>
      <c r="C243">
        <v>7</v>
      </c>
      <c r="D243" t="str">
        <f t="shared" si="3"/>
        <v>4/7/2023</v>
      </c>
      <c r="E243">
        <f>[241]LAI_23_Zone_1_013!$C$2</f>
        <v>0.497297604642707</v>
      </c>
    </row>
    <row r="244" spans="1:5" x14ac:dyDescent="0.3">
      <c r="A244">
        <v>2023</v>
      </c>
      <c r="B244">
        <v>4</v>
      </c>
      <c r="C244">
        <v>15</v>
      </c>
      <c r="D244" t="str">
        <f t="shared" si="3"/>
        <v>4/15/2023</v>
      </c>
      <c r="E244">
        <f>[242]LAI_23_Zone_1_014!$C$2</f>
        <v>0.75240143608285004</v>
      </c>
    </row>
    <row r="245" spans="1:5" x14ac:dyDescent="0.3">
      <c r="A245">
        <v>2023</v>
      </c>
      <c r="B245">
        <v>4</v>
      </c>
      <c r="C245">
        <v>23</v>
      </c>
      <c r="D245" t="str">
        <f t="shared" si="3"/>
        <v>4/23/2023</v>
      </c>
      <c r="E245">
        <f>[243]LAI_23_Zone_1_015!$C$2</f>
        <v>0.224441207779951</v>
      </c>
    </row>
    <row r="246" spans="1:5" x14ac:dyDescent="0.3">
      <c r="A246">
        <v>2023</v>
      </c>
      <c r="B246">
        <v>5</v>
      </c>
      <c r="C246">
        <v>1</v>
      </c>
      <c r="D246" t="str">
        <f t="shared" si="3"/>
        <v>5/1/2023</v>
      </c>
      <c r="E246">
        <f>[244]LAI_23_Zone_1_016!$C$2</f>
        <v>1.23999505946052</v>
      </c>
    </row>
    <row r="247" spans="1:5" x14ac:dyDescent="0.3">
      <c r="A247">
        <v>2023</v>
      </c>
      <c r="B247">
        <v>5</v>
      </c>
      <c r="C247">
        <v>9</v>
      </c>
      <c r="D247" t="str">
        <f t="shared" si="3"/>
        <v>5/9/2023</v>
      </c>
      <c r="E247">
        <f>[245]LAI_23_Zone_1_017!$C$2</f>
        <v>1.28634818906682</v>
      </c>
    </row>
    <row r="248" spans="1:5" x14ac:dyDescent="0.3">
      <c r="A248">
        <v>2023</v>
      </c>
      <c r="B248">
        <v>5</v>
      </c>
      <c r="C248">
        <v>17</v>
      </c>
      <c r="D248" t="str">
        <f t="shared" si="3"/>
        <v>5/17/2023</v>
      </c>
      <c r="E248">
        <f>[246]LAI_23_Zone_1_018!$C$2</f>
        <v>1.05006019185489</v>
      </c>
    </row>
    <row r="249" spans="1:5" x14ac:dyDescent="0.3">
      <c r="A249">
        <v>2023</v>
      </c>
      <c r="B249">
        <v>5</v>
      </c>
      <c r="C249">
        <v>25</v>
      </c>
      <c r="D249" t="str">
        <f t="shared" si="3"/>
        <v>5/25/2023</v>
      </c>
      <c r="E249">
        <f>[247]LAI_23_Zone_1_019!$C$2</f>
        <v>0.95836581398777998</v>
      </c>
    </row>
    <row r="250" spans="1:5" x14ac:dyDescent="0.3">
      <c r="A250">
        <v>2023</v>
      </c>
      <c r="B250">
        <v>6</v>
      </c>
      <c r="C250">
        <v>2</v>
      </c>
      <c r="D250" t="str">
        <f t="shared" si="3"/>
        <v>6/2/2023</v>
      </c>
      <c r="E250">
        <f>[248]LAI_23_Zone_1_020!$C$2</f>
        <v>0.5</v>
      </c>
    </row>
    <row r="251" spans="1:5" x14ac:dyDescent="0.3">
      <c r="A251">
        <v>2023</v>
      </c>
      <c r="B251">
        <v>6</v>
      </c>
      <c r="C251">
        <v>10</v>
      </c>
      <c r="D251" t="str">
        <f t="shared" si="3"/>
        <v>6/10/2023</v>
      </c>
      <c r="E251">
        <f>[249]LAI_23_Zone_1_021!$C$2</f>
        <v>0.47379928195857501</v>
      </c>
    </row>
    <row r="252" spans="1:5" x14ac:dyDescent="0.3">
      <c r="A252">
        <v>2023</v>
      </c>
      <c r="B252">
        <v>6</v>
      </c>
      <c r="C252">
        <v>18</v>
      </c>
      <c r="D252" t="str">
        <f t="shared" si="3"/>
        <v>6/18/2023</v>
      </c>
      <c r="E252">
        <f>[250]LAI_23_Zone_1_022!$C$2</f>
        <v>0.3</v>
      </c>
    </row>
    <row r="253" spans="1:5" x14ac:dyDescent="0.3">
      <c r="A253">
        <v>2023</v>
      </c>
      <c r="B253">
        <v>6</v>
      </c>
      <c r="C253">
        <v>26</v>
      </c>
      <c r="D253" t="str">
        <f t="shared" si="3"/>
        <v>6/26/2023</v>
      </c>
      <c r="E253">
        <f>[251]LAI_23_Zone_1_023!$C$2</f>
        <v>0.15894754795426699</v>
      </c>
    </row>
    <row r="254" spans="1:5" x14ac:dyDescent="0.3">
      <c r="A254">
        <v>2023</v>
      </c>
      <c r="B254">
        <v>7</v>
      </c>
      <c r="C254">
        <v>4</v>
      </c>
      <c r="D254" t="str">
        <f t="shared" si="3"/>
        <v>7/4/2023</v>
      </c>
      <c r="E254">
        <f>[252]LAI_23_Zone_1_024!$C$2</f>
        <v>0.33028520197510303</v>
      </c>
    </row>
    <row r="255" spans="1:5" x14ac:dyDescent="0.3">
      <c r="A255">
        <v>2023</v>
      </c>
      <c r="B255">
        <v>7</v>
      </c>
      <c r="C255">
        <v>12</v>
      </c>
      <c r="D255" t="str">
        <f t="shared" si="3"/>
        <v>7/12/2023</v>
      </c>
      <c r="E255">
        <f>[253]LAI_23_Zone_1_025!$C$2</f>
        <v>0.43274682991284202</v>
      </c>
    </row>
    <row r="256" spans="1:5" x14ac:dyDescent="0.3">
      <c r="A256">
        <v>2023</v>
      </c>
      <c r="B256">
        <v>7</v>
      </c>
      <c r="C256">
        <v>20</v>
      </c>
      <c r="D256" t="str">
        <f t="shared" si="3"/>
        <v>7/20/2023</v>
      </c>
      <c r="E256">
        <f>[254]LAI_23_Zone_1_026!$C$2</f>
        <v>0.3</v>
      </c>
    </row>
    <row r="257" spans="1:5" x14ac:dyDescent="0.3">
      <c r="A257">
        <v>2023</v>
      </c>
      <c r="B257">
        <v>7</v>
      </c>
      <c r="C257">
        <v>28</v>
      </c>
      <c r="D257" t="str">
        <f t="shared" si="3"/>
        <v>7/28/2023</v>
      </c>
      <c r="E257">
        <f>[255]LAI_23_Zone_1_027!$C$2</f>
        <v>0.19753837206226099</v>
      </c>
    </row>
    <row r="258" spans="1:5" x14ac:dyDescent="0.3">
      <c r="A258">
        <v>2023</v>
      </c>
      <c r="B258">
        <v>8</v>
      </c>
      <c r="C258">
        <v>5</v>
      </c>
      <c r="D258" t="str">
        <f t="shared" ref="D258:D321" si="4">_xlfn.CONCAT(B258,"/",C258,"/",A258)</f>
        <v>8/5/2023</v>
      </c>
      <c r="E258">
        <f>[256]LAI_23_Zone_1_028!$C$2</f>
        <v>0.34105245204573298</v>
      </c>
    </row>
    <row r="259" spans="1:5" x14ac:dyDescent="0.3">
      <c r="A259">
        <v>2023</v>
      </c>
      <c r="B259">
        <v>8</v>
      </c>
      <c r="C259">
        <v>13</v>
      </c>
      <c r="D259" t="str">
        <f t="shared" si="4"/>
        <v>8/13/2023</v>
      </c>
      <c r="E259">
        <f>[257]LAI_23_Zone_1_029!$C$2</f>
        <v>0.3</v>
      </c>
    </row>
    <row r="260" spans="1:5" x14ac:dyDescent="0.3">
      <c r="A260">
        <v>2023</v>
      </c>
      <c r="B260">
        <v>8</v>
      </c>
      <c r="C260">
        <v>21</v>
      </c>
      <c r="D260" t="str">
        <f t="shared" si="4"/>
        <v>8/21/2023</v>
      </c>
      <c r="E260">
        <f>[258]LAI_23_Zone_1_030!$C$2</f>
        <v>0.3</v>
      </c>
    </row>
    <row r="261" spans="1:5" x14ac:dyDescent="0.3">
      <c r="A261">
        <v>2023</v>
      </c>
      <c r="B261">
        <v>8</v>
      </c>
      <c r="C261">
        <v>29</v>
      </c>
      <c r="D261" t="str">
        <f t="shared" si="4"/>
        <v>8/29/2023</v>
      </c>
      <c r="E261">
        <f>[259]LAI_23_Zone_1_031!$C$2</f>
        <v>0.185268649705469</v>
      </c>
    </row>
    <row r="262" spans="1:5" x14ac:dyDescent="0.3">
      <c r="A262">
        <v>2023</v>
      </c>
      <c r="B262">
        <v>9</v>
      </c>
      <c r="C262">
        <v>6</v>
      </c>
      <c r="D262" t="str">
        <f t="shared" si="4"/>
        <v>9/6/2023</v>
      </c>
      <c r="E262">
        <f>[260]LAI_23_Zone_1_032!$C$2</f>
        <v>0.31134898403711703</v>
      </c>
    </row>
    <row r="263" spans="1:5" x14ac:dyDescent="0.3">
      <c r="A263">
        <v>2023</v>
      </c>
      <c r="B263">
        <v>9</v>
      </c>
      <c r="C263">
        <v>14</v>
      </c>
      <c r="D263" t="str">
        <f t="shared" si="4"/>
        <v>9/14/2023</v>
      </c>
      <c r="E263">
        <f>[261]LAI_23_Zone_1_033!$C$2</f>
        <v>0.5</v>
      </c>
    </row>
    <row r="264" spans="1:5" x14ac:dyDescent="0.3">
      <c r="A264">
        <v>2023</v>
      </c>
      <c r="B264">
        <v>9</v>
      </c>
      <c r="C264">
        <v>22</v>
      </c>
      <c r="D264" t="str">
        <f t="shared" si="4"/>
        <v>9/22/2023</v>
      </c>
      <c r="E264">
        <f>[262]LAI_23_Zone_1_034!$C$2</f>
        <v>0.38514826599569202</v>
      </c>
    </row>
    <row r="265" spans="1:5" x14ac:dyDescent="0.3">
      <c r="A265">
        <v>2023</v>
      </c>
      <c r="B265">
        <v>9</v>
      </c>
      <c r="C265">
        <v>30</v>
      </c>
      <c r="D265" t="str">
        <f t="shared" si="4"/>
        <v>9/30/2023</v>
      </c>
      <c r="E265">
        <f>[263]LAI_23_Zone_1_035!$C$2</f>
        <v>0.44105245204573301</v>
      </c>
    </row>
    <row r="266" spans="1:5" x14ac:dyDescent="0.3">
      <c r="A266">
        <v>2023</v>
      </c>
      <c r="B266">
        <v>10</v>
      </c>
      <c r="C266">
        <v>8</v>
      </c>
      <c r="D266" t="str">
        <f t="shared" si="4"/>
        <v>10/8/2023</v>
      </c>
      <c r="E266">
        <f>[264]LAI_23_Zone_1_036!$C$2</f>
        <v>0.3</v>
      </c>
    </row>
    <row r="267" spans="1:5" x14ac:dyDescent="0.3">
      <c r="A267">
        <v>2023</v>
      </c>
      <c r="B267">
        <v>10</v>
      </c>
      <c r="C267">
        <v>16</v>
      </c>
      <c r="D267" t="str">
        <f t="shared" si="4"/>
        <v>10/16/2023</v>
      </c>
      <c r="E267">
        <f>[265]LAI_23_Zone_1_037!$C$2</f>
        <v>0.53136474133645695</v>
      </c>
    </row>
    <row r="268" spans="1:5" x14ac:dyDescent="0.3">
      <c r="A268">
        <v>2023</v>
      </c>
      <c r="B268">
        <v>10</v>
      </c>
      <c r="C268">
        <v>24</v>
      </c>
      <c r="D268" t="str">
        <f t="shared" si="4"/>
        <v>10/24/2023</v>
      </c>
      <c r="E268">
        <f>[266]LAI_23_Zone_1_038!$C$2</f>
        <v>0.23274682991284201</v>
      </c>
    </row>
    <row r="269" spans="1:5" x14ac:dyDescent="0.3">
      <c r="A269">
        <v>2023</v>
      </c>
      <c r="B269">
        <v>11</v>
      </c>
      <c r="C269">
        <v>1</v>
      </c>
      <c r="D269" t="str">
        <f t="shared" si="4"/>
        <v>11/1/2023</v>
      </c>
      <c r="E269">
        <f>[267]LAI_23_Zone_1_039!$C$2</f>
        <v>0.150060191854889</v>
      </c>
    </row>
    <row r="270" spans="1:5" x14ac:dyDescent="0.3">
      <c r="A270">
        <v>2023</v>
      </c>
      <c r="B270">
        <v>11</v>
      </c>
      <c r="C270">
        <v>9</v>
      </c>
      <c r="D270" t="str">
        <f t="shared" si="4"/>
        <v>11/9/2023</v>
      </c>
      <c r="E270">
        <f>[268]LAI_23_Zone_1_040!$C$2</f>
        <v>0.92902349710849497</v>
      </c>
    </row>
    <row r="271" spans="1:5" x14ac:dyDescent="0.3">
      <c r="A271">
        <v>2023</v>
      </c>
      <c r="B271">
        <v>11</v>
      </c>
      <c r="C271">
        <v>17</v>
      </c>
      <c r="D271" t="str">
        <f t="shared" si="4"/>
        <v>11/17/2023</v>
      </c>
      <c r="E271">
        <f>[269]LAI_23_Zone_1_041!$C$2</f>
        <v>1.3499398081451099</v>
      </c>
    </row>
    <row r="272" spans="1:5" x14ac:dyDescent="0.3">
      <c r="A272">
        <v>2023</v>
      </c>
      <c r="B272">
        <v>11</v>
      </c>
      <c r="C272">
        <v>25</v>
      </c>
      <c r="D272" t="str">
        <f t="shared" si="4"/>
        <v>11/25/2023</v>
      </c>
      <c r="E272">
        <f>[270]LAI_23_Zone_1_042!$C$2</f>
        <v>1.4761405261865399</v>
      </c>
    </row>
    <row r="273" spans="1:5" x14ac:dyDescent="0.3">
      <c r="A273">
        <v>2023</v>
      </c>
      <c r="B273">
        <v>12</v>
      </c>
      <c r="C273">
        <v>3</v>
      </c>
      <c r="D273" t="str">
        <f t="shared" si="4"/>
        <v>12/3/2023</v>
      </c>
      <c r="E273">
        <f>[271]LAI_23_Zone_1_043!$C$2</f>
        <v>1.5448961685598599</v>
      </c>
    </row>
    <row r="274" spans="1:5" x14ac:dyDescent="0.3">
      <c r="A274">
        <v>2023</v>
      </c>
      <c r="B274">
        <v>12</v>
      </c>
      <c r="C274">
        <v>11</v>
      </c>
      <c r="D274" t="str">
        <f t="shared" si="4"/>
        <v>12/11/2023</v>
      </c>
      <c r="E274">
        <f>[272]LAI_23_Zone_1_044!$C$2</f>
        <v>1.46140917589201</v>
      </c>
    </row>
    <row r="275" spans="1:5" x14ac:dyDescent="0.3">
      <c r="A275">
        <v>2023</v>
      </c>
      <c r="B275">
        <v>12</v>
      </c>
      <c r="C275">
        <v>19</v>
      </c>
      <c r="D275" t="str">
        <f t="shared" si="4"/>
        <v>12/19/2023</v>
      </c>
      <c r="E275">
        <f>[273]LAI_23_Zone_1_045!$C$2</f>
        <v>1.0721764259626401</v>
      </c>
    </row>
    <row r="276" spans="1:5" x14ac:dyDescent="0.3">
      <c r="A276">
        <v>2023</v>
      </c>
      <c r="B276">
        <v>12</v>
      </c>
      <c r="C276">
        <v>27</v>
      </c>
      <c r="D276" t="str">
        <f t="shared" si="4"/>
        <v>12/27/2023</v>
      </c>
      <c r="E276">
        <f>[274]LAI_23_Zone_1_046!$C$2</f>
        <v>1.0002407674195499</v>
      </c>
    </row>
    <row r="277" spans="1:5" x14ac:dyDescent="0.3">
      <c r="A277">
        <v>2024</v>
      </c>
      <c r="B277">
        <v>1</v>
      </c>
      <c r="C277">
        <v>1</v>
      </c>
      <c r="D277" t="str">
        <f t="shared" si="4"/>
        <v>1/1/2024</v>
      </c>
      <c r="E277">
        <f>[275]LAI_24_Zone_1_01!$C$2</f>
        <v>1.0002407674195499</v>
      </c>
    </row>
    <row r="278" spans="1:5" x14ac:dyDescent="0.3">
      <c r="A278">
        <v>2024</v>
      </c>
      <c r="B278">
        <v>1</v>
      </c>
      <c r="C278">
        <v>9</v>
      </c>
      <c r="D278" t="str">
        <f t="shared" si="4"/>
        <v>1/9/2024</v>
      </c>
      <c r="E278">
        <f>[276]LAI_24_Zone_1_02!$C$2</f>
        <v>0.23450634017431601</v>
      </c>
    </row>
    <row r="279" spans="1:5" x14ac:dyDescent="0.3">
      <c r="A279">
        <v>2024</v>
      </c>
      <c r="B279">
        <v>1</v>
      </c>
      <c r="C279">
        <v>17</v>
      </c>
      <c r="D279" t="str">
        <f t="shared" si="4"/>
        <v>1/17/2024</v>
      </c>
      <c r="E279">
        <f>[277]LAI_24_Zone_1_03!$C$2</f>
        <v>1.82361870639391</v>
      </c>
    </row>
    <row r="280" spans="1:5" x14ac:dyDescent="0.3">
      <c r="A280">
        <v>2024</v>
      </c>
      <c r="B280">
        <v>1</v>
      </c>
      <c r="C280">
        <v>25</v>
      </c>
      <c r="D280" t="str">
        <f t="shared" si="4"/>
        <v>1/25/2024</v>
      </c>
      <c r="E280">
        <f>[278]LAI_24_Zone_1_04!$C$2</f>
        <v>1.25544479798708</v>
      </c>
    </row>
    <row r="281" spans="1:5" x14ac:dyDescent="0.3">
      <c r="A281">
        <v>2024</v>
      </c>
      <c r="B281">
        <v>2</v>
      </c>
      <c r="C281">
        <v>2</v>
      </c>
      <c r="D281" t="str">
        <f t="shared" si="4"/>
        <v>2/2/2024</v>
      </c>
      <c r="E281">
        <f>[279]LAI_24_Zone_1_05!$C$2</f>
        <v>1.24163418601222</v>
      </c>
    </row>
    <row r="282" spans="1:5" x14ac:dyDescent="0.3">
      <c r="A282">
        <v>2024</v>
      </c>
      <c r="B282">
        <v>2</v>
      </c>
      <c r="C282">
        <v>10</v>
      </c>
      <c r="D282" t="str">
        <f t="shared" si="4"/>
        <v>2/10/2024</v>
      </c>
      <c r="E282">
        <f>[280]LAI_24_Zone_1_06!$C$2</f>
        <v>1.1051640232950299</v>
      </c>
    </row>
    <row r="283" spans="1:5" x14ac:dyDescent="0.3">
      <c r="A283">
        <v>2024</v>
      </c>
      <c r="B283">
        <v>2</v>
      </c>
      <c r="C283">
        <v>18</v>
      </c>
      <c r="D283" t="str">
        <f t="shared" si="4"/>
        <v>2/18/2024</v>
      </c>
      <c r="E283">
        <f>[281]LAI_24_Zone_1_07!$C$2</f>
        <v>0.69157399415733201</v>
      </c>
    </row>
    <row r="284" spans="1:5" x14ac:dyDescent="0.3">
      <c r="A284">
        <v>2024</v>
      </c>
      <c r="B284">
        <v>2</v>
      </c>
      <c r="C284">
        <v>26</v>
      </c>
      <c r="D284" t="str">
        <f t="shared" si="4"/>
        <v>2/26/2024</v>
      </c>
      <c r="E284">
        <f>[282]LAI_24_Zone_1_08!$C$2</f>
        <v>0.9</v>
      </c>
    </row>
    <row r="285" spans="1:5" x14ac:dyDescent="0.3">
      <c r="A285">
        <v>2024</v>
      </c>
      <c r="B285">
        <v>3</v>
      </c>
      <c r="C285">
        <v>6</v>
      </c>
      <c r="D285" t="str">
        <f t="shared" si="4"/>
        <v>3/6/2024</v>
      </c>
      <c r="E285">
        <f>[283]LAI_24_Zone_1_09!$C$2</f>
        <v>0.84993980814511205</v>
      </c>
    </row>
    <row r="286" spans="1:5" x14ac:dyDescent="0.3">
      <c r="A286">
        <v>2024</v>
      </c>
      <c r="B286">
        <v>3</v>
      </c>
      <c r="C286">
        <v>14</v>
      </c>
      <c r="D286" t="str">
        <f t="shared" si="4"/>
        <v>3/14/2024</v>
      </c>
      <c r="E286">
        <f>[284]LAI_24_Zone_1_011!$C$2</f>
        <v>0.50058173396648697</v>
      </c>
    </row>
    <row r="287" spans="1:5" x14ac:dyDescent="0.3">
      <c r="A287">
        <v>2024</v>
      </c>
      <c r="B287">
        <v>3</v>
      </c>
      <c r="C287">
        <v>22</v>
      </c>
      <c r="D287" t="str">
        <f t="shared" si="4"/>
        <v>3/22/2024</v>
      </c>
      <c r="E287">
        <f>[285]LAI_24_Zone_1_012!$C$2</f>
        <v>0.84947845788840104</v>
      </c>
    </row>
    <row r="288" spans="1:5" x14ac:dyDescent="0.3">
      <c r="A288">
        <v>2024</v>
      </c>
      <c r="B288">
        <v>3</v>
      </c>
      <c r="C288">
        <v>30</v>
      </c>
      <c r="D288" t="str">
        <f t="shared" si="4"/>
        <v>3/30/2024</v>
      </c>
      <c r="E288">
        <f>[286]LAI_24_Zone_1_013!$C$2</f>
        <v>1.2238594738134601</v>
      </c>
    </row>
    <row r="289" spans="1:5" x14ac:dyDescent="0.3">
      <c r="A289">
        <v>2024</v>
      </c>
      <c r="B289">
        <v>4</v>
      </c>
      <c r="C289">
        <v>7</v>
      </c>
      <c r="D289" t="str">
        <f t="shared" si="4"/>
        <v>4/7/2024</v>
      </c>
      <c r="E289">
        <f>[287]LAI_24_Zone_1_014!$C$2</f>
        <v>1.3041066307098199</v>
      </c>
    </row>
    <row r="290" spans="1:5" x14ac:dyDescent="0.3">
      <c r="A290">
        <v>2024</v>
      </c>
      <c r="B290">
        <v>4</v>
      </c>
      <c r="C290">
        <v>15</v>
      </c>
      <c r="D290" t="str">
        <f t="shared" si="4"/>
        <v>4/15/2024</v>
      </c>
      <c r="E290">
        <f>[288]LAI_24_Zone_1_015!$C$2</f>
        <v>1.3</v>
      </c>
    </row>
    <row r="291" spans="1:5" x14ac:dyDescent="0.3">
      <c r="A291">
        <v>2024</v>
      </c>
      <c r="B291">
        <v>4</v>
      </c>
      <c r="C291">
        <v>23</v>
      </c>
      <c r="D291" t="str">
        <f t="shared" si="4"/>
        <v>4/23/2024</v>
      </c>
      <c r="E291">
        <f>[289]LAI_24_Zone_1_016!$C$2</f>
        <v>0.4</v>
      </c>
    </row>
    <row r="292" spans="1:5" x14ac:dyDescent="0.3">
      <c r="A292">
        <v>2024</v>
      </c>
      <c r="B292">
        <v>5</v>
      </c>
      <c r="C292">
        <v>1</v>
      </c>
      <c r="D292" t="str">
        <f t="shared" si="4"/>
        <v>5/1/2024</v>
      </c>
      <c r="E292">
        <f>[290]LAI_24_Zone_1_017!$C$2</f>
        <v>1.3869089939446</v>
      </c>
    </row>
    <row r="293" spans="1:5" x14ac:dyDescent="0.3">
      <c r="A293">
        <v>2024</v>
      </c>
      <c r="B293">
        <v>5</v>
      </c>
      <c r="C293">
        <v>9</v>
      </c>
      <c r="D293" t="str">
        <f t="shared" si="4"/>
        <v>5/9/2024</v>
      </c>
      <c r="E293">
        <f>[291]LAI_24_Zone_1_018!$C$2</f>
        <v>1.9017595102614699</v>
      </c>
    </row>
    <row r="294" spans="1:5" x14ac:dyDescent="0.3">
      <c r="A294">
        <v>2024</v>
      </c>
      <c r="B294">
        <v>5</v>
      </c>
      <c r="C294">
        <v>17</v>
      </c>
      <c r="D294" t="str">
        <f t="shared" si="4"/>
        <v>5/17/2024</v>
      </c>
      <c r="E294">
        <f>[292]LAI_24_Zone_1_019!$C$2</f>
        <v>1.48210490409147</v>
      </c>
    </row>
    <row r="295" spans="1:5" x14ac:dyDescent="0.3">
      <c r="A295">
        <v>2024</v>
      </c>
      <c r="B295">
        <v>5</v>
      </c>
      <c r="C295">
        <v>25</v>
      </c>
      <c r="D295" t="str">
        <f t="shared" si="4"/>
        <v>5/25/2024</v>
      </c>
      <c r="E295">
        <f>[293]LAI_24_Zone_1_020!$C$2</f>
        <v>1.4237390901036899</v>
      </c>
    </row>
    <row r="296" spans="1:5" x14ac:dyDescent="0.3">
      <c r="A296">
        <v>2024</v>
      </c>
      <c r="B296">
        <v>6</v>
      </c>
      <c r="C296">
        <v>2</v>
      </c>
      <c r="D296" t="str">
        <f t="shared" si="4"/>
        <v>6/2/2024</v>
      </c>
      <c r="E296">
        <f>[294]LAI_24_Zone_1_021!$C$2</f>
        <v>1.36316868615348</v>
      </c>
    </row>
    <row r="297" spans="1:5" x14ac:dyDescent="0.3">
      <c r="A297">
        <v>2024</v>
      </c>
      <c r="B297">
        <v>6</v>
      </c>
      <c r="C297">
        <v>10</v>
      </c>
      <c r="D297" t="str">
        <f t="shared" si="4"/>
        <v>6/10/2024</v>
      </c>
      <c r="E297">
        <f>[295]LAI_24_Zone_1_022!$C$2</f>
        <v>1.19357427183836</v>
      </c>
    </row>
    <row r="298" spans="1:5" x14ac:dyDescent="0.3">
      <c r="A298">
        <v>2024</v>
      </c>
      <c r="B298">
        <v>6</v>
      </c>
      <c r="C298">
        <v>18</v>
      </c>
      <c r="D298" t="str">
        <f t="shared" si="4"/>
        <v>6/18/2024</v>
      </c>
      <c r="E298">
        <f>[296]LAI_24_Zone_1_023!$C$2</f>
        <v>0.99007152187116898</v>
      </c>
    </row>
    <row r="299" spans="1:5" x14ac:dyDescent="0.3">
      <c r="A299">
        <v>2024</v>
      </c>
      <c r="B299">
        <v>6</v>
      </c>
      <c r="C299">
        <v>26</v>
      </c>
      <c r="D299" t="str">
        <f t="shared" si="4"/>
        <v>6/26/2024</v>
      </c>
      <c r="E299">
        <f>[297]LAI_24_Zone_1_024!$C$2</f>
        <v>0.681984520381689</v>
      </c>
    </row>
    <row r="300" spans="1:5" x14ac:dyDescent="0.3">
      <c r="A300">
        <v>2024</v>
      </c>
      <c r="B300">
        <v>7</v>
      </c>
      <c r="C300">
        <v>4</v>
      </c>
      <c r="D300" t="str">
        <f t="shared" si="4"/>
        <v>7/4/2024</v>
      </c>
      <c r="E300">
        <f>[298]LAI_24_Zone_1_025!$C$2</f>
        <v>0.59987961629022302</v>
      </c>
    </row>
    <row r="301" spans="1:5" x14ac:dyDescent="0.3">
      <c r="A301">
        <v>2024</v>
      </c>
      <c r="B301">
        <v>7</v>
      </c>
      <c r="C301">
        <v>12</v>
      </c>
      <c r="D301" t="str">
        <f t="shared" si="4"/>
        <v>7/12/2024</v>
      </c>
      <c r="E301">
        <f>[299]LAI_24_Zone_1_026!$C$2</f>
        <v>0.167955287763422</v>
      </c>
    </row>
    <row r="302" spans="1:5" x14ac:dyDescent="0.3">
      <c r="A302">
        <v>2024</v>
      </c>
      <c r="B302">
        <v>7</v>
      </c>
      <c r="C302">
        <v>20</v>
      </c>
      <c r="D302" t="str">
        <f t="shared" si="4"/>
        <v>7/20/2024</v>
      </c>
      <c r="E302">
        <f>[300]LAI_24_Zone_1_027!$C$2</f>
        <v>0.2</v>
      </c>
    </row>
    <row r="303" spans="1:5" x14ac:dyDescent="0.3">
      <c r="A303">
        <v>2024</v>
      </c>
      <c r="B303">
        <v>7</v>
      </c>
      <c r="C303">
        <v>28</v>
      </c>
      <c r="D303" t="str">
        <f t="shared" si="4"/>
        <v>7/28/2024</v>
      </c>
      <c r="E303">
        <f>[301]LAI_24_Zone_1_028!$C$2</f>
        <v>0.66725317008715801</v>
      </c>
    </row>
    <row r="304" spans="1:5" x14ac:dyDescent="0.3">
      <c r="A304">
        <v>2024</v>
      </c>
      <c r="B304">
        <v>8</v>
      </c>
      <c r="C304">
        <v>5</v>
      </c>
      <c r="D304" t="str">
        <f t="shared" si="4"/>
        <v>8/5/2024</v>
      </c>
      <c r="E304">
        <f>[302]LAI_24_Zone_1_029!$C$2</f>
        <v>0.35006019185488901</v>
      </c>
    </row>
    <row r="305" spans="1:5" x14ac:dyDescent="0.3">
      <c r="A305">
        <v>2024</v>
      </c>
      <c r="B305">
        <v>8</v>
      </c>
      <c r="C305">
        <v>13</v>
      </c>
      <c r="D305" t="str">
        <f t="shared" si="4"/>
        <v>8/13/2024</v>
      </c>
      <c r="E305">
        <f>[303]LAI_24_Zone_1_030!$C$2</f>
        <v>0.2</v>
      </c>
    </row>
    <row r="306" spans="1:5" x14ac:dyDescent="0.3">
      <c r="A306">
        <v>2024</v>
      </c>
      <c r="B306">
        <v>8</v>
      </c>
      <c r="C306">
        <v>21</v>
      </c>
      <c r="D306" t="str">
        <f t="shared" si="4"/>
        <v>8/21/2024</v>
      </c>
      <c r="E306">
        <f>[304]LAI_24_Zone_1_031!$C$2</f>
        <v>0.3</v>
      </c>
    </row>
    <row r="307" spans="1:5" x14ac:dyDescent="0.3">
      <c r="A307">
        <v>2024</v>
      </c>
      <c r="B307">
        <v>8</v>
      </c>
      <c r="C307">
        <v>29</v>
      </c>
      <c r="D307" t="str">
        <f t="shared" si="4"/>
        <v>8/29/2024</v>
      </c>
      <c r="E307">
        <f>[305]LAI_24_Zone_1_032!$C$2</f>
        <v>0.54105245204573305</v>
      </c>
    </row>
    <row r="308" spans="1:5" x14ac:dyDescent="0.3">
      <c r="A308">
        <v>2024</v>
      </c>
      <c r="B308">
        <v>9</v>
      </c>
      <c r="C308">
        <v>6</v>
      </c>
      <c r="D308" t="str">
        <f t="shared" si="4"/>
        <v>9/6/2024</v>
      </c>
      <c r="E308">
        <f>[305]LAI_24_Zone_1_032!$C$2</f>
        <v>0.54105245204573305</v>
      </c>
    </row>
    <row r="309" spans="1:5" x14ac:dyDescent="0.3">
      <c r="A309">
        <v>2024</v>
      </c>
      <c r="B309">
        <v>9</v>
      </c>
      <c r="C309">
        <v>14</v>
      </c>
      <c r="D309" t="str">
        <f t="shared" si="4"/>
        <v>9/14/2024</v>
      </c>
      <c r="E309">
        <f>[306]LAI_24_Zone_1_034!$C$2</f>
        <v>0.42702321942746602</v>
      </c>
    </row>
    <row r="310" spans="1:5" x14ac:dyDescent="0.3">
      <c r="A310">
        <v>2024</v>
      </c>
      <c r="B310">
        <v>9</v>
      </c>
      <c r="C310">
        <v>22</v>
      </c>
      <c r="D310" t="str">
        <f t="shared" si="4"/>
        <v>9/22/2024</v>
      </c>
      <c r="E310">
        <f>[307]LAI_24_Zone_1_035!$C$2</f>
        <v>0.5</v>
      </c>
    </row>
    <row r="311" spans="1:5" x14ac:dyDescent="0.3">
      <c r="A311">
        <v>2024</v>
      </c>
      <c r="B311">
        <v>9</v>
      </c>
      <c r="C311">
        <v>30</v>
      </c>
      <c r="D311" t="str">
        <f t="shared" si="4"/>
        <v>9/30/2024</v>
      </c>
      <c r="E311">
        <f>[308]LAI_24_Zone_1_036!$C$2</f>
        <v>0.5</v>
      </c>
    </row>
    <row r="312" spans="1:5" x14ac:dyDescent="0.3">
      <c r="A312">
        <v>2024</v>
      </c>
      <c r="B312">
        <v>10</v>
      </c>
      <c r="C312">
        <v>8</v>
      </c>
      <c r="D312" t="str">
        <f t="shared" si="4"/>
        <v>10/8/2024</v>
      </c>
      <c r="E312">
        <f>[309]LAI_24_Zone_1_037!$C$2</f>
        <v>0.32373909010368601</v>
      </c>
    </row>
    <row r="313" spans="1:5" x14ac:dyDescent="0.3">
      <c r="A313">
        <v>2024</v>
      </c>
      <c r="B313">
        <v>10</v>
      </c>
      <c r="C313">
        <v>16</v>
      </c>
      <c r="D313" t="str">
        <f t="shared" si="4"/>
        <v>10/16/2024</v>
      </c>
      <c r="E313">
        <f>[310]LAI_24_Zone_1_038!$C$2</f>
        <v>0.56479154214941996</v>
      </c>
    </row>
    <row r="314" spans="1:5" x14ac:dyDescent="0.3">
      <c r="A314">
        <v>2024</v>
      </c>
      <c r="B314">
        <v>10</v>
      </c>
      <c r="C314">
        <v>24</v>
      </c>
      <c r="D314" t="str">
        <f t="shared" si="4"/>
        <v>10/24/2024</v>
      </c>
      <c r="E314">
        <f>[311]LAI_24_Zone_1_039!$C$2</f>
        <v>0.67626090989631404</v>
      </c>
    </row>
    <row r="315" spans="1:5" x14ac:dyDescent="0.3">
      <c r="A315">
        <v>2024</v>
      </c>
      <c r="B315">
        <v>11</v>
      </c>
      <c r="C315">
        <v>1</v>
      </c>
      <c r="D315" t="str">
        <f t="shared" si="4"/>
        <v>11/1/2024</v>
      </c>
      <c r="E315">
        <f>[312]LAI_24_Zone_1_040!$C$2</f>
        <v>0.71461096658475398</v>
      </c>
    </row>
    <row r="316" spans="1:5" x14ac:dyDescent="0.3">
      <c r="A316">
        <v>2024</v>
      </c>
      <c r="B316">
        <v>11</v>
      </c>
      <c r="C316">
        <v>9</v>
      </c>
      <c r="D316" t="str">
        <f t="shared" si="4"/>
        <v>11/9/2024</v>
      </c>
      <c r="E316">
        <f>[313]LAI_24_Zone_1_041!$C$2</f>
        <v>0.247478180207373</v>
      </c>
    </row>
    <row r="317" spans="1:5" x14ac:dyDescent="0.3">
      <c r="A317">
        <v>2024</v>
      </c>
      <c r="B317">
        <v>11</v>
      </c>
      <c r="C317">
        <v>17</v>
      </c>
      <c r="D317" t="str">
        <f t="shared" si="4"/>
        <v>11/17/2024</v>
      </c>
      <c r="E317">
        <f>[314]LAI_24_Zone_1_042!$C$2</f>
        <v>0.89087187648106803</v>
      </c>
    </row>
    <row r="318" spans="1:5" x14ac:dyDescent="0.3">
      <c r="A318">
        <v>2024</v>
      </c>
      <c r="B318">
        <v>11</v>
      </c>
      <c r="C318">
        <v>25</v>
      </c>
      <c r="D318" t="str">
        <f t="shared" si="4"/>
        <v>11/25/2024</v>
      </c>
      <c r="E318">
        <f>[315]LAI_24_Zone_1_043!$C$2</f>
        <v>1.3587067805347099</v>
      </c>
    </row>
    <row r="319" spans="1:5" x14ac:dyDescent="0.3">
      <c r="A319">
        <v>2024</v>
      </c>
      <c r="B319">
        <v>12</v>
      </c>
      <c r="C319">
        <v>3</v>
      </c>
      <c r="D319" t="str">
        <f t="shared" si="4"/>
        <v>12/3/2024</v>
      </c>
      <c r="E319">
        <f>[316]LAI_24_Zone_1_044!$C$2</f>
        <v>0.80316374561400306</v>
      </c>
    </row>
    <row r="320" spans="1:5" x14ac:dyDescent="0.3">
      <c r="A320">
        <v>2024</v>
      </c>
      <c r="B320">
        <v>12</v>
      </c>
      <c r="C320">
        <v>11</v>
      </c>
      <c r="D320" t="str">
        <f t="shared" si="4"/>
        <v>12/11/2024</v>
      </c>
      <c r="E320">
        <f>[317]LAI_24_Zone_1_045!$C$2</f>
        <v>0.80316374561400306</v>
      </c>
    </row>
    <row r="321" spans="1:5" x14ac:dyDescent="0.3">
      <c r="A321">
        <v>2024</v>
      </c>
      <c r="B321">
        <v>12</v>
      </c>
      <c r="C321">
        <v>19</v>
      </c>
      <c r="D321" t="str">
        <f t="shared" si="4"/>
        <v>12/19/2024</v>
      </c>
      <c r="E321">
        <f>[318]LAI_24_Zone_1_046!$C$2</f>
        <v>0.84409581394995903</v>
      </c>
    </row>
    <row r="322" spans="1:5" x14ac:dyDescent="0.3">
      <c r="A322">
        <v>2024</v>
      </c>
      <c r="B322">
        <v>12</v>
      </c>
      <c r="C322">
        <v>27</v>
      </c>
      <c r="D322" t="str">
        <f t="shared" ref="D322" si="5">_xlfn.CONCAT(B322,"/",C322,"/",A322)</f>
        <v>12/27/2024</v>
      </c>
      <c r="E322">
        <f>[319]LAI_24_Zone_1_047!$C$2</f>
        <v>1.0499398081451099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James Hawkins</cp:lastModifiedBy>
  <dcterms:created xsi:type="dcterms:W3CDTF">2025-10-24T13:49:49Z</dcterms:created>
  <dcterms:modified xsi:type="dcterms:W3CDTF">2026-02-10T08:22:13Z</dcterms:modified>
</cp:coreProperties>
</file>