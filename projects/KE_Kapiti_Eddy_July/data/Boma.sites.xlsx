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wkj\Documents\Github\L-DNDC\Landscape-DNDC\projects\KE_Kapiti_Eddy_July\data\"/>
    </mc:Choice>
  </mc:AlternateContent>
  <xr:revisionPtr revIDLastSave="0" documentId="13_ncr:1_{606D8EDF-771B-4283-8948-3836EAB20572}" xr6:coauthVersionLast="47" xr6:coauthVersionMax="47" xr10:uidLastSave="{00000000-0000-0000-0000-000000000000}"/>
  <bookViews>
    <workbookView xWindow="-108" yWindow="-108" windowWidth="23256" windowHeight="12456" xr2:uid="{0AC2C501-0AEC-47F4-9753-68F85EB94194}"/>
  </bookViews>
  <sheets>
    <sheet name="Boma.sites" sheetId="1" r:id="rId1"/>
    <sheet name="Boma_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T2" i="1"/>
  <c r="U2" i="1"/>
  <c r="V2" i="1"/>
  <c r="W2" i="1"/>
  <c r="X2" i="1"/>
  <c r="Y2" i="1"/>
  <c r="S3" i="1"/>
  <c r="T3" i="1"/>
  <c r="U3" i="1"/>
  <c r="V3" i="1"/>
  <c r="W3" i="1"/>
  <c r="X3" i="1"/>
  <c r="Y3" i="1"/>
  <c r="S4" i="1"/>
  <c r="T4" i="1"/>
  <c r="U4" i="1"/>
  <c r="V4" i="1"/>
  <c r="W4" i="1"/>
  <c r="X4" i="1"/>
  <c r="Y4" i="1"/>
  <c r="S5" i="1"/>
  <c r="T5" i="1"/>
  <c r="U5" i="1"/>
  <c r="V5" i="1"/>
  <c r="W5" i="1"/>
  <c r="X5" i="1"/>
  <c r="Y5" i="1"/>
  <c r="S6" i="1"/>
  <c r="T6" i="1"/>
  <c r="U6" i="1"/>
  <c r="V6" i="1"/>
  <c r="W6" i="1"/>
  <c r="X6" i="1"/>
  <c r="Y6" i="1"/>
  <c r="S7" i="1"/>
  <c r="T7" i="1"/>
  <c r="U7" i="1"/>
  <c r="V7" i="1"/>
  <c r="W7" i="1"/>
  <c r="X7" i="1"/>
  <c r="Y7" i="1"/>
  <c r="S8" i="1"/>
  <c r="T8" i="1"/>
  <c r="U8" i="1"/>
  <c r="V8" i="1"/>
  <c r="W8" i="1"/>
  <c r="X8" i="1"/>
  <c r="Y8" i="1"/>
  <c r="R3" i="1"/>
  <c r="R4" i="1"/>
  <c r="R5" i="1"/>
  <c r="R6" i="1"/>
  <c r="R7" i="1"/>
  <c r="R8" i="1"/>
  <c r="R2" i="1"/>
  <c r="Q3" i="1"/>
  <c r="P3" i="1"/>
  <c r="O3" i="1"/>
  <c r="N3" i="1"/>
  <c r="M3" i="1"/>
  <c r="L3" i="1"/>
  <c r="K3" i="1"/>
  <c r="J3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  <c r="F28" i="2"/>
  <c r="H25" i="2"/>
  <c r="H24" i="2"/>
  <c r="H23" i="2"/>
  <c r="H22" i="2"/>
  <c r="H21" i="2"/>
  <c r="H20" i="2"/>
  <c r="I18" i="2"/>
  <c r="I15" i="2"/>
  <c r="I25" i="2" s="1"/>
  <c r="I14" i="2"/>
  <c r="I24" i="2" s="1"/>
  <c r="F14" i="2"/>
  <c r="I13" i="2"/>
  <c r="I23" i="2" s="1"/>
  <c r="I12" i="2"/>
  <c r="I22" i="2" s="1"/>
  <c r="I11" i="2"/>
  <c r="I21" i="2" s="1"/>
  <c r="F11" i="2"/>
  <c r="I10" i="2"/>
  <c r="I20" i="2" s="1"/>
  <c r="I9" i="2"/>
  <c r="F3" i="2"/>
  <c r="H3" i="1" l="1"/>
  <c r="H4" i="1"/>
  <c r="H5" i="1"/>
  <c r="H6" i="1"/>
  <c r="H7" i="1"/>
  <c r="H8" i="1"/>
  <c r="H2" i="1"/>
</calcChain>
</file>

<file path=xl/sharedStrings.xml><?xml version="1.0" encoding="utf-8"?>
<sst xmlns="http://schemas.openxmlformats.org/spreadsheetml/2006/main" count="72" uniqueCount="68">
  <si>
    <t>boma.no</t>
  </si>
  <si>
    <t>lat</t>
  </si>
  <si>
    <t>long</t>
  </si>
  <si>
    <t>start</t>
  </si>
  <si>
    <t>end</t>
  </si>
  <si>
    <t>distance.ect.footprint.meters</t>
  </si>
  <si>
    <t>quant.juv.bov</t>
  </si>
  <si>
    <t>quant.mat.bov</t>
  </si>
  <si>
    <t>quant.juv.sp</t>
  </si>
  <si>
    <t>quant.mat.sp</t>
  </si>
  <si>
    <t>source</t>
  </si>
  <si>
    <t>Official Boma records</t>
  </si>
  <si>
    <t>Relation.to.ECT</t>
  </si>
  <si>
    <t>East-north-east</t>
  </si>
  <si>
    <t>Unknown</t>
  </si>
  <si>
    <t>12 th feb</t>
  </si>
  <si>
    <t>171 cattle</t>
  </si>
  <si>
    <t>310 Weaner ewes</t>
  </si>
  <si>
    <t>188 dry ewes</t>
  </si>
  <si>
    <t>212 AI Group</t>
  </si>
  <si>
    <t>261 Lactating</t>
  </si>
  <si>
    <t>14th Uag</t>
  </si>
  <si>
    <t>27th Jun</t>
  </si>
  <si>
    <t>211 shoats</t>
  </si>
  <si>
    <t>186 dry does</t>
  </si>
  <si>
    <t>28 th october</t>
  </si>
  <si>
    <t>120 Rams</t>
  </si>
  <si>
    <t>171 ?</t>
  </si>
  <si>
    <t>38 Weaners</t>
  </si>
  <si>
    <t>88 weaner goat bucks</t>
  </si>
  <si>
    <t>247 sheep</t>
  </si>
  <si>
    <t>350 weaner</t>
  </si>
  <si>
    <t>25th feb 2023</t>
  </si>
  <si>
    <t>104 cattle</t>
  </si>
  <si>
    <t>239 Weaners</t>
  </si>
  <si>
    <t>249 weaners</t>
  </si>
  <si>
    <t>88 ?</t>
  </si>
  <si>
    <t>261 Ewes</t>
  </si>
  <si>
    <t>127 ?</t>
  </si>
  <si>
    <t>159 Breeding does</t>
  </si>
  <si>
    <t>104 Weaners</t>
  </si>
  <si>
    <t>3rd Feb 2025</t>
  </si>
  <si>
    <t>days</t>
  </si>
  <si>
    <t>total days</t>
  </si>
  <si>
    <t>total juv cattle</t>
  </si>
  <si>
    <t>total mat cattle</t>
  </si>
  <si>
    <t>total juv sheep</t>
  </si>
  <si>
    <t>total mat sheep</t>
  </si>
  <si>
    <t>total juv goats</t>
  </si>
  <si>
    <t>total mat goats</t>
  </si>
  <si>
    <t>time averaged</t>
  </si>
  <si>
    <t>quant.juv.gt</t>
  </si>
  <si>
    <t>quant.mat.gt</t>
  </si>
  <si>
    <t>quant.juv.cam</t>
  </si>
  <si>
    <t>quant.mat.cam</t>
  </si>
  <si>
    <t>Wolz et al. 2022</t>
  </si>
  <si>
    <t>Van Hove et al. 2025</t>
  </si>
  <si>
    <t>duration</t>
  </si>
  <si>
    <t>boma.period.days</t>
  </si>
  <si>
    <t>correction.factor</t>
  </si>
  <si>
    <t>quant.mat.bov.r</t>
  </si>
  <si>
    <t>quant.juv.sp.r</t>
  </si>
  <si>
    <t>quant.mat.sp.r</t>
  </si>
  <si>
    <t>quant.juv.gt.r</t>
  </si>
  <si>
    <t>quant.mat.gt.r</t>
  </si>
  <si>
    <t>quant.juv.cam.r</t>
  </si>
  <si>
    <t>quant.mat.cam.r</t>
  </si>
  <si>
    <t>quant.juv.bov.r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</si>
</sst>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/>
    <xf numFmtId="16" fontId="16" fillId="0" borderId="0" xfId="0" applyNumberFormat="1" applyFont="1"/>
    <xf numFmtId="15" fontId="16" fillId="0" borderId="0" xfId="0" applyNumberFormat="1" applyFont="1"/>
    <xf numFmtId="2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7069-E648-4128-BC4C-FFDD6BD8457C}">
  <dimension ref="A1:AA8"/>
  <sheetViews>
    <sheetView tabSelected="1" workbookViewId="0">
      <selection activeCell="T1" sqref="T1"/>
    </sheetView>
  </sheetViews>
  <sheetFormatPr defaultRowHeight="14.4" x14ac:dyDescent="0.3"/>
  <cols>
    <col min="4" max="4" width="11.88671875" customWidth="1"/>
    <col min="5" max="8" width="16" customWidth="1"/>
    <col min="10" max="10" width="12.77734375" customWidth="1"/>
    <col min="11" max="11" width="13.109375" customWidth="1"/>
    <col min="12" max="12" width="10.88671875" customWidth="1"/>
    <col min="13" max="18" width="13.21875" customWidth="1"/>
    <col min="19" max="19" width="20.777343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</v>
      </c>
      <c r="G1" t="s">
        <v>58</v>
      </c>
      <c r="H1" t="s">
        <v>59</v>
      </c>
      <c r="I1" t="s">
        <v>5</v>
      </c>
      <c r="J1" t="s">
        <v>67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s="8" t="s">
        <v>6</v>
      </c>
      <c r="S1" s="8" t="s">
        <v>7</v>
      </c>
      <c r="T1" s="8" t="s">
        <v>8</v>
      </c>
      <c r="U1" s="8" t="s">
        <v>9</v>
      </c>
      <c r="V1" s="8" t="s">
        <v>51</v>
      </c>
      <c r="W1" s="8" t="s">
        <v>52</v>
      </c>
      <c r="X1" s="8" t="s">
        <v>53</v>
      </c>
      <c r="Y1" s="8" t="s">
        <v>54</v>
      </c>
      <c r="Z1" t="s">
        <v>12</v>
      </c>
      <c r="AA1" t="s">
        <v>10</v>
      </c>
    </row>
    <row r="2" spans="1:27" x14ac:dyDescent="0.3">
      <c r="A2">
        <v>1</v>
      </c>
      <c r="B2">
        <v>-1.61365</v>
      </c>
      <c r="C2">
        <v>37.133299999999998</v>
      </c>
      <c r="D2" s="1">
        <v>43309</v>
      </c>
      <c r="E2" s="1">
        <v>43768</v>
      </c>
      <c r="F2" s="7">
        <f>E2-D2</f>
        <v>459</v>
      </c>
      <c r="G2" s="7">
        <f>90</f>
        <v>90</v>
      </c>
      <c r="H2" s="5">
        <f>IF(G2&lt;F2,G2/F2,1)</f>
        <v>0.19607843137254902</v>
      </c>
      <c r="I2">
        <v>200</v>
      </c>
      <c r="J2">
        <v>0</v>
      </c>
      <c r="K2">
        <v>420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s="6">
        <f>J2*$H2</f>
        <v>0</v>
      </c>
      <c r="S2" s="6">
        <f t="shared" ref="S2:Y8" si="0">K2*$H2</f>
        <v>82.352941176470594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t="s">
        <v>14</v>
      </c>
      <c r="AA2" t="s">
        <v>55</v>
      </c>
    </row>
    <row r="3" spans="1:27" x14ac:dyDescent="0.3">
      <c r="A3">
        <v>2</v>
      </c>
      <c r="B3">
        <v>-1.6234960000000001</v>
      </c>
      <c r="C3">
        <v>37.126542999999998</v>
      </c>
      <c r="D3" s="1">
        <v>44604</v>
      </c>
      <c r="E3" s="1">
        <v>45982</v>
      </c>
      <c r="F3" s="7">
        <f t="shared" ref="F3:F8" si="1">E3-D3</f>
        <v>1378</v>
      </c>
      <c r="G3" s="7">
        <f>90</f>
        <v>90</v>
      </c>
      <c r="H3" s="5">
        <f t="shared" ref="H3:H8" si="2">IF(G3&lt;F3,G3/F3,1)</f>
        <v>6.5312046444121918E-2</v>
      </c>
      <c r="I3">
        <v>1300</v>
      </c>
      <c r="J3" s="6">
        <f>Boma_2!I10</f>
        <v>1241</v>
      </c>
      <c r="K3" s="6">
        <f>Boma_2!I11</f>
        <v>836</v>
      </c>
      <c r="L3" s="6">
        <f>Boma_2!I12</f>
        <v>436</v>
      </c>
      <c r="M3" s="6">
        <f>Boma_2!I13</f>
        <v>1266.5</v>
      </c>
      <c r="N3" s="6">
        <f>Boma_2!I14</f>
        <v>88</v>
      </c>
      <c r="O3" s="6">
        <f>Boma_2!I15</f>
        <v>105.5</v>
      </c>
      <c r="P3" s="6">
        <f>Boma_2!I16</f>
        <v>0</v>
      </c>
      <c r="Q3" s="6">
        <f>Boma_2!I17</f>
        <v>0</v>
      </c>
      <c r="R3" s="6">
        <f t="shared" ref="R3:R8" si="3">J3*$H3</f>
        <v>81.052249637155299</v>
      </c>
      <c r="S3" s="6">
        <f t="shared" si="0"/>
        <v>54.600870827285924</v>
      </c>
      <c r="T3" s="6">
        <f t="shared" si="0"/>
        <v>28.476052249637156</v>
      </c>
      <c r="U3" s="6">
        <f t="shared" si="0"/>
        <v>82.717706821480405</v>
      </c>
      <c r="V3" s="6">
        <f t="shared" si="0"/>
        <v>5.7474600870827288</v>
      </c>
      <c r="W3" s="6">
        <f t="shared" si="0"/>
        <v>6.8904208998548624</v>
      </c>
      <c r="X3" s="6">
        <f t="shared" si="0"/>
        <v>0</v>
      </c>
      <c r="Y3" s="6">
        <f t="shared" si="0"/>
        <v>0</v>
      </c>
      <c r="AA3" t="s">
        <v>11</v>
      </c>
    </row>
    <row r="4" spans="1:27" x14ac:dyDescent="0.3">
      <c r="A4">
        <v>3</v>
      </c>
      <c r="B4">
        <v>-1.605801</v>
      </c>
      <c r="C4">
        <v>37.154949999999999</v>
      </c>
      <c r="D4" s="1">
        <v>44585</v>
      </c>
      <c r="E4" s="1">
        <v>44810</v>
      </c>
      <c r="F4" s="7">
        <f t="shared" si="1"/>
        <v>225</v>
      </c>
      <c r="G4" s="7">
        <f>90</f>
        <v>90</v>
      </c>
      <c r="H4" s="5">
        <f t="shared" si="2"/>
        <v>0.4</v>
      </c>
      <c r="I4">
        <v>2550</v>
      </c>
      <c r="J4">
        <v>0</v>
      </c>
      <c r="K4">
        <v>383</v>
      </c>
      <c r="L4">
        <v>0</v>
      </c>
      <c r="M4">
        <v>359</v>
      </c>
      <c r="N4">
        <v>0</v>
      </c>
      <c r="O4">
        <v>0</v>
      </c>
      <c r="P4">
        <v>0</v>
      </c>
      <c r="Q4">
        <v>0</v>
      </c>
      <c r="R4" s="6">
        <f t="shared" si="3"/>
        <v>0</v>
      </c>
      <c r="S4" s="6">
        <f t="shared" si="0"/>
        <v>153.20000000000002</v>
      </c>
      <c r="T4" s="6">
        <f t="shared" si="0"/>
        <v>0</v>
      </c>
      <c r="U4" s="6">
        <f t="shared" si="0"/>
        <v>143.6</v>
      </c>
      <c r="V4" s="6">
        <f t="shared" si="0"/>
        <v>0</v>
      </c>
      <c r="W4" s="6">
        <f t="shared" si="0"/>
        <v>0</v>
      </c>
      <c r="X4" s="6">
        <f t="shared" si="0"/>
        <v>0</v>
      </c>
      <c r="Y4" s="6">
        <f t="shared" si="0"/>
        <v>0</v>
      </c>
      <c r="Z4" t="s">
        <v>13</v>
      </c>
      <c r="AA4" t="s">
        <v>11</v>
      </c>
    </row>
    <row r="5" spans="1:27" x14ac:dyDescent="0.3">
      <c r="A5">
        <v>4</v>
      </c>
      <c r="B5">
        <v>-1.608419</v>
      </c>
      <c r="C5">
        <v>37.122103000000003</v>
      </c>
      <c r="D5" s="1">
        <v>44621</v>
      </c>
      <c r="E5" s="1">
        <v>44925</v>
      </c>
      <c r="F5" s="7">
        <f t="shared" si="1"/>
        <v>304</v>
      </c>
      <c r="G5" s="7">
        <f>90</f>
        <v>90</v>
      </c>
      <c r="H5" s="5">
        <f t="shared" si="2"/>
        <v>0.29605263157894735</v>
      </c>
      <c r="I5">
        <v>1521</v>
      </c>
      <c r="J5">
        <v>246</v>
      </c>
      <c r="K5">
        <v>246</v>
      </c>
      <c r="L5">
        <v>246</v>
      </c>
      <c r="M5">
        <v>246</v>
      </c>
      <c r="N5">
        <v>0</v>
      </c>
      <c r="O5">
        <v>0</v>
      </c>
      <c r="P5">
        <v>0</v>
      </c>
      <c r="Q5">
        <v>0</v>
      </c>
      <c r="R5" s="6">
        <f t="shared" si="3"/>
        <v>72.828947368421041</v>
      </c>
      <c r="S5" s="6">
        <f t="shared" si="0"/>
        <v>72.828947368421041</v>
      </c>
      <c r="T5" s="6">
        <f t="shared" si="0"/>
        <v>72.828947368421041</v>
      </c>
      <c r="U5" s="6">
        <f t="shared" si="0"/>
        <v>72.828947368421041</v>
      </c>
      <c r="V5" s="6">
        <f t="shared" si="0"/>
        <v>0</v>
      </c>
      <c r="W5" s="6">
        <f t="shared" si="0"/>
        <v>0</v>
      </c>
      <c r="X5" s="6">
        <f t="shared" si="0"/>
        <v>0</v>
      </c>
      <c r="Y5" s="6">
        <f t="shared" si="0"/>
        <v>0</v>
      </c>
      <c r="AA5" t="s">
        <v>11</v>
      </c>
    </row>
    <row r="6" spans="1:27" x14ac:dyDescent="0.3">
      <c r="A6">
        <v>5</v>
      </c>
      <c r="B6">
        <v>-1.6034409999999999</v>
      </c>
      <c r="C6">
        <v>37.129610999999997</v>
      </c>
      <c r="D6" s="1">
        <v>45588</v>
      </c>
      <c r="E6" s="1">
        <v>45664</v>
      </c>
      <c r="F6" s="7">
        <f t="shared" si="1"/>
        <v>76</v>
      </c>
      <c r="G6" s="7">
        <f>90</f>
        <v>90</v>
      </c>
      <c r="H6" s="5">
        <f t="shared" si="2"/>
        <v>1</v>
      </c>
      <c r="I6">
        <v>1354</v>
      </c>
      <c r="J6">
        <v>246</v>
      </c>
      <c r="K6">
        <v>603</v>
      </c>
      <c r="L6">
        <v>513</v>
      </c>
      <c r="M6">
        <v>567</v>
      </c>
      <c r="N6">
        <v>0</v>
      </c>
      <c r="O6">
        <v>0</v>
      </c>
      <c r="P6">
        <v>0</v>
      </c>
      <c r="Q6">
        <v>0</v>
      </c>
      <c r="R6" s="6">
        <f t="shared" si="3"/>
        <v>246</v>
      </c>
      <c r="S6" s="6">
        <f t="shared" si="0"/>
        <v>603</v>
      </c>
      <c r="T6" s="6">
        <f t="shared" si="0"/>
        <v>513</v>
      </c>
      <c r="U6" s="6">
        <f t="shared" si="0"/>
        <v>567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AA6" t="s">
        <v>11</v>
      </c>
    </row>
    <row r="7" spans="1:27" x14ac:dyDescent="0.3">
      <c r="A7">
        <v>6</v>
      </c>
      <c r="B7">
        <v>-1.61365</v>
      </c>
      <c r="C7">
        <v>37.132339999999999</v>
      </c>
      <c r="D7" s="1">
        <v>45351</v>
      </c>
      <c r="E7" s="1">
        <v>45476</v>
      </c>
      <c r="F7" s="7">
        <f t="shared" si="1"/>
        <v>125</v>
      </c>
      <c r="G7" s="7">
        <f>90</f>
        <v>90</v>
      </c>
      <c r="H7" s="5">
        <f t="shared" si="2"/>
        <v>0.72</v>
      </c>
      <c r="I7">
        <v>190</v>
      </c>
      <c r="J7">
        <v>334</v>
      </c>
      <c r="K7">
        <v>291</v>
      </c>
      <c r="L7">
        <v>0</v>
      </c>
      <c r="M7">
        <v>494</v>
      </c>
      <c r="N7">
        <v>0</v>
      </c>
      <c r="O7">
        <v>0</v>
      </c>
      <c r="P7">
        <v>0</v>
      </c>
      <c r="Q7">
        <v>42</v>
      </c>
      <c r="R7" s="6">
        <f t="shared" si="3"/>
        <v>240.48</v>
      </c>
      <c r="S7" s="6">
        <f t="shared" si="0"/>
        <v>209.51999999999998</v>
      </c>
      <c r="T7" s="6">
        <f t="shared" si="0"/>
        <v>0</v>
      </c>
      <c r="U7" s="6">
        <f t="shared" si="0"/>
        <v>355.68</v>
      </c>
      <c r="V7" s="6">
        <f t="shared" si="0"/>
        <v>0</v>
      </c>
      <c r="W7" s="6">
        <f t="shared" si="0"/>
        <v>0</v>
      </c>
      <c r="X7" s="6">
        <f t="shared" si="0"/>
        <v>0</v>
      </c>
      <c r="Y7" s="6">
        <f t="shared" si="0"/>
        <v>30.24</v>
      </c>
      <c r="Z7">
        <v>0</v>
      </c>
      <c r="AA7" t="s">
        <v>56</v>
      </c>
    </row>
    <row r="8" spans="1:27" x14ac:dyDescent="0.3">
      <c r="A8">
        <v>7</v>
      </c>
      <c r="B8">
        <v>-1.6251169999999999</v>
      </c>
      <c r="C8">
        <v>37.150762</v>
      </c>
      <c r="D8" s="1">
        <v>45359</v>
      </c>
      <c r="E8" s="1">
        <v>45422</v>
      </c>
      <c r="F8" s="7">
        <f t="shared" si="1"/>
        <v>63</v>
      </c>
      <c r="G8" s="7">
        <f>90</f>
        <v>90</v>
      </c>
      <c r="H8" s="5">
        <f t="shared" si="2"/>
        <v>1</v>
      </c>
      <c r="I8">
        <v>2170</v>
      </c>
      <c r="J8">
        <v>0</v>
      </c>
      <c r="K8">
        <v>126</v>
      </c>
      <c r="L8">
        <v>0</v>
      </c>
      <c r="M8">
        <v>399</v>
      </c>
      <c r="N8">
        <v>118</v>
      </c>
      <c r="O8">
        <v>0</v>
      </c>
      <c r="P8">
        <v>0</v>
      </c>
      <c r="Q8">
        <v>0</v>
      </c>
      <c r="R8" s="6">
        <f t="shared" si="3"/>
        <v>0</v>
      </c>
      <c r="S8" s="6">
        <f t="shared" si="0"/>
        <v>126</v>
      </c>
      <c r="T8" s="6">
        <f t="shared" si="0"/>
        <v>0</v>
      </c>
      <c r="U8" s="6">
        <f t="shared" si="0"/>
        <v>399</v>
      </c>
      <c r="V8" s="6">
        <f t="shared" si="0"/>
        <v>118</v>
      </c>
      <c r="W8" s="6">
        <f t="shared" si="0"/>
        <v>0</v>
      </c>
      <c r="X8" s="6">
        <f t="shared" si="0"/>
        <v>0</v>
      </c>
      <c r="Y8" s="6">
        <f t="shared" si="0"/>
        <v>0</v>
      </c>
      <c r="AA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6A54A-43FF-4FD8-8410-248A4BBCDB5B}">
  <dimension ref="A2:I32"/>
  <sheetViews>
    <sheetView topLeftCell="A5" workbookViewId="0">
      <selection activeCell="I10" sqref="I10"/>
    </sheetView>
  </sheetViews>
  <sheetFormatPr defaultRowHeight="14.4" x14ac:dyDescent="0.3"/>
  <sheetData>
    <row r="2" spans="1:9" x14ac:dyDescent="0.3">
      <c r="F2" s="2" t="s">
        <v>42</v>
      </c>
    </row>
    <row r="3" spans="1:9" x14ac:dyDescent="0.3">
      <c r="A3" s="2">
        <v>2022</v>
      </c>
      <c r="B3" s="2" t="s">
        <v>15</v>
      </c>
      <c r="C3" s="2"/>
      <c r="D3" s="2" t="s">
        <v>32</v>
      </c>
      <c r="F3">
        <f>365+13</f>
        <v>378</v>
      </c>
    </row>
    <row r="4" spans="1:9" x14ac:dyDescent="0.3">
      <c r="B4" t="s">
        <v>33</v>
      </c>
      <c r="C4">
        <v>104</v>
      </c>
    </row>
    <row r="5" spans="1:9" x14ac:dyDescent="0.3">
      <c r="B5" t="s">
        <v>16</v>
      </c>
      <c r="C5">
        <v>171</v>
      </c>
    </row>
    <row r="6" spans="1:9" x14ac:dyDescent="0.3">
      <c r="B6" t="s">
        <v>17</v>
      </c>
      <c r="C6">
        <v>310</v>
      </c>
    </row>
    <row r="7" spans="1:9" x14ac:dyDescent="0.3">
      <c r="B7" t="s">
        <v>18</v>
      </c>
      <c r="C7">
        <v>188</v>
      </c>
    </row>
    <row r="8" spans="1:9" x14ac:dyDescent="0.3">
      <c r="B8" t="s">
        <v>19</v>
      </c>
      <c r="C8">
        <v>212</v>
      </c>
    </row>
    <row r="9" spans="1:9" x14ac:dyDescent="0.3">
      <c r="B9" t="s">
        <v>31</v>
      </c>
      <c r="C9">
        <v>250</v>
      </c>
      <c r="H9" s="2" t="s">
        <v>43</v>
      </c>
      <c r="I9">
        <f>F3+F11+F14+F28</f>
        <v>725</v>
      </c>
    </row>
    <row r="10" spans="1:9" x14ac:dyDescent="0.3">
      <c r="H10" s="2" t="s">
        <v>44</v>
      </c>
      <c r="I10">
        <f>350+38+239+104+249+261</f>
        <v>1241</v>
      </c>
    </row>
    <row r="11" spans="1:9" x14ac:dyDescent="0.3">
      <c r="A11" s="2">
        <v>2023</v>
      </c>
      <c r="B11" s="2" t="s">
        <v>22</v>
      </c>
      <c r="C11" s="2"/>
      <c r="D11" s="2" t="s">
        <v>21</v>
      </c>
      <c r="F11">
        <f>18</f>
        <v>18</v>
      </c>
      <c r="H11" s="2" t="s">
        <v>45</v>
      </c>
      <c r="I11">
        <f>104+171+212+261+88</f>
        <v>836</v>
      </c>
    </row>
    <row r="12" spans="1:9" x14ac:dyDescent="0.3">
      <c r="B12" t="s">
        <v>29</v>
      </c>
      <c r="C12">
        <v>88</v>
      </c>
      <c r="H12" s="2" t="s">
        <v>46</v>
      </c>
      <c r="I12">
        <f>310+126</f>
        <v>436</v>
      </c>
    </row>
    <row r="13" spans="1:9" x14ac:dyDescent="0.3">
      <c r="A13" s="2"/>
      <c r="B13" s="2"/>
      <c r="C13" s="2"/>
      <c r="D13" s="2"/>
      <c r="H13" s="2" t="s">
        <v>47</v>
      </c>
      <c r="I13">
        <f>188+211/2+186+120+247+159+261</f>
        <v>1266.5</v>
      </c>
    </row>
    <row r="14" spans="1:9" x14ac:dyDescent="0.3">
      <c r="A14" s="2">
        <v>2024</v>
      </c>
      <c r="B14" s="3" t="s">
        <v>25</v>
      </c>
      <c r="C14" s="2"/>
      <c r="D14" s="4" t="s">
        <v>41</v>
      </c>
      <c r="F14">
        <f>62+30+3</f>
        <v>95</v>
      </c>
      <c r="H14" s="2" t="s">
        <v>48</v>
      </c>
      <c r="I14">
        <f>88+0</f>
        <v>88</v>
      </c>
    </row>
    <row r="15" spans="1:9" x14ac:dyDescent="0.3">
      <c r="B15" t="s">
        <v>23</v>
      </c>
      <c r="C15">
        <v>211</v>
      </c>
      <c r="H15" s="2" t="s">
        <v>49</v>
      </c>
      <c r="I15">
        <f>211/2</f>
        <v>105.5</v>
      </c>
    </row>
    <row r="16" spans="1:9" x14ac:dyDescent="0.3">
      <c r="B16" t="s">
        <v>24</v>
      </c>
      <c r="C16">
        <v>186</v>
      </c>
    </row>
    <row r="17" spans="1:9" x14ac:dyDescent="0.3">
      <c r="B17" t="s">
        <v>26</v>
      </c>
      <c r="C17">
        <v>120</v>
      </c>
    </row>
    <row r="18" spans="1:9" x14ac:dyDescent="0.3">
      <c r="B18" t="s">
        <v>27</v>
      </c>
      <c r="C18">
        <v>171</v>
      </c>
      <c r="H18" s="2" t="s">
        <v>50</v>
      </c>
      <c r="I18">
        <f>30*3/725</f>
        <v>0.12413793103448276</v>
      </c>
    </row>
    <row r="19" spans="1:9" x14ac:dyDescent="0.3">
      <c r="B19" t="s">
        <v>28</v>
      </c>
      <c r="C19">
        <v>38</v>
      </c>
    </row>
    <row r="20" spans="1:9" x14ac:dyDescent="0.3">
      <c r="B20" t="s">
        <v>30</v>
      </c>
      <c r="C20">
        <v>247</v>
      </c>
      <c r="H20" t="str">
        <f>H10</f>
        <v>total juv cattle</v>
      </c>
      <c r="I20">
        <f>I10*I$18</f>
        <v>154.05517241379309</v>
      </c>
    </row>
    <row r="21" spans="1:9" x14ac:dyDescent="0.3">
      <c r="B21" t="s">
        <v>34</v>
      </c>
      <c r="C21">
        <v>239</v>
      </c>
      <c r="H21" t="str">
        <f>H11</f>
        <v>total mat cattle</v>
      </c>
      <c r="I21">
        <f>I11*I$18</f>
        <v>103.77931034482758</v>
      </c>
    </row>
    <row r="22" spans="1:9" x14ac:dyDescent="0.3">
      <c r="B22" t="s">
        <v>38</v>
      </c>
      <c r="C22">
        <v>127</v>
      </c>
      <c r="H22" t="str">
        <f>H12</f>
        <v>total juv sheep</v>
      </c>
      <c r="I22">
        <f>I12*I$18</f>
        <v>54.124137931034483</v>
      </c>
    </row>
    <row r="23" spans="1:9" x14ac:dyDescent="0.3">
      <c r="B23" t="s">
        <v>39</v>
      </c>
      <c r="C23">
        <v>159</v>
      </c>
      <c r="H23" t="str">
        <f>H13</f>
        <v>total mat sheep</v>
      </c>
      <c r="I23">
        <f>I13*I$18</f>
        <v>157.22068965517241</v>
      </c>
    </row>
    <row r="24" spans="1:9" x14ac:dyDescent="0.3">
      <c r="B24">
        <v>126</v>
      </c>
      <c r="C24">
        <v>126</v>
      </c>
      <c r="H24" t="str">
        <f>H14</f>
        <v>total juv goats</v>
      </c>
      <c r="I24">
        <f>I14*I$18</f>
        <v>10.924137931034483</v>
      </c>
    </row>
    <row r="25" spans="1:9" x14ac:dyDescent="0.3">
      <c r="B25" t="s">
        <v>40</v>
      </c>
      <c r="C25">
        <v>104</v>
      </c>
      <c r="H25" t="str">
        <f>H15</f>
        <v>total mat goats</v>
      </c>
      <c r="I25">
        <f>I15*I$18</f>
        <v>13.096551724137932</v>
      </c>
    </row>
    <row r="28" spans="1:9" x14ac:dyDescent="0.3">
      <c r="A28" s="2">
        <v>2025</v>
      </c>
      <c r="B28" s="3">
        <v>46108</v>
      </c>
      <c r="C28" s="2"/>
      <c r="D28" s="3">
        <v>46347</v>
      </c>
      <c r="F28">
        <f>3+7*30+21</f>
        <v>234</v>
      </c>
    </row>
    <row r="29" spans="1:9" x14ac:dyDescent="0.3">
      <c r="B29" t="s">
        <v>35</v>
      </c>
      <c r="C29">
        <v>249</v>
      </c>
    </row>
    <row r="30" spans="1:9" x14ac:dyDescent="0.3">
      <c r="B30" t="s">
        <v>20</v>
      </c>
      <c r="C30">
        <v>261</v>
      </c>
    </row>
    <row r="31" spans="1:9" x14ac:dyDescent="0.3">
      <c r="B31" t="s">
        <v>36</v>
      </c>
      <c r="C31">
        <v>88</v>
      </c>
    </row>
    <row r="32" spans="1:9" x14ac:dyDescent="0.3">
      <c r="B32" t="s">
        <v>37</v>
      </c>
      <c r="C32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Boma.sites</vt:lpstr>
      <vt:lpstr>Boma_2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Hawkins</cp:lastModifiedBy>
  <dcterms:created xsi:type="dcterms:W3CDTF">2026-09-09T02:52:22Z</dcterms:created>
  <dcterms:modified xsi:type="dcterms:W3CDTF">2026-09-09T11:05:59Z</dcterms:modified>
</cp:coreProperties>
</file>