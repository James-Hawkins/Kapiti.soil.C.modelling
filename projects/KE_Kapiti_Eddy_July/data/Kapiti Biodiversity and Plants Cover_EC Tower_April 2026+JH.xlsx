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wkj\Documents\Github\L-DNDC\Landscape-DNDC\projects\KE_Kapiti_Eddy_July\data\"/>
    </mc:Choice>
  </mc:AlternateContent>
  <xr:revisionPtr revIDLastSave="0" documentId="13_ncr:1_{C9922F47-26CE-435E-9FB7-70A9546AAB5C}" xr6:coauthVersionLast="47" xr6:coauthVersionMax="47" xr10:uidLastSave="{00000000-0000-0000-0000-000000000000}"/>
  <bookViews>
    <workbookView xWindow="-108" yWindow="-108" windowWidth="23256" windowHeight="12456" firstSheet="1" activeTab="9" xr2:uid="{5B3FAE64-1144-45E6-9D3C-23D2B8568905}"/>
  </bookViews>
  <sheets>
    <sheet name="EC Tower" sheetId="1" r:id="rId1"/>
    <sheet name="Summary" sheetId="10" r:id="rId2"/>
    <sheet name="T2_Q1" sheetId="6" r:id="rId3"/>
    <sheet name="T2_Q2" sheetId="7" r:id="rId4"/>
    <sheet name="T2_Q3" sheetId="8" r:id="rId5"/>
    <sheet name="T2_Q4" sheetId="9" r:id="rId6"/>
    <sheet name="T2_Q5" sheetId="11" r:id="rId7"/>
    <sheet name="T1_Q2" sheetId="4" r:id="rId8"/>
    <sheet name="T1_Q3" sheetId="5" r:id="rId9"/>
    <sheet name="Description of Sampling" sheetId="2" r:id="rId10"/>
  </sheets>
  <definedNames>
    <definedName name="_xlnm._FilterDatabase" localSheetId="0" hidden="1">'EC Tower'!$A$1:$U$332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32" i="1" l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<sst xmlns="http://schemas.openxmlformats.org/spreadsheetml/2006/main" count="3138" uniqueCount="248">
  <si>
    <t>Date Assessed</t>
  </si>
  <si>
    <t>Site</t>
  </si>
  <si>
    <t>Transect No</t>
  </si>
  <si>
    <t>Quadrat No.</t>
  </si>
  <si>
    <t>Species (Field ID)</t>
  </si>
  <si>
    <t>Estimated Cover (boxes covered)</t>
  </si>
  <si>
    <t>Cover (% of quadrat)</t>
  </si>
  <si>
    <t>Family</t>
  </si>
  <si>
    <t>Genus</t>
  </si>
  <si>
    <t>Species</t>
  </si>
  <si>
    <t>Author</t>
  </si>
  <si>
    <t>Grass</t>
  </si>
  <si>
    <t>Sedge</t>
  </si>
  <si>
    <t>Legume</t>
  </si>
  <si>
    <t>Forb</t>
  </si>
  <si>
    <t>Shrub</t>
  </si>
  <si>
    <t>Life cycle</t>
  </si>
  <si>
    <t>Notes</t>
  </si>
  <si>
    <t>Remarks</t>
  </si>
  <si>
    <t>EC Tower</t>
  </si>
  <si>
    <t>C mezianus</t>
  </si>
  <si>
    <t>Poaceae</t>
  </si>
  <si>
    <t xml:space="preserve">Cenchrus </t>
  </si>
  <si>
    <t>mezianus</t>
  </si>
  <si>
    <t>(Leeke) Morrone</t>
  </si>
  <si>
    <t>Perennial</t>
  </si>
  <si>
    <t>Three transects established, each 250m, sampling done every 25m for a total of 10 quadrats. Site dominated by Themeda triandra, .5-1m tall. Area mostly grassy, with a few Vacellia drepanolobium shrubs and a few Balanites trrees</t>
  </si>
  <si>
    <t>Bothriochloa</t>
  </si>
  <si>
    <t xml:space="preserve">Bothriochloa </t>
  </si>
  <si>
    <t>insculpta</t>
  </si>
  <si>
    <t>(Hochst. ex A.Rich.) A.Camus</t>
  </si>
  <si>
    <t>S pyramidalis</t>
  </si>
  <si>
    <t>Sporobolus</t>
  </si>
  <si>
    <t>pyramidalis</t>
  </si>
  <si>
    <t>P.Beauv.</t>
  </si>
  <si>
    <t>A adoensis</t>
  </si>
  <si>
    <t>Aristida</t>
  </si>
  <si>
    <t>adoensis</t>
  </si>
  <si>
    <t>Hochst. ex A.Rich.</t>
  </si>
  <si>
    <t>Themeda</t>
  </si>
  <si>
    <t>triandra</t>
  </si>
  <si>
    <t>Forssk.</t>
  </si>
  <si>
    <t>Indigofera v</t>
  </si>
  <si>
    <t>Fabaceae</t>
  </si>
  <si>
    <t>Indigofera</t>
  </si>
  <si>
    <t>volkensii</t>
  </si>
  <si>
    <t>Taub.</t>
  </si>
  <si>
    <t>S tenuicarpa</t>
  </si>
  <si>
    <t>Malvaceae</t>
  </si>
  <si>
    <t>Sida</t>
  </si>
  <si>
    <t>tenuicarpa</t>
  </si>
  <si>
    <t>Vollesen</t>
  </si>
  <si>
    <t>S pinnata</t>
  </si>
  <si>
    <t>Asteraceae</t>
  </si>
  <si>
    <t>Schkuhria</t>
  </si>
  <si>
    <t>pinnata</t>
  </si>
  <si>
    <t>(Lam.) Kuntze ex Thell.</t>
  </si>
  <si>
    <t>Annual</t>
  </si>
  <si>
    <t>Pentanasia</t>
  </si>
  <si>
    <t>Rubiaceae</t>
  </si>
  <si>
    <t>Pentanisia</t>
  </si>
  <si>
    <t>ouranogyne</t>
  </si>
  <si>
    <t>S.Moore</t>
  </si>
  <si>
    <t>C reptans</t>
  </si>
  <si>
    <t>Commelinaceae</t>
  </si>
  <si>
    <t xml:space="preserve">Commelina </t>
  </si>
  <si>
    <t>reptans</t>
  </si>
  <si>
    <t>Brenan</t>
  </si>
  <si>
    <t>Solanum</t>
  </si>
  <si>
    <t>Solanaceae</t>
  </si>
  <si>
    <t>campylacanthum </t>
  </si>
  <si>
    <t>Hochst. Ex A.Rich.</t>
  </si>
  <si>
    <t>C dactylon</t>
  </si>
  <si>
    <t>Cynodon</t>
  </si>
  <si>
    <t>dactylon</t>
  </si>
  <si>
    <t>(L.) Pers.</t>
  </si>
  <si>
    <t>Bare</t>
  </si>
  <si>
    <t>Hapachne</t>
  </si>
  <si>
    <t>Harpachne</t>
  </si>
  <si>
    <t>schimperi</t>
  </si>
  <si>
    <t>C africana</t>
  </si>
  <si>
    <t>africana</t>
  </si>
  <si>
    <t>L.</t>
  </si>
  <si>
    <t>C nmelfensis</t>
  </si>
  <si>
    <t>nlemfuensis </t>
  </si>
  <si>
    <t>Vanderyst</t>
  </si>
  <si>
    <t>E tenuifolia</t>
  </si>
  <si>
    <t>Eragrostis</t>
  </si>
  <si>
    <t>tenuifolia</t>
  </si>
  <si>
    <t>(A.Rich.) Hochst. ex Steud.</t>
  </si>
  <si>
    <t>Tephrosia p</t>
  </si>
  <si>
    <t>Tephrosia</t>
  </si>
  <si>
    <t>pumila</t>
  </si>
  <si>
    <t>(Lam.) Pers.</t>
  </si>
  <si>
    <t>K green</t>
  </si>
  <si>
    <t>Cyperaceae</t>
  </si>
  <si>
    <t>Cyperus</t>
  </si>
  <si>
    <t>scott-elliotii </t>
  </si>
  <si>
    <t>Govaerts</t>
  </si>
  <si>
    <t>K white</t>
  </si>
  <si>
    <r>
      <t>alatus </t>
    </r>
    <r>
      <rPr>
        <sz val="11"/>
        <color rgb="FF00B0F0"/>
        <rFont val="Aptos Narrow"/>
        <family val="2"/>
        <scheme val="minor"/>
      </rPr>
      <t>subsp.</t>
    </r>
    <r>
      <rPr>
        <i/>
        <sz val="11"/>
        <color rgb="FF00B0F0"/>
        <rFont val="Aptos Narrow"/>
        <family val="2"/>
        <scheme val="minor"/>
      </rPr>
      <t> albus </t>
    </r>
  </si>
  <si>
    <t>(Nees) Lye</t>
  </si>
  <si>
    <t>Near cages</t>
  </si>
  <si>
    <t>Ocimum f</t>
  </si>
  <si>
    <t>Lamiaceae</t>
  </si>
  <si>
    <t>Ocimum</t>
  </si>
  <si>
    <t>sp</t>
  </si>
  <si>
    <t>D macroblephara</t>
  </si>
  <si>
    <t>Digitaria</t>
  </si>
  <si>
    <t>macroblephara </t>
  </si>
  <si>
    <t>(Hack. ex Schinz) Paoli</t>
  </si>
  <si>
    <t>Andropogon sp</t>
  </si>
  <si>
    <t>Andropogon</t>
  </si>
  <si>
    <t>sp.</t>
  </si>
  <si>
    <t>Hibiscus f</t>
  </si>
  <si>
    <t>Hibiscus</t>
  </si>
  <si>
    <t>flavifolius</t>
  </si>
  <si>
    <t>Ulbr.</t>
  </si>
  <si>
    <t>Thin Vigna</t>
  </si>
  <si>
    <t>unidentified</t>
  </si>
  <si>
    <t>Crossandra</t>
  </si>
  <si>
    <t>Acanthaceae</t>
  </si>
  <si>
    <t>subacaulis</t>
  </si>
  <si>
    <t>C.B.Clarke</t>
  </si>
  <si>
    <t>Sida sp</t>
  </si>
  <si>
    <t>C stramenius</t>
  </si>
  <si>
    <t>stramineus </t>
  </si>
  <si>
    <t>(Peter) Morrone</t>
  </si>
  <si>
    <t>cf Hypoestes</t>
  </si>
  <si>
    <t>Psilotrichum patulum</t>
  </si>
  <si>
    <t>Amaranthaceae</t>
  </si>
  <si>
    <t>Psilotrichum</t>
  </si>
  <si>
    <t>patulum</t>
  </si>
  <si>
    <t>(Willd.) I.M.Turner</t>
  </si>
  <si>
    <t>Hypoxis</t>
  </si>
  <si>
    <t>Hypoxidaceae</t>
  </si>
  <si>
    <t>obtusa</t>
  </si>
  <si>
    <t>Burch. ex Ker Gawl.</t>
  </si>
  <si>
    <t>Waltheria</t>
  </si>
  <si>
    <t>indica</t>
  </si>
  <si>
    <t>Phyllanthus m</t>
  </si>
  <si>
    <t>Phyllanthaceae</t>
  </si>
  <si>
    <t>Phyllanthus</t>
  </si>
  <si>
    <t>maderaspatensis</t>
  </si>
  <si>
    <t>E superba</t>
  </si>
  <si>
    <t>superba</t>
  </si>
  <si>
    <t>Peyr.</t>
  </si>
  <si>
    <t>Heteropogon c</t>
  </si>
  <si>
    <t>Heteropogon</t>
  </si>
  <si>
    <t>contortus</t>
  </si>
  <si>
    <t>(L.) P.Beauv. ex Roem. &amp; Schult.</t>
  </si>
  <si>
    <t>S festivus</t>
  </si>
  <si>
    <t>festivus</t>
  </si>
  <si>
    <t>Balleria</t>
  </si>
  <si>
    <t>Barleria</t>
  </si>
  <si>
    <t>athiensis</t>
  </si>
  <si>
    <t>I.Darbysh.</t>
  </si>
  <si>
    <t>Pavonia</t>
  </si>
  <si>
    <t>burchellii</t>
  </si>
  <si>
    <t>(DC.) R.A.Dyer</t>
  </si>
  <si>
    <t>Nidorella p</t>
  </si>
  <si>
    <t xml:space="preserve">Nidorella </t>
  </si>
  <si>
    <t>pedunculata </t>
  </si>
  <si>
    <t>Oliv.</t>
  </si>
  <si>
    <t>Melhania v</t>
  </si>
  <si>
    <t>Melhania</t>
  </si>
  <si>
    <t>velutina</t>
  </si>
  <si>
    <t>Eustachys</t>
  </si>
  <si>
    <t>paspaloides </t>
  </si>
  <si>
    <t>(Vahl) Lanza &amp; Mattei</t>
  </si>
  <si>
    <t>Justicia dicliplerides</t>
  </si>
  <si>
    <t xml:space="preserve">Justicia </t>
  </si>
  <si>
    <t>Fuestia africana</t>
  </si>
  <si>
    <t xml:space="preserve">Fuerstia </t>
  </si>
  <si>
    <t>T.C.E.Fr.</t>
  </si>
  <si>
    <t>Ipomoea sp</t>
  </si>
  <si>
    <t>Convolvulaceae</t>
  </si>
  <si>
    <t>Ipomoea</t>
  </si>
  <si>
    <t>Toothbrush shrub</t>
  </si>
  <si>
    <t>D abysinica</t>
  </si>
  <si>
    <t>abyssinica</t>
  </si>
  <si>
    <t>(Hochst. ex A.Rich.) Stapf</t>
  </si>
  <si>
    <t>First quadrat near the Flox</t>
  </si>
  <si>
    <t>Microchloa</t>
  </si>
  <si>
    <t>kunthii</t>
  </si>
  <si>
    <t>Desv.</t>
  </si>
  <si>
    <t>Last quadrat visible to Flox tower camera</t>
  </si>
  <si>
    <t>A keynesis</t>
  </si>
  <si>
    <t>kenyensis </t>
  </si>
  <si>
    <t>Henrard</t>
  </si>
  <si>
    <t>Every species inside the quadrat was identified, and its relative cover estimated</t>
  </si>
  <si>
    <t>Some quadrats in transect 2 overlapped with the Flox tower camera, as indicated in the remarks</t>
  </si>
  <si>
    <t>The proportion of bare ground within each quadrat was also estimated</t>
  </si>
  <si>
    <t>Transect</t>
  </si>
  <si>
    <t>Quadrat</t>
  </si>
  <si>
    <t>Dominant.Turf</t>
  </si>
  <si>
    <t>Dominant.Medium</t>
  </si>
  <si>
    <t>Dominant.Tall</t>
  </si>
  <si>
    <t>Groups</t>
  </si>
  <si>
    <t>Medium</t>
  </si>
  <si>
    <t>Tall</t>
  </si>
  <si>
    <t>T triandra</t>
  </si>
  <si>
    <t>C mezianum</t>
  </si>
  <si>
    <t>Turf</t>
  </si>
  <si>
    <t>T. triandra</t>
  </si>
  <si>
    <t>I. volkensii</t>
  </si>
  <si>
    <t>C. mezianus</t>
  </si>
  <si>
    <t>LDNDC.category</t>
  </si>
  <si>
    <t>medium.perennial.grass</t>
  </si>
  <si>
    <t>tall.perennial.grass</t>
  </si>
  <si>
    <t>forb</t>
  </si>
  <si>
    <t>turf.grass</t>
  </si>
  <si>
    <t>D abyssinica</t>
  </si>
  <si>
    <t>Barleria atiensis</t>
  </si>
  <si>
    <t>Commelina reptans</t>
  </si>
  <si>
    <t>Commelina africana</t>
  </si>
  <si>
    <t>Melhania velutina</t>
  </si>
  <si>
    <t>Crossandra subacaulis</t>
  </si>
  <si>
    <t>Schkuhria pinnata</t>
  </si>
  <si>
    <t>Tephrosia pumila</t>
  </si>
  <si>
    <t>Nidorella pedunculata </t>
  </si>
  <si>
    <t>Hypoxis obtusa</t>
  </si>
  <si>
    <t>Bothriochloa insculpta</t>
  </si>
  <si>
    <t>Sporobolus festivus</t>
  </si>
  <si>
    <t>Sida tenuicarpa</t>
  </si>
  <si>
    <t>shrub</t>
  </si>
  <si>
    <t>Pavonia burchellii</t>
  </si>
  <si>
    <t>Eustachys paspaloides</t>
  </si>
  <si>
    <t>Sida sp.</t>
  </si>
  <si>
    <t>Hibiscus flavifolius</t>
  </si>
  <si>
    <t>Andropogon sp.</t>
  </si>
  <si>
    <t>Pentanisia ouranogyn</t>
  </si>
  <si>
    <t>Justicia sp.</t>
  </si>
  <si>
    <t>Ipomoea spp.</t>
  </si>
  <si>
    <t>Solanum campylacanthum </t>
  </si>
  <si>
    <t>Microchloa kunthii</t>
  </si>
  <si>
    <t>Aristida kenyensis </t>
  </si>
  <si>
    <t>Cyperus scott-elliotii </t>
  </si>
  <si>
    <t>Waltheria indica</t>
  </si>
  <si>
    <t>bare</t>
  </si>
  <si>
    <t>ldndc.type</t>
  </si>
  <si>
    <t>transect</t>
  </si>
  <si>
    <t>date</t>
  </si>
  <si>
    <t>site</t>
  </si>
  <si>
    <t>quadrat</t>
  </si>
  <si>
    <t>species</t>
  </si>
  <si>
    <t>cover</t>
  </si>
  <si>
    <t>cover.pct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</si>
</sst>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sz val="11"/>
      <color rgb="FF00B0F0"/>
      <name val="Aptos Narrow"/>
      <family val="2"/>
      <scheme val="minor"/>
    </font>
    <font>
      <i/>
      <sz val="11"/>
      <color rgb="FF00B0F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/>
    <xf numFmtId="164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3C29E-4AF9-4604-8CFA-B0C45CE17CDA}">
  <dimension ref="A1:U335"/>
  <sheetViews>
    <sheetView workbookViewId="0">
      <pane ySplit="1" topLeftCell="A175" activePane="bottomLeft" state="frozen"/>
      <selection pane="bottomLeft" activeCell="J188" sqref="J188"/>
    </sheetView>
  </sheetViews>
  <sheetFormatPr defaultRowHeight="14.4" x14ac:dyDescent="0.3"/>
  <cols>
    <col min="1" max="1" width="16.44140625" customWidth="1"/>
    <col min="3" max="3" width="11.88671875" customWidth="1"/>
    <col min="5" max="5" width="25.88671875" customWidth="1"/>
    <col min="6" max="6" width="17.44140625" customWidth="1"/>
    <col min="7" max="8" width="18.109375" customWidth="1"/>
    <col min="9" max="9" width="11" customWidth="1"/>
  </cols>
  <sheetData>
    <row r="1" spans="1:21" ht="18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207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1" t="s">
        <v>5</v>
      </c>
      <c r="T1" s="1" t="s">
        <v>17</v>
      </c>
      <c r="U1" s="4" t="s">
        <v>18</v>
      </c>
    </row>
    <row r="2" spans="1:21" x14ac:dyDescent="0.3">
      <c r="A2" s="5">
        <v>46120</v>
      </c>
      <c r="B2" t="s">
        <v>19</v>
      </c>
      <c r="C2">
        <v>1</v>
      </c>
      <c r="D2">
        <v>1</v>
      </c>
      <c r="E2" t="s">
        <v>20</v>
      </c>
      <c r="F2">
        <v>10</v>
      </c>
      <c r="G2">
        <f>F2/25*100</f>
        <v>40</v>
      </c>
      <c r="H2" t="s">
        <v>208</v>
      </c>
      <c r="I2" s="6" t="s">
        <v>21</v>
      </c>
      <c r="J2" s="7" t="s">
        <v>22</v>
      </c>
      <c r="K2" s="7" t="s">
        <v>23</v>
      </c>
      <c r="L2" s="6" t="s">
        <v>24</v>
      </c>
      <c r="M2" s="6">
        <v>1</v>
      </c>
      <c r="N2" s="6">
        <v>0</v>
      </c>
      <c r="O2" s="6">
        <v>0</v>
      </c>
      <c r="P2" s="6">
        <v>0</v>
      </c>
      <c r="Q2" s="6"/>
      <c r="R2" s="6" t="s">
        <v>25</v>
      </c>
      <c r="U2" t="s">
        <v>26</v>
      </c>
    </row>
    <row r="3" spans="1:21" x14ac:dyDescent="0.3">
      <c r="A3" s="5">
        <v>46120</v>
      </c>
      <c r="B3" t="s">
        <v>19</v>
      </c>
      <c r="C3">
        <v>1</v>
      </c>
      <c r="D3">
        <v>1</v>
      </c>
      <c r="E3" t="s">
        <v>27</v>
      </c>
      <c r="F3">
        <v>5</v>
      </c>
      <c r="G3">
        <f t="shared" ref="G3:G70" si="0">F3/25*100</f>
        <v>20</v>
      </c>
      <c r="H3" t="s">
        <v>209</v>
      </c>
      <c r="I3" s="6" t="s">
        <v>21</v>
      </c>
      <c r="J3" s="7" t="s">
        <v>28</v>
      </c>
      <c r="K3" s="7" t="s">
        <v>29</v>
      </c>
      <c r="L3" s="6" t="s">
        <v>30</v>
      </c>
      <c r="M3" s="6">
        <v>1</v>
      </c>
      <c r="N3" s="6"/>
      <c r="O3" s="6"/>
      <c r="P3" s="6"/>
      <c r="Q3" s="6"/>
      <c r="R3" s="6" t="s">
        <v>25</v>
      </c>
    </row>
    <row r="4" spans="1:21" x14ac:dyDescent="0.3">
      <c r="A4" s="5">
        <v>46120</v>
      </c>
      <c r="B4" t="s">
        <v>19</v>
      </c>
      <c r="C4">
        <v>1</v>
      </c>
      <c r="D4">
        <v>1</v>
      </c>
      <c r="E4" t="s">
        <v>31</v>
      </c>
      <c r="F4">
        <v>1</v>
      </c>
      <c r="G4">
        <f t="shared" si="0"/>
        <v>4</v>
      </c>
      <c r="H4" t="s">
        <v>209</v>
      </c>
      <c r="I4" s="6" t="s">
        <v>21</v>
      </c>
      <c r="J4" s="7" t="s">
        <v>32</v>
      </c>
      <c r="K4" s="7" t="s">
        <v>33</v>
      </c>
      <c r="L4" s="6" t="s">
        <v>34</v>
      </c>
      <c r="M4" s="6">
        <v>1</v>
      </c>
      <c r="N4" s="6"/>
      <c r="O4" s="6"/>
      <c r="P4" s="6"/>
      <c r="Q4" s="6"/>
      <c r="R4" s="6" t="s">
        <v>25</v>
      </c>
    </row>
    <row r="5" spans="1:21" x14ac:dyDescent="0.3">
      <c r="A5" s="5">
        <v>46120</v>
      </c>
      <c r="B5" t="s">
        <v>19</v>
      </c>
      <c r="C5">
        <v>1</v>
      </c>
      <c r="D5">
        <v>1</v>
      </c>
      <c r="E5" t="s">
        <v>35</v>
      </c>
      <c r="F5">
        <v>1</v>
      </c>
      <c r="G5">
        <f t="shared" si="0"/>
        <v>4</v>
      </c>
      <c r="H5" t="s">
        <v>208</v>
      </c>
      <c r="I5" s="6" t="s">
        <v>21</v>
      </c>
      <c r="J5" s="6" t="s">
        <v>36</v>
      </c>
      <c r="K5" s="6" t="s">
        <v>37</v>
      </c>
      <c r="L5" s="6" t="s">
        <v>38</v>
      </c>
      <c r="M5" s="6">
        <v>1</v>
      </c>
      <c r="N5" s="6"/>
      <c r="O5" s="6"/>
      <c r="P5" s="6"/>
      <c r="Q5" s="6"/>
      <c r="R5" s="6" t="s">
        <v>25</v>
      </c>
    </row>
    <row r="6" spans="1:21" x14ac:dyDescent="0.3">
      <c r="A6" s="5">
        <v>46120</v>
      </c>
      <c r="B6" t="s">
        <v>19</v>
      </c>
      <c r="C6">
        <v>1</v>
      </c>
      <c r="D6">
        <v>1</v>
      </c>
      <c r="E6" t="s">
        <v>39</v>
      </c>
      <c r="F6">
        <v>1</v>
      </c>
      <c r="G6">
        <f t="shared" si="0"/>
        <v>4</v>
      </c>
      <c r="H6" t="s">
        <v>209</v>
      </c>
      <c r="I6" s="6" t="s">
        <v>21</v>
      </c>
      <c r="J6" s="7" t="s">
        <v>39</v>
      </c>
      <c r="K6" s="7" t="s">
        <v>40</v>
      </c>
      <c r="L6" s="6" t="s">
        <v>41</v>
      </c>
      <c r="M6" s="6">
        <v>1</v>
      </c>
      <c r="N6" s="6"/>
      <c r="O6" s="6"/>
      <c r="P6" s="6"/>
      <c r="Q6" s="6"/>
      <c r="R6" s="6" t="s">
        <v>25</v>
      </c>
    </row>
    <row r="7" spans="1:21" x14ac:dyDescent="0.3">
      <c r="A7" s="5">
        <v>46120</v>
      </c>
      <c r="B7" t="s">
        <v>19</v>
      </c>
      <c r="C7">
        <v>1</v>
      </c>
      <c r="D7">
        <v>1</v>
      </c>
      <c r="E7" t="s">
        <v>42</v>
      </c>
      <c r="F7">
        <v>2</v>
      </c>
      <c r="G7">
        <f t="shared" si="0"/>
        <v>8</v>
      </c>
      <c r="H7" t="s">
        <v>210</v>
      </c>
      <c r="I7" s="6" t="s">
        <v>43</v>
      </c>
      <c r="J7" s="7" t="s">
        <v>44</v>
      </c>
      <c r="K7" s="7" t="s">
        <v>45</v>
      </c>
      <c r="L7" s="6" t="s">
        <v>46</v>
      </c>
      <c r="M7" s="6"/>
      <c r="N7" s="6"/>
      <c r="O7" s="6">
        <v>1</v>
      </c>
      <c r="P7" s="6"/>
      <c r="Q7" s="6"/>
      <c r="R7" s="6" t="s">
        <v>25</v>
      </c>
    </row>
    <row r="8" spans="1:21" x14ac:dyDescent="0.3">
      <c r="A8" s="5">
        <v>46120</v>
      </c>
      <c r="B8" t="s">
        <v>19</v>
      </c>
      <c r="C8">
        <v>1</v>
      </c>
      <c r="D8">
        <v>1</v>
      </c>
      <c r="E8" t="s">
        <v>47</v>
      </c>
      <c r="F8">
        <v>0.5</v>
      </c>
      <c r="G8">
        <f t="shared" si="0"/>
        <v>2</v>
      </c>
      <c r="H8" t="s">
        <v>225</v>
      </c>
      <c r="I8" t="s">
        <v>48</v>
      </c>
      <c r="J8" t="s">
        <v>49</v>
      </c>
      <c r="K8" t="s">
        <v>50</v>
      </c>
      <c r="L8" t="s">
        <v>51</v>
      </c>
      <c r="Q8">
        <v>1</v>
      </c>
      <c r="R8" t="s">
        <v>25</v>
      </c>
    </row>
    <row r="9" spans="1:21" x14ac:dyDescent="0.3">
      <c r="A9" s="5">
        <v>46120</v>
      </c>
      <c r="B9" t="s">
        <v>19</v>
      </c>
      <c r="C9">
        <v>1</v>
      </c>
      <c r="D9">
        <v>1</v>
      </c>
      <c r="E9" t="s">
        <v>52</v>
      </c>
      <c r="F9">
        <v>0.25</v>
      </c>
      <c r="G9">
        <f t="shared" si="0"/>
        <v>1</v>
      </c>
      <c r="H9" t="s">
        <v>210</v>
      </c>
      <c r="I9" s="6" t="s">
        <v>53</v>
      </c>
      <c r="J9" s="7" t="s">
        <v>54</v>
      </c>
      <c r="K9" s="7" t="s">
        <v>55</v>
      </c>
      <c r="L9" s="6" t="s">
        <v>56</v>
      </c>
      <c r="M9" s="6"/>
      <c r="N9" s="6"/>
      <c r="O9" s="6"/>
      <c r="P9" s="6">
        <v>1</v>
      </c>
      <c r="Q9" s="6"/>
      <c r="R9" s="6" t="s">
        <v>57</v>
      </c>
    </row>
    <row r="10" spans="1:21" x14ac:dyDescent="0.3">
      <c r="A10" s="5">
        <v>46120</v>
      </c>
      <c r="B10" t="s">
        <v>19</v>
      </c>
      <c r="C10">
        <v>1</v>
      </c>
      <c r="D10">
        <v>1</v>
      </c>
      <c r="E10" t="s">
        <v>58</v>
      </c>
      <c r="F10">
        <v>0.25</v>
      </c>
      <c r="G10">
        <f t="shared" si="0"/>
        <v>1</v>
      </c>
      <c r="H10" t="s">
        <v>210</v>
      </c>
      <c r="I10" s="6" t="s">
        <v>59</v>
      </c>
      <c r="J10" s="7" t="s">
        <v>60</v>
      </c>
      <c r="K10" s="7" t="s">
        <v>61</v>
      </c>
      <c r="L10" s="6" t="s">
        <v>62</v>
      </c>
      <c r="M10" s="6"/>
      <c r="N10" s="6"/>
      <c r="O10" s="6"/>
      <c r="P10" s="6">
        <v>1</v>
      </c>
      <c r="Q10" s="6"/>
      <c r="R10" s="6" t="s">
        <v>25</v>
      </c>
    </row>
    <row r="11" spans="1:21" x14ac:dyDescent="0.3">
      <c r="A11" s="5">
        <v>46120</v>
      </c>
      <c r="B11" t="s">
        <v>19</v>
      </c>
      <c r="C11">
        <v>1</v>
      </c>
      <c r="D11">
        <v>1</v>
      </c>
      <c r="E11" t="s">
        <v>63</v>
      </c>
      <c r="F11">
        <v>0.25</v>
      </c>
      <c r="G11">
        <f t="shared" si="0"/>
        <v>1</v>
      </c>
      <c r="I11" s="6" t="s">
        <v>64</v>
      </c>
      <c r="J11" s="7" t="s">
        <v>65</v>
      </c>
      <c r="K11" s="7" t="s">
        <v>66</v>
      </c>
      <c r="L11" s="6" t="s">
        <v>67</v>
      </c>
      <c r="M11" s="6"/>
      <c r="N11" s="6"/>
      <c r="O11" s="6"/>
      <c r="P11" s="6">
        <v>1</v>
      </c>
      <c r="Q11" s="6"/>
      <c r="R11" s="6" t="s">
        <v>25</v>
      </c>
    </row>
    <row r="12" spans="1:21" x14ac:dyDescent="0.3">
      <c r="A12" s="5">
        <v>46120</v>
      </c>
      <c r="B12" t="s">
        <v>19</v>
      </c>
      <c r="C12">
        <v>1</v>
      </c>
      <c r="D12">
        <v>1</v>
      </c>
      <c r="E12" t="s">
        <v>68</v>
      </c>
      <c r="F12">
        <v>0.25</v>
      </c>
      <c r="G12">
        <f t="shared" si="0"/>
        <v>1</v>
      </c>
      <c r="H12" t="s">
        <v>210</v>
      </c>
      <c r="I12" s="6" t="s">
        <v>69</v>
      </c>
      <c r="J12" s="7" t="s">
        <v>68</v>
      </c>
      <c r="K12" s="7" t="s">
        <v>70</v>
      </c>
      <c r="L12" s="6" t="s">
        <v>71</v>
      </c>
      <c r="M12" s="6"/>
      <c r="N12" s="6"/>
      <c r="O12" s="6"/>
      <c r="P12" s="6"/>
      <c r="Q12" s="6">
        <v>1</v>
      </c>
      <c r="R12" s="6" t="s">
        <v>25</v>
      </c>
    </row>
    <row r="13" spans="1:21" x14ac:dyDescent="0.3">
      <c r="A13" s="5">
        <v>46120</v>
      </c>
      <c r="B13" t="s">
        <v>19</v>
      </c>
      <c r="C13">
        <v>1</v>
      </c>
      <c r="D13">
        <v>1</v>
      </c>
      <c r="E13" t="s">
        <v>72</v>
      </c>
      <c r="F13">
        <v>1</v>
      </c>
      <c r="G13">
        <f t="shared" si="0"/>
        <v>4</v>
      </c>
      <c r="H13" t="s">
        <v>211</v>
      </c>
      <c r="I13" s="6" t="s">
        <v>21</v>
      </c>
      <c r="J13" s="7" t="s">
        <v>73</v>
      </c>
      <c r="K13" s="7" t="s">
        <v>74</v>
      </c>
      <c r="L13" s="6" t="s">
        <v>75</v>
      </c>
      <c r="M13" s="6">
        <v>1</v>
      </c>
      <c r="N13" s="6"/>
      <c r="O13" s="6"/>
      <c r="P13" s="6"/>
      <c r="Q13" s="6"/>
      <c r="R13" s="6" t="s">
        <v>25</v>
      </c>
    </row>
    <row r="14" spans="1:21" x14ac:dyDescent="0.3">
      <c r="A14" s="5">
        <v>46120</v>
      </c>
      <c r="B14" t="s">
        <v>19</v>
      </c>
      <c r="C14">
        <v>1</v>
      </c>
      <c r="D14">
        <v>1</v>
      </c>
      <c r="E14" t="s">
        <v>76</v>
      </c>
      <c r="F14">
        <v>2.5</v>
      </c>
      <c r="G14">
        <f t="shared" si="0"/>
        <v>10</v>
      </c>
      <c r="H14" t="s">
        <v>239</v>
      </c>
    </row>
    <row r="15" spans="1:21" x14ac:dyDescent="0.3">
      <c r="A15" s="5">
        <v>46120</v>
      </c>
      <c r="B15" t="s">
        <v>19</v>
      </c>
      <c r="C15">
        <v>1</v>
      </c>
      <c r="D15">
        <v>2</v>
      </c>
      <c r="E15" t="s">
        <v>31</v>
      </c>
      <c r="F15">
        <v>2.5</v>
      </c>
      <c r="G15">
        <f t="shared" si="0"/>
        <v>10</v>
      </c>
      <c r="H15" t="s">
        <v>209</v>
      </c>
      <c r="I15" s="6" t="s">
        <v>21</v>
      </c>
      <c r="J15" s="7" t="s">
        <v>32</v>
      </c>
      <c r="K15" s="7" t="s">
        <v>33</v>
      </c>
      <c r="L15" s="6" t="s">
        <v>34</v>
      </c>
      <c r="M15" s="6">
        <v>1</v>
      </c>
      <c r="N15" s="6"/>
      <c r="O15" s="6"/>
      <c r="P15" s="6"/>
      <c r="Q15" s="6"/>
      <c r="R15" s="6" t="s">
        <v>25</v>
      </c>
    </row>
    <row r="16" spans="1:21" x14ac:dyDescent="0.3">
      <c r="A16" s="5">
        <v>46120</v>
      </c>
      <c r="B16" t="s">
        <v>19</v>
      </c>
      <c r="C16">
        <v>1</v>
      </c>
      <c r="D16">
        <v>2</v>
      </c>
      <c r="E16" t="s">
        <v>42</v>
      </c>
      <c r="F16">
        <v>7.5</v>
      </c>
      <c r="G16">
        <f t="shared" si="0"/>
        <v>30</v>
      </c>
      <c r="H16" t="s">
        <v>210</v>
      </c>
      <c r="I16" s="6" t="s">
        <v>43</v>
      </c>
      <c r="J16" s="7" t="s">
        <v>44</v>
      </c>
      <c r="K16" s="7" t="s">
        <v>45</v>
      </c>
      <c r="L16" s="6" t="s">
        <v>46</v>
      </c>
      <c r="M16" s="6"/>
      <c r="N16" s="6"/>
      <c r="O16" s="6">
        <v>1</v>
      </c>
      <c r="P16" s="6"/>
      <c r="Q16" s="6"/>
      <c r="R16" s="6" t="s">
        <v>25</v>
      </c>
    </row>
    <row r="17" spans="1:18" x14ac:dyDescent="0.3">
      <c r="A17" s="5">
        <v>46120</v>
      </c>
      <c r="B17" t="s">
        <v>19</v>
      </c>
      <c r="C17">
        <v>1</v>
      </c>
      <c r="D17">
        <v>2</v>
      </c>
      <c r="E17" t="s">
        <v>52</v>
      </c>
      <c r="F17">
        <v>1</v>
      </c>
      <c r="G17">
        <f t="shared" si="0"/>
        <v>4</v>
      </c>
      <c r="H17" t="s">
        <v>210</v>
      </c>
      <c r="I17" s="6" t="s">
        <v>53</v>
      </c>
      <c r="J17" s="7" t="s">
        <v>54</v>
      </c>
      <c r="K17" s="7" t="s">
        <v>55</v>
      </c>
      <c r="L17" s="6" t="s">
        <v>56</v>
      </c>
      <c r="M17" s="6"/>
      <c r="N17" s="6"/>
      <c r="O17" s="6"/>
      <c r="P17" s="6">
        <v>1</v>
      </c>
      <c r="Q17" s="6"/>
      <c r="R17" s="6" t="s">
        <v>57</v>
      </c>
    </row>
    <row r="18" spans="1:18" x14ac:dyDescent="0.3">
      <c r="A18" s="5">
        <v>46120</v>
      </c>
      <c r="B18" t="s">
        <v>19</v>
      </c>
      <c r="C18">
        <v>1</v>
      </c>
      <c r="D18">
        <v>2</v>
      </c>
      <c r="E18" t="s">
        <v>20</v>
      </c>
      <c r="F18">
        <v>4</v>
      </c>
      <c r="G18">
        <f t="shared" si="0"/>
        <v>16</v>
      </c>
      <c r="H18" t="s">
        <v>208</v>
      </c>
      <c r="I18" s="6" t="s">
        <v>21</v>
      </c>
      <c r="J18" s="7" t="s">
        <v>22</v>
      </c>
      <c r="K18" s="7" t="s">
        <v>23</v>
      </c>
      <c r="L18" s="6" t="s">
        <v>24</v>
      </c>
      <c r="M18" s="6">
        <v>1</v>
      </c>
      <c r="N18" s="6">
        <v>0</v>
      </c>
      <c r="O18" s="6">
        <v>0</v>
      </c>
      <c r="P18" s="6">
        <v>0</v>
      </c>
      <c r="Q18" s="6"/>
      <c r="R18" s="6" t="s">
        <v>25</v>
      </c>
    </row>
    <row r="19" spans="1:18" x14ac:dyDescent="0.3">
      <c r="A19" s="5">
        <v>46120</v>
      </c>
      <c r="B19" t="s">
        <v>19</v>
      </c>
      <c r="C19">
        <v>1</v>
      </c>
      <c r="D19">
        <v>2</v>
      </c>
      <c r="E19" t="s">
        <v>27</v>
      </c>
      <c r="F19">
        <v>1.5</v>
      </c>
      <c r="G19">
        <f t="shared" si="0"/>
        <v>6</v>
      </c>
      <c r="H19" t="s">
        <v>209</v>
      </c>
      <c r="I19" s="6" t="s">
        <v>21</v>
      </c>
      <c r="J19" s="7" t="s">
        <v>28</v>
      </c>
      <c r="K19" s="7" t="s">
        <v>29</v>
      </c>
      <c r="L19" s="6" t="s">
        <v>30</v>
      </c>
      <c r="M19" s="6">
        <v>1</v>
      </c>
      <c r="N19" s="6"/>
      <c r="O19" s="6"/>
      <c r="P19" s="6"/>
      <c r="Q19" s="6"/>
      <c r="R19" s="6" t="s">
        <v>25</v>
      </c>
    </row>
    <row r="20" spans="1:18" x14ac:dyDescent="0.3">
      <c r="A20" s="5">
        <v>46120</v>
      </c>
      <c r="B20" t="s">
        <v>19</v>
      </c>
      <c r="C20">
        <v>1</v>
      </c>
      <c r="D20">
        <v>2</v>
      </c>
      <c r="E20" t="s">
        <v>39</v>
      </c>
      <c r="F20">
        <v>4</v>
      </c>
      <c r="G20">
        <f t="shared" si="0"/>
        <v>16</v>
      </c>
      <c r="H20" t="s">
        <v>209</v>
      </c>
      <c r="I20" s="6" t="s">
        <v>21</v>
      </c>
      <c r="J20" s="7" t="s">
        <v>39</v>
      </c>
      <c r="K20" s="7" t="s">
        <v>40</v>
      </c>
      <c r="L20" s="6" t="s">
        <v>41</v>
      </c>
      <c r="M20" s="6">
        <v>1</v>
      </c>
      <c r="N20" s="6"/>
      <c r="O20" s="6"/>
      <c r="P20" s="6"/>
      <c r="Q20" s="6"/>
      <c r="R20" s="6" t="s">
        <v>25</v>
      </c>
    </row>
    <row r="21" spans="1:18" x14ac:dyDescent="0.3">
      <c r="A21" s="5">
        <v>46120</v>
      </c>
      <c r="B21" t="s">
        <v>19</v>
      </c>
      <c r="C21">
        <v>1</v>
      </c>
      <c r="D21">
        <v>2</v>
      </c>
      <c r="E21" t="s">
        <v>47</v>
      </c>
      <c r="F21">
        <v>2</v>
      </c>
      <c r="G21">
        <f t="shared" si="0"/>
        <v>8</v>
      </c>
      <c r="H21" t="s">
        <v>225</v>
      </c>
      <c r="I21" t="s">
        <v>48</v>
      </c>
      <c r="J21" t="s">
        <v>49</v>
      </c>
      <c r="K21" t="s">
        <v>50</v>
      </c>
      <c r="L21" t="s">
        <v>51</v>
      </c>
      <c r="Q21">
        <v>1</v>
      </c>
      <c r="R21" t="s">
        <v>25</v>
      </c>
    </row>
    <row r="22" spans="1:18" x14ac:dyDescent="0.3">
      <c r="A22" s="5">
        <v>46120</v>
      </c>
      <c r="B22" t="s">
        <v>19</v>
      </c>
      <c r="C22">
        <v>1</v>
      </c>
      <c r="D22">
        <v>2</v>
      </c>
      <c r="E22" t="s">
        <v>77</v>
      </c>
      <c r="F22">
        <v>0.25</v>
      </c>
      <c r="G22">
        <f t="shared" si="0"/>
        <v>1</v>
      </c>
      <c r="H22" t="s">
        <v>208</v>
      </c>
      <c r="I22" s="6" t="s">
        <v>21</v>
      </c>
      <c r="J22" s="7" t="s">
        <v>78</v>
      </c>
      <c r="K22" s="7" t="s">
        <v>79</v>
      </c>
      <c r="L22" s="6" t="s">
        <v>71</v>
      </c>
      <c r="M22" s="6">
        <v>1</v>
      </c>
      <c r="N22" s="6"/>
      <c r="O22" s="6"/>
      <c r="P22" s="6"/>
      <c r="Q22" s="6"/>
      <c r="R22" s="6" t="s">
        <v>25</v>
      </c>
    </row>
    <row r="23" spans="1:18" x14ac:dyDescent="0.3">
      <c r="A23" s="5">
        <v>46120</v>
      </c>
      <c r="B23" t="s">
        <v>19</v>
      </c>
      <c r="C23">
        <v>1</v>
      </c>
      <c r="D23">
        <v>2</v>
      </c>
      <c r="E23" t="s">
        <v>80</v>
      </c>
      <c r="F23">
        <v>0.25</v>
      </c>
      <c r="G23">
        <f t="shared" si="0"/>
        <v>1</v>
      </c>
      <c r="I23" s="6" t="s">
        <v>64</v>
      </c>
      <c r="J23" s="7" t="s">
        <v>65</v>
      </c>
      <c r="K23" s="7" t="s">
        <v>81</v>
      </c>
      <c r="L23" s="6" t="s">
        <v>82</v>
      </c>
      <c r="M23" s="6"/>
      <c r="N23" s="6"/>
      <c r="O23" s="6"/>
      <c r="P23" s="6">
        <v>1</v>
      </c>
      <c r="Q23" s="6"/>
      <c r="R23" s="6" t="s">
        <v>25</v>
      </c>
    </row>
    <row r="24" spans="1:18" x14ac:dyDescent="0.3">
      <c r="A24" s="5">
        <v>46120</v>
      </c>
      <c r="B24" t="s">
        <v>19</v>
      </c>
      <c r="C24">
        <v>1</v>
      </c>
      <c r="D24">
        <v>2</v>
      </c>
      <c r="E24" t="s">
        <v>76</v>
      </c>
      <c r="F24">
        <v>2</v>
      </c>
      <c r="G24">
        <f t="shared" si="0"/>
        <v>8</v>
      </c>
      <c r="H24" t="s">
        <v>239</v>
      </c>
    </row>
    <row r="25" spans="1:18" x14ac:dyDescent="0.3">
      <c r="A25" s="5">
        <v>46120</v>
      </c>
      <c r="B25" t="s">
        <v>19</v>
      </c>
      <c r="C25">
        <v>1</v>
      </c>
      <c r="D25">
        <v>3</v>
      </c>
      <c r="E25" t="s">
        <v>83</v>
      </c>
      <c r="F25">
        <v>15</v>
      </c>
      <c r="G25">
        <f t="shared" si="0"/>
        <v>60</v>
      </c>
      <c r="H25" t="s">
        <v>211</v>
      </c>
      <c r="I25" s="6" t="s">
        <v>21</v>
      </c>
      <c r="J25" s="7" t="s">
        <v>73</v>
      </c>
      <c r="K25" s="7" t="s">
        <v>84</v>
      </c>
      <c r="L25" s="6" t="s">
        <v>85</v>
      </c>
      <c r="M25" s="6">
        <v>1</v>
      </c>
      <c r="N25" s="6"/>
      <c r="O25" s="6"/>
      <c r="P25" s="6"/>
      <c r="Q25" s="6"/>
      <c r="R25" s="6" t="s">
        <v>25</v>
      </c>
    </row>
    <row r="26" spans="1:18" x14ac:dyDescent="0.3">
      <c r="A26" s="5">
        <v>46120</v>
      </c>
      <c r="B26" t="s">
        <v>19</v>
      </c>
      <c r="C26">
        <v>1</v>
      </c>
      <c r="D26">
        <v>3</v>
      </c>
      <c r="E26" t="s">
        <v>86</v>
      </c>
      <c r="F26">
        <v>1</v>
      </c>
      <c r="G26">
        <f t="shared" si="0"/>
        <v>4</v>
      </c>
      <c r="I26" s="6" t="s">
        <v>21</v>
      </c>
      <c r="J26" s="7" t="s">
        <v>87</v>
      </c>
      <c r="K26" s="7" t="s">
        <v>88</v>
      </c>
      <c r="L26" s="6" t="s">
        <v>89</v>
      </c>
      <c r="M26" s="6">
        <v>1</v>
      </c>
      <c r="N26" s="6"/>
      <c r="O26" s="6"/>
      <c r="P26" s="6"/>
      <c r="Q26" s="6"/>
      <c r="R26" s="6" t="s">
        <v>25</v>
      </c>
    </row>
    <row r="27" spans="1:18" x14ac:dyDescent="0.3">
      <c r="A27" s="5">
        <v>46120</v>
      </c>
      <c r="B27" t="s">
        <v>19</v>
      </c>
      <c r="C27">
        <v>1</v>
      </c>
      <c r="D27">
        <v>3</v>
      </c>
      <c r="E27" t="s">
        <v>27</v>
      </c>
      <c r="F27">
        <v>1</v>
      </c>
      <c r="G27">
        <f t="shared" si="0"/>
        <v>4</v>
      </c>
      <c r="H27" t="s">
        <v>209</v>
      </c>
      <c r="I27" s="6" t="s">
        <v>21</v>
      </c>
      <c r="J27" s="7" t="s">
        <v>28</v>
      </c>
      <c r="K27" s="7" t="s">
        <v>29</v>
      </c>
      <c r="L27" s="6" t="s">
        <v>30</v>
      </c>
      <c r="M27" s="6">
        <v>1</v>
      </c>
      <c r="N27" s="6"/>
      <c r="O27" s="6"/>
      <c r="P27" s="6"/>
      <c r="Q27" s="6"/>
      <c r="R27" s="6" t="s">
        <v>25</v>
      </c>
    </row>
    <row r="28" spans="1:18" x14ac:dyDescent="0.3">
      <c r="A28" s="5">
        <v>46120</v>
      </c>
      <c r="B28" t="s">
        <v>19</v>
      </c>
      <c r="C28">
        <v>1</v>
      </c>
      <c r="D28">
        <v>3</v>
      </c>
      <c r="E28" t="s">
        <v>77</v>
      </c>
      <c r="F28">
        <v>0.5</v>
      </c>
      <c r="G28">
        <f t="shared" si="0"/>
        <v>2</v>
      </c>
      <c r="H28" t="s">
        <v>208</v>
      </c>
      <c r="I28" s="6" t="s">
        <v>21</v>
      </c>
      <c r="J28" s="7" t="s">
        <v>78</v>
      </c>
      <c r="K28" s="7" t="s">
        <v>79</v>
      </c>
      <c r="L28" s="6" t="s">
        <v>71</v>
      </c>
      <c r="M28" s="6">
        <v>1</v>
      </c>
      <c r="N28" s="6"/>
      <c r="O28" s="6"/>
      <c r="P28" s="6"/>
      <c r="Q28" s="6"/>
      <c r="R28" s="6" t="s">
        <v>25</v>
      </c>
    </row>
    <row r="29" spans="1:18" x14ac:dyDescent="0.3">
      <c r="A29" s="5">
        <v>46120</v>
      </c>
      <c r="B29" t="s">
        <v>19</v>
      </c>
      <c r="C29">
        <v>1</v>
      </c>
      <c r="D29">
        <v>3</v>
      </c>
      <c r="E29" t="s">
        <v>90</v>
      </c>
      <c r="F29">
        <v>3</v>
      </c>
      <c r="G29">
        <f t="shared" si="0"/>
        <v>12</v>
      </c>
      <c r="H29" t="s">
        <v>210</v>
      </c>
      <c r="I29" s="6" t="s">
        <v>43</v>
      </c>
      <c r="J29" s="7" t="s">
        <v>91</v>
      </c>
      <c r="K29" s="7" t="s">
        <v>92</v>
      </c>
      <c r="L29" s="6" t="s">
        <v>93</v>
      </c>
      <c r="M29" s="6"/>
      <c r="N29" s="6"/>
      <c r="O29" s="6">
        <v>1</v>
      </c>
      <c r="P29" s="6"/>
      <c r="Q29" s="6"/>
      <c r="R29" s="6" t="s">
        <v>57</v>
      </c>
    </row>
    <row r="30" spans="1:18" x14ac:dyDescent="0.3">
      <c r="A30" s="5">
        <v>46120</v>
      </c>
      <c r="B30" t="s">
        <v>19</v>
      </c>
      <c r="C30">
        <v>1</v>
      </c>
      <c r="D30">
        <v>3</v>
      </c>
      <c r="E30" t="s">
        <v>63</v>
      </c>
      <c r="F30">
        <v>0.1</v>
      </c>
      <c r="G30">
        <f t="shared" si="0"/>
        <v>0.4</v>
      </c>
      <c r="I30" s="6" t="s">
        <v>64</v>
      </c>
      <c r="J30" s="7" t="s">
        <v>65</v>
      </c>
      <c r="K30" s="7" t="s">
        <v>66</v>
      </c>
      <c r="L30" s="6" t="s">
        <v>67</v>
      </c>
      <c r="M30" s="6"/>
      <c r="N30" s="6"/>
      <c r="O30" s="6"/>
      <c r="P30" s="6">
        <v>1</v>
      </c>
      <c r="Q30" s="6"/>
      <c r="R30" s="6" t="s">
        <v>25</v>
      </c>
    </row>
    <row r="31" spans="1:18" x14ac:dyDescent="0.3">
      <c r="A31" s="5">
        <v>46120</v>
      </c>
      <c r="B31" t="s">
        <v>19</v>
      </c>
      <c r="C31">
        <v>1</v>
      </c>
      <c r="D31">
        <v>3</v>
      </c>
      <c r="E31" t="s">
        <v>94</v>
      </c>
      <c r="F31">
        <v>0.1</v>
      </c>
      <c r="G31">
        <f t="shared" si="0"/>
        <v>0.4</v>
      </c>
      <c r="H31" t="s">
        <v>12</v>
      </c>
      <c r="I31" s="6" t="s">
        <v>95</v>
      </c>
      <c r="J31" s="7" t="s">
        <v>96</v>
      </c>
      <c r="K31" s="7" t="s">
        <v>97</v>
      </c>
      <c r="L31" s="6" t="s">
        <v>98</v>
      </c>
      <c r="M31" s="6"/>
      <c r="N31" s="6">
        <v>1</v>
      </c>
      <c r="O31" s="6"/>
      <c r="P31" s="6"/>
      <c r="Q31" s="6"/>
      <c r="R31" s="6" t="s">
        <v>25</v>
      </c>
    </row>
    <row r="32" spans="1:18" x14ac:dyDescent="0.3">
      <c r="A32" s="5">
        <v>46120</v>
      </c>
      <c r="B32" t="s">
        <v>19</v>
      </c>
      <c r="C32">
        <v>1</v>
      </c>
      <c r="D32">
        <v>3</v>
      </c>
      <c r="E32" t="s">
        <v>99</v>
      </c>
      <c r="F32">
        <v>0.25</v>
      </c>
      <c r="G32">
        <f t="shared" si="0"/>
        <v>1</v>
      </c>
      <c r="H32" t="s">
        <v>12</v>
      </c>
      <c r="I32" s="6" t="s">
        <v>95</v>
      </c>
      <c r="J32" s="7" t="s">
        <v>96</v>
      </c>
      <c r="K32" s="7" t="s">
        <v>100</v>
      </c>
      <c r="L32" s="6" t="s">
        <v>101</v>
      </c>
      <c r="M32" s="6"/>
      <c r="N32" s="6">
        <v>1</v>
      </c>
      <c r="O32" s="6"/>
      <c r="P32" s="6"/>
      <c r="Q32" s="6"/>
      <c r="R32" s="6" t="s">
        <v>25</v>
      </c>
    </row>
    <row r="33" spans="1:21" x14ac:dyDescent="0.3">
      <c r="A33" s="5">
        <v>46120</v>
      </c>
      <c r="B33" t="s">
        <v>19</v>
      </c>
      <c r="C33">
        <v>1</v>
      </c>
      <c r="D33">
        <v>3</v>
      </c>
      <c r="E33" t="s">
        <v>39</v>
      </c>
      <c r="F33">
        <v>1</v>
      </c>
      <c r="G33">
        <f t="shared" si="0"/>
        <v>4</v>
      </c>
      <c r="H33" t="s">
        <v>209</v>
      </c>
      <c r="I33" s="6" t="s">
        <v>21</v>
      </c>
      <c r="J33" s="7" t="s">
        <v>39</v>
      </c>
      <c r="K33" s="7" t="s">
        <v>40</v>
      </c>
      <c r="L33" s="6" t="s">
        <v>41</v>
      </c>
      <c r="M33" s="6">
        <v>1</v>
      </c>
      <c r="N33" s="6"/>
      <c r="O33" s="6"/>
      <c r="P33" s="6"/>
      <c r="Q33" s="6"/>
      <c r="R33" s="6" t="s">
        <v>25</v>
      </c>
    </row>
    <row r="34" spans="1:21" x14ac:dyDescent="0.3">
      <c r="A34" s="5">
        <v>46120</v>
      </c>
      <c r="B34" t="s">
        <v>19</v>
      </c>
      <c r="C34">
        <v>1</v>
      </c>
      <c r="D34">
        <v>3</v>
      </c>
      <c r="E34" t="s">
        <v>76</v>
      </c>
      <c r="F34">
        <v>3.05</v>
      </c>
      <c r="G34">
        <f t="shared" si="0"/>
        <v>12.2</v>
      </c>
      <c r="H34" t="s">
        <v>239</v>
      </c>
    </row>
    <row r="35" spans="1:21" x14ac:dyDescent="0.3">
      <c r="A35" s="5">
        <v>46120</v>
      </c>
      <c r="B35" t="s">
        <v>19</v>
      </c>
      <c r="C35">
        <v>1</v>
      </c>
      <c r="D35">
        <v>4</v>
      </c>
      <c r="E35" t="s">
        <v>27</v>
      </c>
      <c r="F35">
        <v>3</v>
      </c>
      <c r="G35">
        <f t="shared" si="0"/>
        <v>12</v>
      </c>
      <c r="H35" t="s">
        <v>209</v>
      </c>
      <c r="I35" s="6" t="s">
        <v>21</v>
      </c>
      <c r="J35" s="7" t="s">
        <v>28</v>
      </c>
      <c r="K35" s="7" t="s">
        <v>29</v>
      </c>
      <c r="L35" s="6" t="s">
        <v>30</v>
      </c>
      <c r="M35" s="6">
        <v>1</v>
      </c>
      <c r="N35" s="6"/>
      <c r="O35" s="6"/>
      <c r="P35" s="6"/>
      <c r="Q35" s="6"/>
      <c r="R35" s="6" t="s">
        <v>25</v>
      </c>
      <c r="U35" t="s">
        <v>102</v>
      </c>
    </row>
    <row r="36" spans="1:21" x14ac:dyDescent="0.3">
      <c r="A36" s="5">
        <v>46120</v>
      </c>
      <c r="B36" t="s">
        <v>19</v>
      </c>
      <c r="C36">
        <v>1</v>
      </c>
      <c r="D36">
        <v>4</v>
      </c>
      <c r="E36" t="s">
        <v>39</v>
      </c>
      <c r="F36">
        <v>3</v>
      </c>
      <c r="G36">
        <f t="shared" si="0"/>
        <v>12</v>
      </c>
      <c r="H36" t="s">
        <v>209</v>
      </c>
      <c r="I36" s="6" t="s">
        <v>21</v>
      </c>
      <c r="J36" s="7" t="s">
        <v>39</v>
      </c>
      <c r="K36" s="7" t="s">
        <v>40</v>
      </c>
      <c r="L36" s="6" t="s">
        <v>41</v>
      </c>
      <c r="M36" s="6">
        <v>1</v>
      </c>
      <c r="N36" s="6"/>
      <c r="O36" s="6"/>
      <c r="P36" s="6"/>
      <c r="Q36" s="6"/>
      <c r="R36" s="6" t="s">
        <v>25</v>
      </c>
    </row>
    <row r="37" spans="1:21" x14ac:dyDescent="0.3">
      <c r="A37" s="5">
        <v>46120</v>
      </c>
      <c r="B37" t="s">
        <v>19</v>
      </c>
      <c r="C37">
        <v>1</v>
      </c>
      <c r="D37">
        <v>4</v>
      </c>
      <c r="E37" t="s">
        <v>20</v>
      </c>
      <c r="F37">
        <v>1</v>
      </c>
      <c r="G37">
        <f t="shared" si="0"/>
        <v>4</v>
      </c>
      <c r="H37" t="s">
        <v>208</v>
      </c>
      <c r="I37" s="6" t="s">
        <v>21</v>
      </c>
      <c r="J37" s="7" t="s">
        <v>22</v>
      </c>
      <c r="K37" s="7" t="s">
        <v>23</v>
      </c>
      <c r="L37" s="6" t="s">
        <v>24</v>
      </c>
      <c r="M37" s="6">
        <v>1</v>
      </c>
      <c r="N37" s="6">
        <v>0</v>
      </c>
      <c r="O37" s="6">
        <v>0</v>
      </c>
      <c r="P37" s="6">
        <v>0</v>
      </c>
      <c r="Q37" s="6"/>
      <c r="R37" s="6" t="s">
        <v>25</v>
      </c>
    </row>
    <row r="38" spans="1:21" x14ac:dyDescent="0.3">
      <c r="A38" s="5">
        <v>46120</v>
      </c>
      <c r="B38" t="s">
        <v>19</v>
      </c>
      <c r="C38">
        <v>1</v>
      </c>
      <c r="D38">
        <v>4</v>
      </c>
      <c r="E38" t="s">
        <v>83</v>
      </c>
      <c r="F38">
        <v>1.5</v>
      </c>
      <c r="G38">
        <f t="shared" si="0"/>
        <v>6</v>
      </c>
      <c r="H38" t="s">
        <v>211</v>
      </c>
      <c r="I38" s="6" t="s">
        <v>21</v>
      </c>
      <c r="J38" s="7" t="s">
        <v>73</v>
      </c>
      <c r="K38" s="7" t="s">
        <v>84</v>
      </c>
      <c r="L38" s="6" t="s">
        <v>85</v>
      </c>
      <c r="M38" s="6">
        <v>1</v>
      </c>
      <c r="N38" s="6"/>
      <c r="O38" s="6"/>
      <c r="P38" s="6"/>
      <c r="Q38" s="6"/>
      <c r="R38" s="6" t="s">
        <v>25</v>
      </c>
    </row>
    <row r="39" spans="1:21" x14ac:dyDescent="0.3">
      <c r="A39" s="5">
        <v>46120</v>
      </c>
      <c r="B39" t="s">
        <v>19</v>
      </c>
      <c r="C39">
        <v>1</v>
      </c>
      <c r="D39">
        <v>4</v>
      </c>
      <c r="E39" t="s">
        <v>31</v>
      </c>
      <c r="F39">
        <v>1</v>
      </c>
      <c r="G39">
        <f t="shared" si="0"/>
        <v>4</v>
      </c>
      <c r="H39" t="s">
        <v>209</v>
      </c>
      <c r="I39" s="6" t="s">
        <v>21</v>
      </c>
      <c r="J39" s="7" t="s">
        <v>32</v>
      </c>
      <c r="K39" s="7" t="s">
        <v>33</v>
      </c>
      <c r="L39" s="6" t="s">
        <v>34</v>
      </c>
      <c r="M39" s="6">
        <v>1</v>
      </c>
      <c r="N39" s="6"/>
      <c r="O39" s="6"/>
      <c r="P39" s="6"/>
      <c r="Q39" s="6"/>
      <c r="R39" s="6" t="s">
        <v>25</v>
      </c>
    </row>
    <row r="40" spans="1:21" x14ac:dyDescent="0.3">
      <c r="A40" s="5">
        <v>46120</v>
      </c>
      <c r="B40" t="s">
        <v>19</v>
      </c>
      <c r="C40">
        <v>1</v>
      </c>
      <c r="D40">
        <v>4</v>
      </c>
      <c r="E40" t="s">
        <v>42</v>
      </c>
      <c r="F40">
        <v>6</v>
      </c>
      <c r="G40">
        <f t="shared" si="0"/>
        <v>24</v>
      </c>
      <c r="H40" t="s">
        <v>210</v>
      </c>
      <c r="I40" s="6" t="s">
        <v>43</v>
      </c>
      <c r="J40" s="7" t="s">
        <v>44</v>
      </c>
      <c r="K40" s="7" t="s">
        <v>45</v>
      </c>
      <c r="L40" s="6" t="s">
        <v>46</v>
      </c>
      <c r="M40" s="6"/>
      <c r="N40" s="6"/>
      <c r="O40" s="6">
        <v>1</v>
      </c>
      <c r="P40" s="6"/>
      <c r="Q40" s="6"/>
      <c r="R40" s="6" t="s">
        <v>25</v>
      </c>
    </row>
    <row r="41" spans="1:21" x14ac:dyDescent="0.3">
      <c r="A41" s="5">
        <v>46120</v>
      </c>
      <c r="B41" t="s">
        <v>19</v>
      </c>
      <c r="C41">
        <v>1</v>
      </c>
      <c r="D41">
        <v>4</v>
      </c>
      <c r="E41" t="s">
        <v>103</v>
      </c>
      <c r="F41">
        <v>6</v>
      </c>
      <c r="G41">
        <f t="shared" si="0"/>
        <v>24</v>
      </c>
      <c r="I41" t="s">
        <v>104</v>
      </c>
      <c r="J41" t="s">
        <v>105</v>
      </c>
      <c r="K41" t="s">
        <v>106</v>
      </c>
    </row>
    <row r="42" spans="1:21" x14ac:dyDescent="0.3">
      <c r="A42" s="5">
        <v>46120</v>
      </c>
      <c r="B42" t="s">
        <v>19</v>
      </c>
      <c r="C42">
        <v>1</v>
      </c>
      <c r="D42">
        <v>4</v>
      </c>
      <c r="E42" t="s">
        <v>107</v>
      </c>
      <c r="F42">
        <v>0.25</v>
      </c>
      <c r="G42">
        <f t="shared" si="0"/>
        <v>1</v>
      </c>
      <c r="H42" t="s">
        <v>209</v>
      </c>
      <c r="I42" s="6" t="s">
        <v>21</v>
      </c>
      <c r="J42" s="7" t="s">
        <v>108</v>
      </c>
      <c r="K42" s="7" t="s">
        <v>109</v>
      </c>
      <c r="L42" s="6" t="s">
        <v>110</v>
      </c>
      <c r="M42" s="6">
        <v>1</v>
      </c>
      <c r="N42" s="6"/>
      <c r="O42" s="6"/>
      <c r="P42" s="6"/>
      <c r="Q42" s="6"/>
      <c r="R42" s="6" t="s">
        <v>25</v>
      </c>
    </row>
    <row r="43" spans="1:21" x14ac:dyDescent="0.3">
      <c r="A43" s="5">
        <v>46120</v>
      </c>
      <c r="B43" t="s">
        <v>19</v>
      </c>
      <c r="C43">
        <v>1</v>
      </c>
      <c r="D43">
        <v>4</v>
      </c>
      <c r="E43" t="s">
        <v>52</v>
      </c>
      <c r="F43">
        <v>0.25</v>
      </c>
      <c r="G43">
        <f t="shared" si="0"/>
        <v>1</v>
      </c>
      <c r="H43" t="s">
        <v>210</v>
      </c>
      <c r="I43" s="6" t="s">
        <v>53</v>
      </c>
      <c r="J43" s="7" t="s">
        <v>54</v>
      </c>
      <c r="K43" s="7" t="s">
        <v>55</v>
      </c>
      <c r="L43" s="6" t="s">
        <v>56</v>
      </c>
      <c r="M43" s="6"/>
      <c r="N43" s="6"/>
      <c r="O43" s="6"/>
      <c r="P43" s="6">
        <v>1</v>
      </c>
      <c r="Q43" s="6"/>
      <c r="R43" s="6" t="s">
        <v>57</v>
      </c>
    </row>
    <row r="44" spans="1:21" x14ac:dyDescent="0.3">
      <c r="A44" s="5">
        <v>46120</v>
      </c>
      <c r="B44" t="s">
        <v>19</v>
      </c>
      <c r="C44">
        <v>1</v>
      </c>
      <c r="D44">
        <v>4</v>
      </c>
      <c r="E44" t="s">
        <v>111</v>
      </c>
      <c r="F44">
        <v>0.5</v>
      </c>
      <c r="G44">
        <f t="shared" si="0"/>
        <v>2</v>
      </c>
      <c r="H44" t="s">
        <v>209</v>
      </c>
      <c r="I44" s="6" t="s">
        <v>21</v>
      </c>
      <c r="J44" s="7" t="s">
        <v>112</v>
      </c>
      <c r="K44" s="7" t="s">
        <v>113</v>
      </c>
      <c r="L44" s="6"/>
      <c r="M44" s="6">
        <v>1</v>
      </c>
      <c r="N44" s="6"/>
      <c r="O44" s="6"/>
      <c r="P44" s="6"/>
      <c r="Q44" s="6"/>
      <c r="R44" s="6" t="s">
        <v>25</v>
      </c>
    </row>
    <row r="45" spans="1:21" x14ac:dyDescent="0.3">
      <c r="A45" s="5">
        <v>46120</v>
      </c>
      <c r="B45" t="s">
        <v>19</v>
      </c>
      <c r="C45">
        <v>1</v>
      </c>
      <c r="D45">
        <v>4</v>
      </c>
      <c r="E45" t="s">
        <v>90</v>
      </c>
      <c r="F45">
        <v>0.25</v>
      </c>
      <c r="G45">
        <f t="shared" si="0"/>
        <v>1</v>
      </c>
      <c r="H45" t="s">
        <v>210</v>
      </c>
      <c r="I45" s="6" t="s">
        <v>43</v>
      </c>
      <c r="J45" s="7" t="s">
        <v>91</v>
      </c>
      <c r="K45" s="7" t="s">
        <v>92</v>
      </c>
      <c r="L45" s="6" t="s">
        <v>93</v>
      </c>
      <c r="M45" s="6"/>
      <c r="N45" s="6"/>
      <c r="O45" s="6">
        <v>1</v>
      </c>
      <c r="P45" s="6"/>
      <c r="Q45" s="6"/>
      <c r="R45" s="6" t="s">
        <v>57</v>
      </c>
    </row>
    <row r="46" spans="1:21" x14ac:dyDescent="0.3">
      <c r="A46" s="5">
        <v>46120</v>
      </c>
      <c r="B46" t="s">
        <v>19</v>
      </c>
      <c r="C46">
        <v>1</v>
      </c>
      <c r="D46">
        <v>4</v>
      </c>
      <c r="E46" t="s">
        <v>52</v>
      </c>
      <c r="F46">
        <v>0.25</v>
      </c>
      <c r="G46">
        <f t="shared" si="0"/>
        <v>1</v>
      </c>
      <c r="H46" t="s">
        <v>210</v>
      </c>
      <c r="I46" s="6" t="s">
        <v>53</v>
      </c>
      <c r="J46" s="7" t="s">
        <v>54</v>
      </c>
      <c r="K46" s="7" t="s">
        <v>55</v>
      </c>
      <c r="L46" s="6" t="s">
        <v>56</v>
      </c>
      <c r="M46" s="6"/>
      <c r="N46" s="6"/>
      <c r="O46" s="6"/>
      <c r="P46" s="6">
        <v>1</v>
      </c>
      <c r="Q46" s="6"/>
      <c r="R46" s="6" t="s">
        <v>57</v>
      </c>
    </row>
    <row r="47" spans="1:21" x14ac:dyDescent="0.3">
      <c r="A47" s="5">
        <v>46120</v>
      </c>
      <c r="B47" t="s">
        <v>19</v>
      </c>
      <c r="C47">
        <v>1</v>
      </c>
      <c r="D47">
        <v>4</v>
      </c>
      <c r="E47" t="s">
        <v>76</v>
      </c>
      <c r="F47">
        <v>2</v>
      </c>
      <c r="G47">
        <f t="shared" si="0"/>
        <v>8</v>
      </c>
      <c r="H47" t="s">
        <v>239</v>
      </c>
      <c r="Q47">
        <v>1</v>
      </c>
      <c r="R47" t="s">
        <v>25</v>
      </c>
    </row>
    <row r="48" spans="1:21" x14ac:dyDescent="0.3">
      <c r="A48" s="5">
        <v>46120</v>
      </c>
      <c r="B48" t="s">
        <v>19</v>
      </c>
      <c r="C48">
        <v>1</v>
      </c>
      <c r="D48">
        <v>5</v>
      </c>
      <c r="E48" t="s">
        <v>39</v>
      </c>
      <c r="F48">
        <v>3</v>
      </c>
      <c r="G48">
        <f t="shared" si="0"/>
        <v>12</v>
      </c>
      <c r="H48" t="s">
        <v>209</v>
      </c>
      <c r="I48" s="6" t="s">
        <v>21</v>
      </c>
      <c r="J48" s="7" t="s">
        <v>39</v>
      </c>
      <c r="K48" s="7" t="s">
        <v>40</v>
      </c>
      <c r="L48" s="6" t="s">
        <v>41</v>
      </c>
      <c r="M48" s="6">
        <v>1</v>
      </c>
      <c r="N48" s="6"/>
      <c r="O48" s="6"/>
      <c r="P48" s="6"/>
      <c r="Q48" s="6"/>
      <c r="R48" s="6" t="s">
        <v>25</v>
      </c>
    </row>
    <row r="49" spans="1:19" x14ac:dyDescent="0.3">
      <c r="A49" s="5">
        <v>46120</v>
      </c>
      <c r="B49" t="s">
        <v>19</v>
      </c>
      <c r="C49">
        <v>1</v>
      </c>
      <c r="D49">
        <v>5</v>
      </c>
      <c r="E49" t="s">
        <v>114</v>
      </c>
      <c r="F49">
        <v>2</v>
      </c>
      <c r="G49">
        <f t="shared" si="0"/>
        <v>8</v>
      </c>
      <c r="H49" t="s">
        <v>210</v>
      </c>
      <c r="I49" s="6" t="s">
        <v>48</v>
      </c>
      <c r="J49" s="7" t="s">
        <v>115</v>
      </c>
      <c r="K49" s="7" t="s">
        <v>116</v>
      </c>
      <c r="L49" s="6" t="s">
        <v>117</v>
      </c>
      <c r="M49" s="6"/>
      <c r="N49" s="6"/>
      <c r="O49" s="6"/>
      <c r="P49" s="6"/>
      <c r="Q49" s="6">
        <v>1</v>
      </c>
      <c r="R49" s="6" t="s">
        <v>25</v>
      </c>
      <c r="S49">
        <v>0.1</v>
      </c>
    </row>
    <row r="50" spans="1:19" x14ac:dyDescent="0.3">
      <c r="A50" s="5">
        <v>46120</v>
      </c>
      <c r="B50" t="s">
        <v>19</v>
      </c>
      <c r="C50">
        <v>1</v>
      </c>
      <c r="D50">
        <v>5</v>
      </c>
      <c r="E50" t="s">
        <v>42</v>
      </c>
      <c r="F50">
        <v>4</v>
      </c>
      <c r="G50">
        <f t="shared" si="0"/>
        <v>16</v>
      </c>
      <c r="H50" t="s">
        <v>210</v>
      </c>
      <c r="I50" s="6" t="s">
        <v>43</v>
      </c>
      <c r="J50" s="7" t="s">
        <v>44</v>
      </c>
      <c r="K50" s="7" t="s">
        <v>45</v>
      </c>
      <c r="L50" s="6" t="s">
        <v>46</v>
      </c>
      <c r="M50" s="6"/>
      <c r="N50" s="6"/>
      <c r="O50" s="6">
        <v>1</v>
      </c>
      <c r="P50" s="6"/>
      <c r="Q50" s="6"/>
      <c r="R50" s="6" t="s">
        <v>25</v>
      </c>
    </row>
    <row r="51" spans="1:19" x14ac:dyDescent="0.3">
      <c r="A51" s="5">
        <v>46120</v>
      </c>
      <c r="B51" t="s">
        <v>19</v>
      </c>
      <c r="C51">
        <v>1</v>
      </c>
      <c r="D51">
        <v>5</v>
      </c>
      <c r="E51" t="s">
        <v>20</v>
      </c>
      <c r="F51">
        <v>1</v>
      </c>
      <c r="G51">
        <f t="shared" si="0"/>
        <v>4</v>
      </c>
      <c r="H51" t="s">
        <v>208</v>
      </c>
      <c r="I51" s="6" t="s">
        <v>21</v>
      </c>
      <c r="J51" s="7" t="s">
        <v>22</v>
      </c>
      <c r="K51" s="7" t="s">
        <v>23</v>
      </c>
      <c r="L51" s="6" t="s">
        <v>24</v>
      </c>
      <c r="M51" s="6">
        <v>1</v>
      </c>
      <c r="N51" s="6">
        <v>0</v>
      </c>
      <c r="O51" s="6">
        <v>0</v>
      </c>
      <c r="P51" s="6">
        <v>0</v>
      </c>
      <c r="Q51" s="6"/>
      <c r="R51" s="6" t="s">
        <v>25</v>
      </c>
    </row>
    <row r="52" spans="1:19" x14ac:dyDescent="0.3">
      <c r="A52" s="5">
        <v>46120</v>
      </c>
      <c r="B52" t="s">
        <v>19</v>
      </c>
      <c r="C52">
        <v>1</v>
      </c>
      <c r="D52">
        <v>5</v>
      </c>
      <c r="E52" t="s">
        <v>118</v>
      </c>
      <c r="F52">
        <v>1</v>
      </c>
      <c r="G52">
        <f t="shared" si="0"/>
        <v>4</v>
      </c>
      <c r="I52" t="s">
        <v>119</v>
      </c>
      <c r="P52">
        <v>1</v>
      </c>
    </row>
    <row r="53" spans="1:19" x14ac:dyDescent="0.3">
      <c r="A53" s="5">
        <v>46120</v>
      </c>
      <c r="B53" t="s">
        <v>19</v>
      </c>
      <c r="C53">
        <v>1</v>
      </c>
      <c r="D53">
        <v>5</v>
      </c>
      <c r="E53" t="s">
        <v>120</v>
      </c>
      <c r="F53">
        <v>1</v>
      </c>
      <c r="G53">
        <f t="shared" si="0"/>
        <v>4</v>
      </c>
      <c r="I53" s="6" t="s">
        <v>121</v>
      </c>
      <c r="J53" s="7" t="s">
        <v>120</v>
      </c>
      <c r="K53" s="7" t="s">
        <v>122</v>
      </c>
      <c r="L53" s="6" t="s">
        <v>123</v>
      </c>
      <c r="M53" s="6"/>
      <c r="N53" s="6"/>
      <c r="O53" s="6"/>
      <c r="P53" s="6">
        <v>1</v>
      </c>
      <c r="Q53" s="6"/>
      <c r="R53" s="6" t="s">
        <v>25</v>
      </c>
    </row>
    <row r="54" spans="1:19" x14ac:dyDescent="0.3">
      <c r="A54" s="5">
        <v>46120</v>
      </c>
      <c r="B54" t="s">
        <v>19</v>
      </c>
      <c r="C54">
        <v>1</v>
      </c>
      <c r="D54">
        <v>5</v>
      </c>
      <c r="E54" t="s">
        <v>111</v>
      </c>
      <c r="F54">
        <v>7</v>
      </c>
      <c r="G54">
        <f t="shared" si="0"/>
        <v>28.000000000000004</v>
      </c>
      <c r="H54" t="s">
        <v>209</v>
      </c>
      <c r="I54" s="6" t="s">
        <v>21</v>
      </c>
      <c r="J54" s="7" t="s">
        <v>112</v>
      </c>
      <c r="K54" s="7" t="s">
        <v>113</v>
      </c>
      <c r="L54" s="6"/>
      <c r="M54" s="6">
        <v>1</v>
      </c>
      <c r="N54" s="6"/>
      <c r="O54" s="6"/>
      <c r="P54" s="6"/>
      <c r="Q54" s="6"/>
      <c r="R54" s="6" t="s">
        <v>25</v>
      </c>
    </row>
    <row r="55" spans="1:19" x14ac:dyDescent="0.3">
      <c r="A55" s="5">
        <v>46120</v>
      </c>
      <c r="B55" t="s">
        <v>19</v>
      </c>
      <c r="C55">
        <v>1</v>
      </c>
      <c r="D55">
        <v>5</v>
      </c>
      <c r="E55" t="s">
        <v>31</v>
      </c>
      <c r="F55">
        <v>0.5</v>
      </c>
      <c r="G55">
        <f t="shared" si="0"/>
        <v>2</v>
      </c>
      <c r="H55" t="s">
        <v>209</v>
      </c>
      <c r="I55" s="6" t="s">
        <v>21</v>
      </c>
      <c r="J55" s="7" t="s">
        <v>32</v>
      </c>
      <c r="K55" s="7" t="s">
        <v>33</v>
      </c>
      <c r="L55" s="6" t="s">
        <v>34</v>
      </c>
      <c r="M55" s="6">
        <v>1</v>
      </c>
      <c r="N55" s="6"/>
      <c r="O55" s="6"/>
      <c r="P55" s="6"/>
      <c r="Q55" s="6"/>
      <c r="R55" s="6" t="s">
        <v>25</v>
      </c>
    </row>
    <row r="56" spans="1:19" x14ac:dyDescent="0.3">
      <c r="A56" s="5">
        <v>46120</v>
      </c>
      <c r="B56" t="s">
        <v>19</v>
      </c>
      <c r="C56">
        <v>1</v>
      </c>
      <c r="D56">
        <v>5</v>
      </c>
      <c r="E56" t="s">
        <v>80</v>
      </c>
      <c r="F56">
        <v>0.5</v>
      </c>
      <c r="G56">
        <f t="shared" si="0"/>
        <v>2</v>
      </c>
      <c r="I56" s="6" t="s">
        <v>64</v>
      </c>
      <c r="J56" s="7" t="s">
        <v>65</v>
      </c>
      <c r="K56" s="7" t="s">
        <v>81</v>
      </c>
      <c r="L56" s="6" t="s">
        <v>82</v>
      </c>
      <c r="M56" s="6"/>
      <c r="N56" s="6"/>
      <c r="O56" s="6"/>
      <c r="P56" s="6">
        <v>1</v>
      </c>
      <c r="Q56" s="6"/>
      <c r="R56" s="6" t="s">
        <v>25</v>
      </c>
    </row>
    <row r="57" spans="1:19" x14ac:dyDescent="0.3">
      <c r="A57" s="5">
        <v>46120</v>
      </c>
      <c r="B57" t="s">
        <v>19</v>
      </c>
      <c r="C57">
        <v>1</v>
      </c>
      <c r="D57">
        <v>5</v>
      </c>
      <c r="E57" t="s">
        <v>90</v>
      </c>
      <c r="F57">
        <v>1</v>
      </c>
      <c r="G57">
        <f t="shared" si="0"/>
        <v>4</v>
      </c>
      <c r="H57" t="s">
        <v>210</v>
      </c>
      <c r="I57" s="6" t="s">
        <v>43</v>
      </c>
      <c r="J57" s="7" t="s">
        <v>91</v>
      </c>
      <c r="K57" s="7" t="s">
        <v>92</v>
      </c>
      <c r="L57" s="6" t="s">
        <v>93</v>
      </c>
      <c r="M57" s="6"/>
      <c r="N57" s="6"/>
      <c r="O57" s="6">
        <v>1</v>
      </c>
      <c r="P57" s="6"/>
      <c r="Q57" s="6"/>
      <c r="R57" s="6" t="s">
        <v>57</v>
      </c>
    </row>
    <row r="58" spans="1:19" x14ac:dyDescent="0.3">
      <c r="A58" s="5">
        <v>46120</v>
      </c>
      <c r="B58" t="s">
        <v>19</v>
      </c>
      <c r="C58">
        <v>1</v>
      </c>
      <c r="D58">
        <v>5</v>
      </c>
      <c r="E58" t="s">
        <v>76</v>
      </c>
      <c r="F58">
        <v>4</v>
      </c>
      <c r="G58">
        <f t="shared" si="0"/>
        <v>16</v>
      </c>
      <c r="H58" t="s">
        <v>239</v>
      </c>
    </row>
    <row r="59" spans="1:19" x14ac:dyDescent="0.3">
      <c r="A59" s="5">
        <v>46120</v>
      </c>
      <c r="B59" t="s">
        <v>19</v>
      </c>
      <c r="C59">
        <v>1</v>
      </c>
      <c r="D59">
        <v>6</v>
      </c>
      <c r="E59" t="s">
        <v>39</v>
      </c>
      <c r="F59">
        <v>10.25</v>
      </c>
      <c r="G59">
        <f t="shared" si="0"/>
        <v>41</v>
      </c>
      <c r="H59" t="s">
        <v>209</v>
      </c>
      <c r="I59" s="6" t="s">
        <v>21</v>
      </c>
      <c r="J59" s="7" t="s">
        <v>39</v>
      </c>
      <c r="K59" s="7" t="s">
        <v>40</v>
      </c>
      <c r="L59" s="6" t="s">
        <v>41</v>
      </c>
      <c r="M59" s="6">
        <v>1</v>
      </c>
      <c r="N59" s="6"/>
      <c r="O59" s="6"/>
      <c r="P59" s="6"/>
      <c r="Q59" s="6"/>
      <c r="R59" s="6" t="s">
        <v>25</v>
      </c>
    </row>
    <row r="60" spans="1:19" x14ac:dyDescent="0.3">
      <c r="A60" s="5">
        <v>46120</v>
      </c>
      <c r="B60" t="s">
        <v>19</v>
      </c>
      <c r="C60">
        <v>1</v>
      </c>
      <c r="D60">
        <v>6</v>
      </c>
      <c r="E60" t="s">
        <v>124</v>
      </c>
      <c r="F60">
        <v>1</v>
      </c>
      <c r="G60">
        <f t="shared" si="0"/>
        <v>4</v>
      </c>
      <c r="I60" s="6" t="s">
        <v>48</v>
      </c>
      <c r="J60" s="7" t="s">
        <v>49</v>
      </c>
      <c r="K60" t="s">
        <v>106</v>
      </c>
      <c r="Q60">
        <v>1</v>
      </c>
    </row>
    <row r="61" spans="1:19" x14ac:dyDescent="0.3">
      <c r="A61" s="5">
        <v>46120</v>
      </c>
      <c r="B61" t="s">
        <v>19</v>
      </c>
      <c r="C61">
        <v>1</v>
      </c>
      <c r="D61">
        <v>6</v>
      </c>
      <c r="E61" t="s">
        <v>125</v>
      </c>
      <c r="F61">
        <v>0.5</v>
      </c>
      <c r="G61">
        <f t="shared" si="0"/>
        <v>2</v>
      </c>
      <c r="I61" s="6" t="s">
        <v>21</v>
      </c>
      <c r="J61" s="7" t="s">
        <v>22</v>
      </c>
      <c r="K61" s="7" t="s">
        <v>126</v>
      </c>
      <c r="L61" s="6" t="s">
        <v>127</v>
      </c>
      <c r="M61" s="6">
        <v>1</v>
      </c>
      <c r="N61" s="6"/>
      <c r="O61" s="6"/>
      <c r="P61" s="6"/>
      <c r="Q61" s="6"/>
      <c r="R61" s="6" t="s">
        <v>25</v>
      </c>
    </row>
    <row r="62" spans="1:19" x14ac:dyDescent="0.3">
      <c r="A62" s="5">
        <v>46120</v>
      </c>
      <c r="B62" t="s">
        <v>19</v>
      </c>
      <c r="C62">
        <v>1</v>
      </c>
      <c r="D62">
        <v>6</v>
      </c>
      <c r="E62" t="s">
        <v>107</v>
      </c>
      <c r="F62">
        <v>0.5</v>
      </c>
      <c r="G62">
        <f t="shared" si="0"/>
        <v>2</v>
      </c>
      <c r="H62" t="s">
        <v>209</v>
      </c>
      <c r="I62" s="6" t="s">
        <v>21</v>
      </c>
      <c r="J62" s="7" t="s">
        <v>108</v>
      </c>
      <c r="K62" s="7" t="s">
        <v>109</v>
      </c>
      <c r="L62" s="6" t="s">
        <v>110</v>
      </c>
      <c r="M62" s="6">
        <v>1</v>
      </c>
      <c r="N62" s="6"/>
      <c r="O62" s="6"/>
      <c r="P62" s="6"/>
      <c r="Q62" s="6"/>
      <c r="R62" s="6" t="s">
        <v>25</v>
      </c>
    </row>
    <row r="63" spans="1:19" x14ac:dyDescent="0.3">
      <c r="A63" s="5">
        <v>46120</v>
      </c>
      <c r="B63" t="s">
        <v>19</v>
      </c>
      <c r="C63">
        <v>1</v>
      </c>
      <c r="D63">
        <v>6</v>
      </c>
      <c r="E63" t="s">
        <v>52</v>
      </c>
      <c r="F63">
        <v>4</v>
      </c>
      <c r="G63">
        <f t="shared" si="0"/>
        <v>16</v>
      </c>
      <c r="H63" t="s">
        <v>210</v>
      </c>
      <c r="I63" s="6" t="s">
        <v>53</v>
      </c>
      <c r="J63" s="7" t="s">
        <v>54</v>
      </c>
      <c r="K63" s="7" t="s">
        <v>55</v>
      </c>
      <c r="L63" s="6" t="s">
        <v>56</v>
      </c>
      <c r="M63" s="6"/>
      <c r="N63" s="6"/>
      <c r="O63" s="6"/>
      <c r="P63" s="6">
        <v>1</v>
      </c>
      <c r="Q63" s="6"/>
      <c r="R63" s="6" t="s">
        <v>57</v>
      </c>
    </row>
    <row r="64" spans="1:19" x14ac:dyDescent="0.3">
      <c r="A64" s="5">
        <v>46120</v>
      </c>
      <c r="B64" t="s">
        <v>19</v>
      </c>
      <c r="C64">
        <v>1</v>
      </c>
      <c r="D64">
        <v>6</v>
      </c>
      <c r="E64" t="s">
        <v>128</v>
      </c>
      <c r="F64">
        <v>0.5</v>
      </c>
      <c r="G64">
        <f t="shared" si="0"/>
        <v>2</v>
      </c>
      <c r="I64" t="s">
        <v>119</v>
      </c>
    </row>
    <row r="65" spans="1:18" x14ac:dyDescent="0.3">
      <c r="A65" s="5">
        <v>46120</v>
      </c>
      <c r="B65" t="s">
        <v>19</v>
      </c>
      <c r="C65">
        <v>1</v>
      </c>
      <c r="D65">
        <v>6</v>
      </c>
      <c r="E65" t="s">
        <v>129</v>
      </c>
      <c r="F65">
        <v>1</v>
      </c>
      <c r="G65">
        <f t="shared" si="0"/>
        <v>4</v>
      </c>
      <c r="I65" s="6" t="s">
        <v>130</v>
      </c>
      <c r="J65" s="7" t="s">
        <v>131</v>
      </c>
      <c r="K65" s="7" t="s">
        <v>132</v>
      </c>
      <c r="L65" s="6" t="s">
        <v>133</v>
      </c>
      <c r="P65">
        <v>1</v>
      </c>
      <c r="R65" t="s">
        <v>25</v>
      </c>
    </row>
    <row r="66" spans="1:18" x14ac:dyDescent="0.3">
      <c r="A66" s="5">
        <v>46120</v>
      </c>
      <c r="B66" t="s">
        <v>19</v>
      </c>
      <c r="C66">
        <v>1</v>
      </c>
      <c r="D66">
        <v>6</v>
      </c>
      <c r="E66" t="s">
        <v>83</v>
      </c>
      <c r="F66">
        <v>5</v>
      </c>
      <c r="G66">
        <f t="shared" si="0"/>
        <v>20</v>
      </c>
      <c r="H66" t="s">
        <v>211</v>
      </c>
      <c r="I66" s="6" t="s">
        <v>21</v>
      </c>
      <c r="J66" s="7" t="s">
        <v>73</v>
      </c>
      <c r="K66" s="7" t="s">
        <v>84</v>
      </c>
      <c r="L66" s="6" t="s">
        <v>85</v>
      </c>
      <c r="M66" s="6">
        <v>1</v>
      </c>
      <c r="N66" s="6"/>
      <c r="O66" s="6"/>
      <c r="P66" s="6"/>
      <c r="Q66" s="6"/>
      <c r="R66" s="6" t="s">
        <v>25</v>
      </c>
    </row>
    <row r="67" spans="1:18" x14ac:dyDescent="0.3">
      <c r="A67" s="5">
        <v>46120</v>
      </c>
      <c r="B67" t="s">
        <v>19</v>
      </c>
      <c r="C67">
        <v>1</v>
      </c>
      <c r="D67">
        <v>6</v>
      </c>
      <c r="E67" t="s">
        <v>134</v>
      </c>
      <c r="F67">
        <v>0.25</v>
      </c>
      <c r="G67">
        <f t="shared" si="0"/>
        <v>1</v>
      </c>
      <c r="H67" t="s">
        <v>210</v>
      </c>
      <c r="I67" s="6" t="s">
        <v>135</v>
      </c>
      <c r="J67" s="7" t="s">
        <v>134</v>
      </c>
      <c r="K67" s="7" t="s">
        <v>136</v>
      </c>
      <c r="L67" s="6" t="s">
        <v>137</v>
      </c>
      <c r="M67" s="6"/>
      <c r="N67" s="6"/>
      <c r="O67" s="6"/>
      <c r="P67" s="6">
        <v>1</v>
      </c>
      <c r="Q67" s="6"/>
      <c r="R67" s="6" t="s">
        <v>25</v>
      </c>
    </row>
    <row r="68" spans="1:18" x14ac:dyDescent="0.3">
      <c r="A68" s="5">
        <v>46120</v>
      </c>
      <c r="B68" t="s">
        <v>19</v>
      </c>
      <c r="C68">
        <v>1</v>
      </c>
      <c r="D68">
        <v>6</v>
      </c>
      <c r="E68" t="s">
        <v>27</v>
      </c>
      <c r="F68">
        <v>1</v>
      </c>
      <c r="G68">
        <f t="shared" si="0"/>
        <v>4</v>
      </c>
      <c r="H68" t="s">
        <v>209</v>
      </c>
      <c r="I68" s="6" t="s">
        <v>21</v>
      </c>
      <c r="J68" s="7" t="s">
        <v>28</v>
      </c>
      <c r="K68" s="7" t="s">
        <v>29</v>
      </c>
      <c r="L68" s="6" t="s">
        <v>30</v>
      </c>
      <c r="M68" s="6">
        <v>1</v>
      </c>
      <c r="N68" s="6"/>
      <c r="O68" s="6"/>
      <c r="P68" s="6"/>
      <c r="Q68" s="6"/>
      <c r="R68" s="6" t="s">
        <v>25</v>
      </c>
    </row>
    <row r="69" spans="1:18" x14ac:dyDescent="0.3">
      <c r="A69" s="5">
        <v>46120</v>
      </c>
      <c r="B69" t="s">
        <v>19</v>
      </c>
      <c r="C69">
        <v>1</v>
      </c>
      <c r="D69">
        <v>6</v>
      </c>
      <c r="E69" t="s">
        <v>76</v>
      </c>
      <c r="F69">
        <v>1</v>
      </c>
      <c r="G69">
        <f t="shared" si="0"/>
        <v>4</v>
      </c>
      <c r="H69" t="s">
        <v>239</v>
      </c>
    </row>
    <row r="70" spans="1:18" x14ac:dyDescent="0.3">
      <c r="A70" s="5">
        <v>46120</v>
      </c>
      <c r="B70" t="s">
        <v>19</v>
      </c>
      <c r="C70">
        <v>1</v>
      </c>
      <c r="D70">
        <v>7</v>
      </c>
      <c r="E70" t="s">
        <v>27</v>
      </c>
      <c r="F70">
        <v>8</v>
      </c>
      <c r="G70">
        <f t="shared" si="0"/>
        <v>32</v>
      </c>
      <c r="H70" t="s">
        <v>209</v>
      </c>
      <c r="I70" s="6" t="s">
        <v>21</v>
      </c>
      <c r="J70" s="7" t="s">
        <v>28</v>
      </c>
      <c r="K70" s="7" t="s">
        <v>29</v>
      </c>
      <c r="L70" s="6" t="s">
        <v>30</v>
      </c>
      <c r="M70" s="6">
        <v>1</v>
      </c>
      <c r="N70" s="6"/>
      <c r="O70" s="6"/>
      <c r="P70" s="6"/>
      <c r="Q70" s="6"/>
      <c r="R70" s="6" t="s">
        <v>25</v>
      </c>
    </row>
    <row r="71" spans="1:18" x14ac:dyDescent="0.3">
      <c r="A71" s="5">
        <v>46120</v>
      </c>
      <c r="B71" t="s">
        <v>19</v>
      </c>
      <c r="C71">
        <v>1</v>
      </c>
      <c r="D71">
        <v>7</v>
      </c>
      <c r="E71" t="s">
        <v>86</v>
      </c>
      <c r="F71">
        <v>2</v>
      </c>
      <c r="G71">
        <f t="shared" ref="G71:G134" si="1">F71/25*100</f>
        <v>8</v>
      </c>
      <c r="I71" s="6" t="s">
        <v>21</v>
      </c>
      <c r="J71" s="7" t="s">
        <v>87</v>
      </c>
      <c r="K71" s="7" t="s">
        <v>88</v>
      </c>
      <c r="L71" s="6" t="s">
        <v>89</v>
      </c>
      <c r="M71" s="6">
        <v>1</v>
      </c>
      <c r="N71" s="6"/>
      <c r="O71" s="6"/>
      <c r="P71" s="6"/>
      <c r="Q71" s="6"/>
      <c r="R71" s="6" t="s">
        <v>25</v>
      </c>
    </row>
    <row r="72" spans="1:18" x14ac:dyDescent="0.3">
      <c r="A72" s="5">
        <v>46120</v>
      </c>
      <c r="B72" t="s">
        <v>19</v>
      </c>
      <c r="C72">
        <v>1</v>
      </c>
      <c r="D72">
        <v>7</v>
      </c>
      <c r="E72" t="s">
        <v>42</v>
      </c>
      <c r="F72">
        <v>4</v>
      </c>
      <c r="G72">
        <f t="shared" si="1"/>
        <v>16</v>
      </c>
      <c r="H72" t="s">
        <v>210</v>
      </c>
      <c r="I72" s="6" t="s">
        <v>43</v>
      </c>
      <c r="J72" s="7" t="s">
        <v>44</v>
      </c>
      <c r="K72" s="7" t="s">
        <v>45</v>
      </c>
      <c r="L72" s="6" t="s">
        <v>46</v>
      </c>
      <c r="M72" s="6"/>
      <c r="N72" s="6"/>
      <c r="O72" s="6">
        <v>1</v>
      </c>
      <c r="P72" s="6"/>
      <c r="Q72" s="6"/>
      <c r="R72" s="6" t="s">
        <v>25</v>
      </c>
    </row>
    <row r="73" spans="1:18" x14ac:dyDescent="0.3">
      <c r="A73" s="5">
        <v>46120</v>
      </c>
      <c r="B73" t="s">
        <v>19</v>
      </c>
      <c r="C73">
        <v>1</v>
      </c>
      <c r="D73">
        <v>7</v>
      </c>
      <c r="E73" t="s">
        <v>99</v>
      </c>
      <c r="F73">
        <v>0.25</v>
      </c>
      <c r="G73">
        <f t="shared" si="1"/>
        <v>1</v>
      </c>
      <c r="H73" t="s">
        <v>12</v>
      </c>
      <c r="I73" s="6" t="s">
        <v>95</v>
      </c>
      <c r="J73" s="7" t="s">
        <v>96</v>
      </c>
      <c r="K73" s="7" t="s">
        <v>100</v>
      </c>
      <c r="L73" s="6" t="s">
        <v>101</v>
      </c>
      <c r="M73" s="6"/>
      <c r="N73" s="6">
        <v>1</v>
      </c>
      <c r="O73" s="6"/>
      <c r="P73" s="6"/>
      <c r="Q73" s="6"/>
      <c r="R73" s="6" t="s">
        <v>25</v>
      </c>
    </row>
    <row r="74" spans="1:18" x14ac:dyDescent="0.3">
      <c r="A74" s="5">
        <v>46120</v>
      </c>
      <c r="B74" t="s">
        <v>19</v>
      </c>
      <c r="C74">
        <v>1</v>
      </c>
      <c r="D74">
        <v>7</v>
      </c>
      <c r="E74" t="s">
        <v>120</v>
      </c>
      <c r="F74">
        <v>0.25</v>
      </c>
      <c r="G74">
        <f t="shared" si="1"/>
        <v>1</v>
      </c>
      <c r="I74" s="6" t="s">
        <v>121</v>
      </c>
      <c r="J74" s="7" t="s">
        <v>120</v>
      </c>
      <c r="K74" s="7" t="s">
        <v>122</v>
      </c>
      <c r="L74" s="6" t="s">
        <v>123</v>
      </c>
      <c r="M74" s="6"/>
      <c r="N74" s="6"/>
      <c r="O74" s="6"/>
      <c r="P74" s="6">
        <v>1</v>
      </c>
      <c r="Q74" s="6"/>
      <c r="R74" s="6" t="s">
        <v>25</v>
      </c>
    </row>
    <row r="75" spans="1:18" x14ac:dyDescent="0.3">
      <c r="A75" s="5">
        <v>46120</v>
      </c>
      <c r="B75" t="s">
        <v>19</v>
      </c>
      <c r="C75">
        <v>1</v>
      </c>
      <c r="D75">
        <v>7</v>
      </c>
      <c r="E75" t="s">
        <v>80</v>
      </c>
      <c r="F75">
        <v>0.5</v>
      </c>
      <c r="G75">
        <f t="shared" si="1"/>
        <v>2</v>
      </c>
      <c r="I75" s="6" t="s">
        <v>64</v>
      </c>
      <c r="J75" s="7" t="s">
        <v>65</v>
      </c>
      <c r="K75" s="7" t="s">
        <v>81</v>
      </c>
      <c r="L75" s="6" t="s">
        <v>82</v>
      </c>
      <c r="M75" s="6"/>
      <c r="N75" s="6"/>
      <c r="O75" s="6"/>
      <c r="P75" s="6">
        <v>1</v>
      </c>
      <c r="Q75" s="6"/>
      <c r="R75" s="6" t="s">
        <v>25</v>
      </c>
    </row>
    <row r="76" spans="1:18" x14ac:dyDescent="0.3">
      <c r="A76" s="5">
        <v>46120</v>
      </c>
      <c r="B76" t="s">
        <v>19</v>
      </c>
      <c r="C76">
        <v>1</v>
      </c>
      <c r="D76">
        <v>7</v>
      </c>
      <c r="E76" t="s">
        <v>83</v>
      </c>
      <c r="F76">
        <v>4.5</v>
      </c>
      <c r="G76">
        <f t="shared" si="1"/>
        <v>18</v>
      </c>
      <c r="H76" t="s">
        <v>211</v>
      </c>
      <c r="I76" s="6" t="s">
        <v>21</v>
      </c>
      <c r="J76" s="7" t="s">
        <v>73</v>
      </c>
      <c r="K76" s="7" t="s">
        <v>84</v>
      </c>
      <c r="L76" s="6" t="s">
        <v>85</v>
      </c>
      <c r="M76" s="6">
        <v>1</v>
      </c>
      <c r="N76" s="6"/>
      <c r="O76" s="6"/>
      <c r="P76" s="6"/>
      <c r="Q76" s="6"/>
      <c r="R76" s="6" t="s">
        <v>25</v>
      </c>
    </row>
    <row r="77" spans="1:18" x14ac:dyDescent="0.3">
      <c r="A77" s="5">
        <v>46120</v>
      </c>
      <c r="B77" t="s">
        <v>19</v>
      </c>
      <c r="C77">
        <v>1</v>
      </c>
      <c r="D77">
        <v>7</v>
      </c>
      <c r="E77" t="s">
        <v>31</v>
      </c>
      <c r="F77">
        <v>1</v>
      </c>
      <c r="G77">
        <f t="shared" si="1"/>
        <v>4</v>
      </c>
      <c r="H77" t="s">
        <v>209</v>
      </c>
      <c r="I77" s="6" t="s">
        <v>21</v>
      </c>
      <c r="J77" s="7" t="s">
        <v>32</v>
      </c>
      <c r="K77" s="7" t="s">
        <v>33</v>
      </c>
      <c r="L77" s="6" t="s">
        <v>34</v>
      </c>
      <c r="M77" s="6">
        <v>1</v>
      </c>
      <c r="N77" s="6"/>
      <c r="O77" s="6"/>
      <c r="P77" s="6"/>
      <c r="Q77" s="6"/>
      <c r="R77" s="6" t="s">
        <v>25</v>
      </c>
    </row>
    <row r="78" spans="1:18" x14ac:dyDescent="0.3">
      <c r="A78" s="5">
        <v>46120</v>
      </c>
      <c r="B78" t="s">
        <v>19</v>
      </c>
      <c r="C78">
        <v>1</v>
      </c>
      <c r="D78">
        <v>7</v>
      </c>
      <c r="E78" t="s">
        <v>58</v>
      </c>
      <c r="F78">
        <v>0.5</v>
      </c>
      <c r="G78">
        <f t="shared" si="1"/>
        <v>2</v>
      </c>
      <c r="H78" t="s">
        <v>210</v>
      </c>
      <c r="I78" s="6" t="s">
        <v>59</v>
      </c>
      <c r="J78" s="7" t="s">
        <v>60</v>
      </c>
      <c r="K78" s="7" t="s">
        <v>61</v>
      </c>
      <c r="L78" s="6" t="s">
        <v>62</v>
      </c>
      <c r="M78" s="6"/>
      <c r="N78" s="6"/>
      <c r="O78" s="6"/>
      <c r="P78" s="6">
        <v>1</v>
      </c>
      <c r="Q78" s="6"/>
      <c r="R78" s="6" t="s">
        <v>25</v>
      </c>
    </row>
    <row r="79" spans="1:18" x14ac:dyDescent="0.3">
      <c r="A79" s="5">
        <v>46120</v>
      </c>
      <c r="B79" t="s">
        <v>19</v>
      </c>
      <c r="C79">
        <v>1</v>
      </c>
      <c r="D79">
        <v>7</v>
      </c>
      <c r="E79" t="s">
        <v>77</v>
      </c>
      <c r="F79">
        <v>1</v>
      </c>
      <c r="G79">
        <f t="shared" si="1"/>
        <v>4</v>
      </c>
      <c r="H79" t="s">
        <v>208</v>
      </c>
      <c r="I79" s="6" t="s">
        <v>21</v>
      </c>
      <c r="J79" s="7" t="s">
        <v>78</v>
      </c>
      <c r="K79" s="7" t="s">
        <v>79</v>
      </c>
      <c r="L79" s="6" t="s">
        <v>71</v>
      </c>
      <c r="M79" s="6">
        <v>1</v>
      </c>
      <c r="N79" s="6"/>
      <c r="O79" s="6"/>
      <c r="P79" s="6"/>
      <c r="Q79" s="6"/>
      <c r="R79" s="6" t="s">
        <v>25</v>
      </c>
    </row>
    <row r="80" spans="1:18" x14ac:dyDescent="0.3">
      <c r="A80" s="5">
        <v>46120</v>
      </c>
      <c r="B80" t="s">
        <v>19</v>
      </c>
      <c r="C80">
        <v>1</v>
      </c>
      <c r="D80">
        <v>7</v>
      </c>
      <c r="E80" t="s">
        <v>76</v>
      </c>
      <c r="F80">
        <v>3</v>
      </c>
      <c r="G80">
        <f t="shared" si="1"/>
        <v>12</v>
      </c>
      <c r="H80" t="s">
        <v>239</v>
      </c>
    </row>
    <row r="81" spans="1:18" x14ac:dyDescent="0.3">
      <c r="A81" s="5">
        <v>46120</v>
      </c>
      <c r="B81" t="s">
        <v>19</v>
      </c>
      <c r="C81">
        <v>1</v>
      </c>
      <c r="D81">
        <v>8</v>
      </c>
      <c r="E81" t="s">
        <v>77</v>
      </c>
      <c r="F81">
        <v>4</v>
      </c>
      <c r="G81">
        <f t="shared" si="1"/>
        <v>16</v>
      </c>
      <c r="H81" t="s">
        <v>208</v>
      </c>
      <c r="I81" s="6" t="s">
        <v>21</v>
      </c>
      <c r="J81" s="7" t="s">
        <v>78</v>
      </c>
      <c r="K81" s="7" t="s">
        <v>79</v>
      </c>
      <c r="L81" s="6" t="s">
        <v>71</v>
      </c>
      <c r="M81" s="6">
        <v>1</v>
      </c>
      <c r="N81" s="6"/>
      <c r="O81" s="6"/>
      <c r="P81" s="6"/>
      <c r="Q81" s="6"/>
      <c r="R81" s="6" t="s">
        <v>25</v>
      </c>
    </row>
    <row r="82" spans="1:18" x14ac:dyDescent="0.3">
      <c r="A82" s="5">
        <v>46120</v>
      </c>
      <c r="B82" t="s">
        <v>19</v>
      </c>
      <c r="C82">
        <v>1</v>
      </c>
      <c r="D82">
        <v>8</v>
      </c>
      <c r="E82" t="s">
        <v>39</v>
      </c>
      <c r="F82">
        <v>3</v>
      </c>
      <c r="G82">
        <f t="shared" si="1"/>
        <v>12</v>
      </c>
      <c r="H82" t="s">
        <v>209</v>
      </c>
      <c r="I82" s="6" t="s">
        <v>21</v>
      </c>
      <c r="J82" s="7" t="s">
        <v>39</v>
      </c>
      <c r="K82" s="7" t="s">
        <v>40</v>
      </c>
      <c r="L82" s="6" t="s">
        <v>41</v>
      </c>
      <c r="M82" s="6">
        <v>1</v>
      </c>
      <c r="N82" s="6"/>
      <c r="O82" s="6"/>
      <c r="P82" s="6"/>
      <c r="Q82" s="6"/>
      <c r="R82" s="6" t="s">
        <v>25</v>
      </c>
    </row>
    <row r="83" spans="1:18" x14ac:dyDescent="0.3">
      <c r="A83" s="5">
        <v>46120</v>
      </c>
      <c r="B83" t="s">
        <v>19</v>
      </c>
      <c r="C83">
        <v>1</v>
      </c>
      <c r="D83">
        <v>8</v>
      </c>
      <c r="E83" t="s">
        <v>27</v>
      </c>
      <c r="F83">
        <v>1</v>
      </c>
      <c r="G83">
        <f t="shared" si="1"/>
        <v>4</v>
      </c>
      <c r="H83" t="s">
        <v>209</v>
      </c>
      <c r="I83" s="6" t="s">
        <v>21</v>
      </c>
      <c r="J83" s="7" t="s">
        <v>28</v>
      </c>
      <c r="K83" s="7" t="s">
        <v>29</v>
      </c>
      <c r="L83" s="6" t="s">
        <v>30</v>
      </c>
      <c r="M83" s="6">
        <v>1</v>
      </c>
      <c r="N83" s="6"/>
      <c r="O83" s="6"/>
      <c r="P83" s="6"/>
      <c r="Q83" s="6"/>
      <c r="R83" s="6" t="s">
        <v>25</v>
      </c>
    </row>
    <row r="84" spans="1:18" x14ac:dyDescent="0.3">
      <c r="A84" s="5">
        <v>46120</v>
      </c>
      <c r="B84" t="s">
        <v>19</v>
      </c>
      <c r="C84">
        <v>1</v>
      </c>
      <c r="D84">
        <v>8</v>
      </c>
      <c r="E84" t="s">
        <v>42</v>
      </c>
      <c r="F84">
        <v>12.65</v>
      </c>
      <c r="G84">
        <f t="shared" si="1"/>
        <v>50.6</v>
      </c>
      <c r="H84" t="s">
        <v>210</v>
      </c>
      <c r="I84" s="6" t="s">
        <v>43</v>
      </c>
      <c r="J84" s="7" t="s">
        <v>44</v>
      </c>
      <c r="K84" s="7" t="s">
        <v>45</v>
      </c>
      <c r="L84" s="6" t="s">
        <v>46</v>
      </c>
      <c r="M84" s="6"/>
      <c r="N84" s="6"/>
      <c r="O84" s="6">
        <v>1</v>
      </c>
      <c r="P84" s="6"/>
      <c r="Q84" s="6"/>
      <c r="R84" s="6" t="s">
        <v>25</v>
      </c>
    </row>
    <row r="85" spans="1:18" x14ac:dyDescent="0.3">
      <c r="A85" s="5">
        <v>46120</v>
      </c>
      <c r="B85" t="s">
        <v>19</v>
      </c>
      <c r="C85">
        <v>1</v>
      </c>
      <c r="D85">
        <v>8</v>
      </c>
      <c r="E85" t="s">
        <v>68</v>
      </c>
      <c r="F85">
        <v>0.25</v>
      </c>
      <c r="G85">
        <f t="shared" si="1"/>
        <v>1</v>
      </c>
      <c r="H85" t="s">
        <v>210</v>
      </c>
      <c r="I85" s="6" t="s">
        <v>69</v>
      </c>
      <c r="J85" s="7" t="s">
        <v>68</v>
      </c>
      <c r="K85" s="7" t="s">
        <v>70</v>
      </c>
      <c r="L85" s="6" t="s">
        <v>71</v>
      </c>
      <c r="M85" s="6"/>
      <c r="N85" s="6"/>
      <c r="O85" s="6"/>
      <c r="P85" s="6"/>
      <c r="Q85" s="6">
        <v>1</v>
      </c>
      <c r="R85" s="6" t="s">
        <v>25</v>
      </c>
    </row>
    <row r="86" spans="1:18" x14ac:dyDescent="0.3">
      <c r="A86" s="5">
        <v>46120</v>
      </c>
      <c r="B86" t="s">
        <v>19</v>
      </c>
      <c r="C86">
        <v>1</v>
      </c>
      <c r="D86">
        <v>8</v>
      </c>
      <c r="E86" t="s">
        <v>138</v>
      </c>
      <c r="F86">
        <v>1.5</v>
      </c>
      <c r="G86">
        <f t="shared" si="1"/>
        <v>6</v>
      </c>
      <c r="I86" t="s">
        <v>48</v>
      </c>
      <c r="J86" t="s">
        <v>138</v>
      </c>
      <c r="K86" t="s">
        <v>139</v>
      </c>
      <c r="L86" t="s">
        <v>82</v>
      </c>
      <c r="Q86">
        <v>1</v>
      </c>
      <c r="R86" t="s">
        <v>25</v>
      </c>
    </row>
    <row r="87" spans="1:18" x14ac:dyDescent="0.3">
      <c r="A87" s="5">
        <v>46120</v>
      </c>
      <c r="B87" t="s">
        <v>19</v>
      </c>
      <c r="C87">
        <v>1</v>
      </c>
      <c r="D87">
        <v>8</v>
      </c>
      <c r="E87" t="s">
        <v>107</v>
      </c>
      <c r="F87">
        <v>1</v>
      </c>
      <c r="G87">
        <f t="shared" si="1"/>
        <v>4</v>
      </c>
      <c r="H87" t="s">
        <v>209</v>
      </c>
      <c r="I87" s="6" t="s">
        <v>21</v>
      </c>
      <c r="J87" s="7" t="s">
        <v>108</v>
      </c>
      <c r="K87" s="7" t="s">
        <v>109</v>
      </c>
      <c r="L87" s="6" t="s">
        <v>110</v>
      </c>
      <c r="M87" s="6">
        <v>1</v>
      </c>
      <c r="N87" s="6"/>
      <c r="O87" s="6"/>
      <c r="P87" s="6"/>
      <c r="Q87" s="6"/>
      <c r="R87" s="6" t="s">
        <v>25</v>
      </c>
    </row>
    <row r="88" spans="1:18" x14ac:dyDescent="0.3">
      <c r="A88" s="5">
        <v>46120</v>
      </c>
      <c r="B88" t="s">
        <v>19</v>
      </c>
      <c r="C88">
        <v>1</v>
      </c>
      <c r="D88">
        <v>8</v>
      </c>
      <c r="E88" t="s">
        <v>31</v>
      </c>
      <c r="F88">
        <v>0.5</v>
      </c>
      <c r="G88">
        <f t="shared" si="1"/>
        <v>2</v>
      </c>
      <c r="H88" t="s">
        <v>209</v>
      </c>
      <c r="I88" s="6" t="s">
        <v>21</v>
      </c>
      <c r="J88" s="7" t="s">
        <v>32</v>
      </c>
      <c r="K88" s="7" t="s">
        <v>33</v>
      </c>
      <c r="L88" s="6" t="s">
        <v>34</v>
      </c>
      <c r="M88" s="6">
        <v>1</v>
      </c>
      <c r="N88" s="6"/>
      <c r="O88" s="6"/>
      <c r="P88" s="6"/>
      <c r="Q88" s="6"/>
      <c r="R88" s="6" t="s">
        <v>25</v>
      </c>
    </row>
    <row r="89" spans="1:18" x14ac:dyDescent="0.3">
      <c r="A89" s="5">
        <v>46120</v>
      </c>
      <c r="B89" t="s">
        <v>19</v>
      </c>
      <c r="C89">
        <v>1</v>
      </c>
      <c r="D89">
        <v>8</v>
      </c>
      <c r="E89" t="s">
        <v>140</v>
      </c>
      <c r="F89">
        <v>0.1</v>
      </c>
      <c r="G89">
        <f t="shared" si="1"/>
        <v>0.4</v>
      </c>
      <c r="I89" s="6" t="s">
        <v>141</v>
      </c>
      <c r="J89" s="7" t="s">
        <v>142</v>
      </c>
      <c r="K89" s="7" t="s">
        <v>143</v>
      </c>
      <c r="L89" s="6" t="s">
        <v>82</v>
      </c>
      <c r="M89" s="6"/>
      <c r="N89" s="6"/>
      <c r="O89" s="6"/>
      <c r="P89" s="6">
        <v>1</v>
      </c>
      <c r="Q89" s="6"/>
      <c r="R89" s="6" t="s">
        <v>57</v>
      </c>
    </row>
    <row r="90" spans="1:18" x14ac:dyDescent="0.3">
      <c r="A90" s="5">
        <v>46120</v>
      </c>
      <c r="B90" t="s">
        <v>19</v>
      </c>
      <c r="C90">
        <v>1</v>
      </c>
      <c r="D90">
        <v>8</v>
      </c>
      <c r="E90" t="s">
        <v>76</v>
      </c>
      <c r="F90">
        <v>1</v>
      </c>
      <c r="G90">
        <f t="shared" si="1"/>
        <v>4</v>
      </c>
      <c r="H90" t="s">
        <v>239</v>
      </c>
    </row>
    <row r="91" spans="1:18" x14ac:dyDescent="0.3">
      <c r="A91" s="5">
        <v>46120</v>
      </c>
      <c r="B91" t="s">
        <v>19</v>
      </c>
      <c r="C91">
        <v>1</v>
      </c>
      <c r="D91">
        <v>9</v>
      </c>
      <c r="E91" t="s">
        <v>42</v>
      </c>
      <c r="F91">
        <v>14</v>
      </c>
      <c r="G91">
        <f t="shared" si="1"/>
        <v>56.000000000000007</v>
      </c>
      <c r="H91" t="s">
        <v>210</v>
      </c>
      <c r="I91" s="6" t="s">
        <v>43</v>
      </c>
      <c r="J91" s="7" t="s">
        <v>44</v>
      </c>
      <c r="K91" s="7" t="s">
        <v>45</v>
      </c>
      <c r="L91" s="6" t="s">
        <v>46</v>
      </c>
      <c r="M91" s="6"/>
      <c r="N91" s="6"/>
      <c r="O91" s="6">
        <v>1</v>
      </c>
      <c r="P91" s="6"/>
      <c r="Q91" s="6"/>
      <c r="R91" s="6" t="s">
        <v>25</v>
      </c>
    </row>
    <row r="92" spans="1:18" x14ac:dyDescent="0.3">
      <c r="A92" s="5">
        <v>46120</v>
      </c>
      <c r="B92" t="s">
        <v>19</v>
      </c>
      <c r="C92">
        <v>1</v>
      </c>
      <c r="D92">
        <v>9</v>
      </c>
      <c r="E92" t="s">
        <v>27</v>
      </c>
      <c r="F92">
        <v>4</v>
      </c>
      <c r="G92">
        <f t="shared" si="1"/>
        <v>16</v>
      </c>
      <c r="H92" t="s">
        <v>209</v>
      </c>
      <c r="I92" s="6" t="s">
        <v>21</v>
      </c>
      <c r="J92" s="7" t="s">
        <v>28</v>
      </c>
      <c r="K92" s="7" t="s">
        <v>29</v>
      </c>
      <c r="L92" s="6" t="s">
        <v>30</v>
      </c>
      <c r="M92" s="6">
        <v>1</v>
      </c>
      <c r="N92" s="6"/>
      <c r="O92" s="6"/>
      <c r="P92" s="6"/>
      <c r="Q92" s="6"/>
      <c r="R92" s="6" t="s">
        <v>25</v>
      </c>
    </row>
    <row r="93" spans="1:18" x14ac:dyDescent="0.3">
      <c r="A93" s="5">
        <v>46120</v>
      </c>
      <c r="B93" t="s">
        <v>19</v>
      </c>
      <c r="C93">
        <v>1</v>
      </c>
      <c r="D93">
        <v>9</v>
      </c>
      <c r="E93" t="s">
        <v>77</v>
      </c>
      <c r="F93">
        <v>2</v>
      </c>
      <c r="G93">
        <f t="shared" si="1"/>
        <v>8</v>
      </c>
      <c r="H93" t="s">
        <v>208</v>
      </c>
      <c r="I93" s="6" t="s">
        <v>21</v>
      </c>
      <c r="J93" s="7" t="s">
        <v>78</v>
      </c>
      <c r="K93" s="7" t="s">
        <v>79</v>
      </c>
      <c r="L93" s="6" t="s">
        <v>71</v>
      </c>
      <c r="M93" s="6">
        <v>1</v>
      </c>
      <c r="N93" s="6"/>
      <c r="O93" s="6"/>
      <c r="P93" s="6"/>
      <c r="Q93" s="6"/>
      <c r="R93" s="6" t="s">
        <v>25</v>
      </c>
    </row>
    <row r="94" spans="1:18" x14ac:dyDescent="0.3">
      <c r="A94" s="5">
        <v>46120</v>
      </c>
      <c r="B94" t="s">
        <v>19</v>
      </c>
      <c r="C94">
        <v>1</v>
      </c>
      <c r="D94">
        <v>9</v>
      </c>
      <c r="E94" t="s">
        <v>86</v>
      </c>
      <c r="F94">
        <v>1</v>
      </c>
      <c r="G94">
        <f t="shared" si="1"/>
        <v>4</v>
      </c>
      <c r="I94" s="6" t="s">
        <v>21</v>
      </c>
      <c r="J94" s="7" t="s">
        <v>87</v>
      </c>
      <c r="K94" s="7" t="s">
        <v>88</v>
      </c>
      <c r="L94" s="6" t="s">
        <v>89</v>
      </c>
      <c r="M94" s="6">
        <v>1</v>
      </c>
      <c r="N94" s="6"/>
      <c r="O94" s="6"/>
      <c r="P94" s="6"/>
      <c r="Q94" s="6"/>
      <c r="R94" s="6" t="s">
        <v>25</v>
      </c>
    </row>
    <row r="95" spans="1:18" x14ac:dyDescent="0.3">
      <c r="A95" s="5">
        <v>46120</v>
      </c>
      <c r="B95" t="s">
        <v>19</v>
      </c>
      <c r="C95">
        <v>1</v>
      </c>
      <c r="D95">
        <v>9</v>
      </c>
      <c r="E95" t="s">
        <v>114</v>
      </c>
      <c r="F95">
        <v>0.5</v>
      </c>
      <c r="G95">
        <f t="shared" si="1"/>
        <v>2</v>
      </c>
      <c r="H95" t="s">
        <v>210</v>
      </c>
      <c r="I95" s="6" t="s">
        <v>48</v>
      </c>
      <c r="J95" s="7" t="s">
        <v>115</v>
      </c>
      <c r="K95" s="7" t="s">
        <v>116</v>
      </c>
      <c r="L95" s="6" t="s">
        <v>117</v>
      </c>
      <c r="M95" s="6"/>
      <c r="N95" s="6"/>
      <c r="O95" s="6"/>
      <c r="P95" s="6"/>
      <c r="Q95" s="6">
        <v>1</v>
      </c>
      <c r="R95" s="6" t="s">
        <v>25</v>
      </c>
    </row>
    <row r="96" spans="1:18" x14ac:dyDescent="0.3">
      <c r="A96" s="5">
        <v>46120</v>
      </c>
      <c r="B96" t="s">
        <v>19</v>
      </c>
      <c r="C96">
        <v>1</v>
      </c>
      <c r="D96">
        <v>9</v>
      </c>
      <c r="E96" t="s">
        <v>31</v>
      </c>
      <c r="F96">
        <v>0.25</v>
      </c>
      <c r="G96">
        <f t="shared" si="1"/>
        <v>1</v>
      </c>
      <c r="H96" t="s">
        <v>209</v>
      </c>
      <c r="I96" s="6" t="s">
        <v>21</v>
      </c>
      <c r="J96" s="7" t="s">
        <v>32</v>
      </c>
      <c r="K96" s="7" t="s">
        <v>33</v>
      </c>
      <c r="L96" s="6" t="s">
        <v>34</v>
      </c>
      <c r="M96" s="6">
        <v>1</v>
      </c>
      <c r="N96" s="6"/>
      <c r="O96" s="6"/>
      <c r="P96" s="6"/>
      <c r="Q96" s="6"/>
      <c r="R96" s="6" t="s">
        <v>25</v>
      </c>
    </row>
    <row r="97" spans="1:18" x14ac:dyDescent="0.3">
      <c r="A97" s="5">
        <v>46120</v>
      </c>
      <c r="B97" t="s">
        <v>19</v>
      </c>
      <c r="C97">
        <v>1</v>
      </c>
      <c r="D97">
        <v>9</v>
      </c>
      <c r="E97" t="s">
        <v>39</v>
      </c>
      <c r="F97">
        <v>2</v>
      </c>
      <c r="G97">
        <f t="shared" si="1"/>
        <v>8</v>
      </c>
      <c r="H97" t="s">
        <v>209</v>
      </c>
      <c r="I97" s="6" t="s">
        <v>21</v>
      </c>
      <c r="J97" s="7" t="s">
        <v>39</v>
      </c>
      <c r="K97" s="7" t="s">
        <v>40</v>
      </c>
      <c r="L97" s="6" t="s">
        <v>41</v>
      </c>
      <c r="M97" s="6">
        <v>1</v>
      </c>
      <c r="N97" s="6"/>
      <c r="O97" s="6"/>
      <c r="P97" s="6"/>
      <c r="Q97" s="6"/>
      <c r="R97" s="6" t="s">
        <v>25</v>
      </c>
    </row>
    <row r="98" spans="1:18" x14ac:dyDescent="0.3">
      <c r="A98" s="5">
        <v>46120</v>
      </c>
      <c r="B98" t="s">
        <v>19</v>
      </c>
      <c r="C98">
        <v>1</v>
      </c>
      <c r="D98">
        <v>9</v>
      </c>
      <c r="E98" t="s">
        <v>144</v>
      </c>
      <c r="F98">
        <v>0.1</v>
      </c>
      <c r="G98">
        <f t="shared" si="1"/>
        <v>0.4</v>
      </c>
      <c r="I98" t="s">
        <v>21</v>
      </c>
      <c r="J98" t="s">
        <v>87</v>
      </c>
      <c r="K98" t="s">
        <v>145</v>
      </c>
      <c r="L98" t="s">
        <v>146</v>
      </c>
      <c r="M98">
        <v>1</v>
      </c>
      <c r="R98" t="s">
        <v>25</v>
      </c>
    </row>
    <row r="99" spans="1:18" x14ac:dyDescent="0.3">
      <c r="A99" s="5">
        <v>46120</v>
      </c>
      <c r="B99" t="s">
        <v>19</v>
      </c>
      <c r="C99">
        <v>1</v>
      </c>
      <c r="D99">
        <v>9</v>
      </c>
      <c r="E99" t="s">
        <v>99</v>
      </c>
      <c r="F99">
        <v>0.1</v>
      </c>
      <c r="G99">
        <f t="shared" si="1"/>
        <v>0.4</v>
      </c>
      <c r="H99" t="s">
        <v>12</v>
      </c>
      <c r="I99" s="6" t="s">
        <v>95</v>
      </c>
      <c r="J99" s="7" t="s">
        <v>96</v>
      </c>
      <c r="K99" s="7" t="s">
        <v>100</v>
      </c>
      <c r="L99" s="6" t="s">
        <v>101</v>
      </c>
      <c r="M99" s="6"/>
      <c r="N99" s="6">
        <v>1</v>
      </c>
      <c r="O99" s="6"/>
      <c r="P99" s="6"/>
      <c r="Q99" s="6"/>
      <c r="R99" s="6" t="s">
        <v>25</v>
      </c>
    </row>
    <row r="100" spans="1:18" x14ac:dyDescent="0.3">
      <c r="A100" s="5">
        <v>46120</v>
      </c>
      <c r="B100" t="s">
        <v>19</v>
      </c>
      <c r="C100">
        <v>1</v>
      </c>
      <c r="D100">
        <v>9</v>
      </c>
      <c r="E100" t="s">
        <v>76</v>
      </c>
      <c r="F100">
        <v>1.05</v>
      </c>
      <c r="G100">
        <f t="shared" si="1"/>
        <v>4.2</v>
      </c>
      <c r="H100" t="s">
        <v>239</v>
      </c>
    </row>
    <row r="101" spans="1:18" x14ac:dyDescent="0.3">
      <c r="A101" s="5">
        <v>46120</v>
      </c>
      <c r="B101" t="s">
        <v>19</v>
      </c>
      <c r="C101">
        <v>1</v>
      </c>
      <c r="D101">
        <v>10</v>
      </c>
      <c r="E101" t="s">
        <v>31</v>
      </c>
      <c r="F101">
        <v>1</v>
      </c>
      <c r="G101">
        <f t="shared" si="1"/>
        <v>4</v>
      </c>
      <c r="H101" t="s">
        <v>209</v>
      </c>
      <c r="I101" s="6" t="s">
        <v>21</v>
      </c>
      <c r="J101" s="7" t="s">
        <v>32</v>
      </c>
      <c r="K101" s="7" t="s">
        <v>33</v>
      </c>
      <c r="L101" s="6" t="s">
        <v>34</v>
      </c>
      <c r="M101" s="6">
        <v>1</v>
      </c>
      <c r="N101" s="6"/>
      <c r="O101" s="6"/>
      <c r="P101" s="6"/>
      <c r="Q101" s="6"/>
      <c r="R101" s="6" t="s">
        <v>25</v>
      </c>
    </row>
    <row r="102" spans="1:18" x14ac:dyDescent="0.3">
      <c r="A102" s="5">
        <v>46120</v>
      </c>
      <c r="B102" t="s">
        <v>19</v>
      </c>
      <c r="C102">
        <v>1</v>
      </c>
      <c r="D102">
        <v>10</v>
      </c>
      <c r="E102" t="s">
        <v>77</v>
      </c>
      <c r="F102">
        <v>2</v>
      </c>
      <c r="G102">
        <f t="shared" si="1"/>
        <v>8</v>
      </c>
      <c r="H102" t="s">
        <v>208</v>
      </c>
      <c r="I102" s="6" t="s">
        <v>21</v>
      </c>
      <c r="J102" s="7" t="s">
        <v>78</v>
      </c>
      <c r="K102" s="7" t="s">
        <v>79</v>
      </c>
      <c r="L102" s="6" t="s">
        <v>71</v>
      </c>
      <c r="M102" s="6">
        <v>1</v>
      </c>
      <c r="N102" s="6"/>
      <c r="O102" s="6"/>
      <c r="P102" s="6"/>
      <c r="Q102" s="6"/>
      <c r="R102" s="6" t="s">
        <v>25</v>
      </c>
    </row>
    <row r="103" spans="1:18" x14ac:dyDescent="0.3">
      <c r="A103" s="5">
        <v>46120</v>
      </c>
      <c r="B103" t="s">
        <v>19</v>
      </c>
      <c r="C103">
        <v>1</v>
      </c>
      <c r="D103">
        <v>10</v>
      </c>
      <c r="E103" t="s">
        <v>147</v>
      </c>
      <c r="F103">
        <v>1.5</v>
      </c>
      <c r="G103">
        <f t="shared" si="1"/>
        <v>6</v>
      </c>
      <c r="I103" s="6" t="s">
        <v>21</v>
      </c>
      <c r="J103" s="7" t="s">
        <v>148</v>
      </c>
      <c r="K103" s="7" t="s">
        <v>149</v>
      </c>
      <c r="L103" s="6" t="s">
        <v>150</v>
      </c>
      <c r="M103" s="6">
        <v>1</v>
      </c>
      <c r="N103" s="6"/>
      <c r="O103" s="6"/>
      <c r="P103" s="6"/>
      <c r="Q103" s="6"/>
      <c r="R103" s="6" t="s">
        <v>25</v>
      </c>
    </row>
    <row r="104" spans="1:18" x14ac:dyDescent="0.3">
      <c r="A104" s="5">
        <v>46120</v>
      </c>
      <c r="B104" t="s">
        <v>19</v>
      </c>
      <c r="C104">
        <v>1</v>
      </c>
      <c r="D104">
        <v>10</v>
      </c>
      <c r="E104" t="s">
        <v>114</v>
      </c>
      <c r="F104">
        <v>0.5</v>
      </c>
      <c r="G104">
        <f t="shared" si="1"/>
        <v>2</v>
      </c>
      <c r="H104" t="s">
        <v>210</v>
      </c>
      <c r="I104" s="6" t="s">
        <v>48</v>
      </c>
      <c r="J104" s="7" t="s">
        <v>115</v>
      </c>
      <c r="K104" s="7" t="s">
        <v>116</v>
      </c>
      <c r="L104" s="6" t="s">
        <v>117</v>
      </c>
      <c r="M104" s="6"/>
      <c r="N104" s="6"/>
      <c r="O104" s="6"/>
      <c r="P104" s="6"/>
      <c r="Q104" s="6">
        <v>1</v>
      </c>
      <c r="R104" s="6" t="s">
        <v>25</v>
      </c>
    </row>
    <row r="105" spans="1:18" x14ac:dyDescent="0.3">
      <c r="A105" s="5">
        <v>46120</v>
      </c>
      <c r="B105" t="s">
        <v>19</v>
      </c>
      <c r="C105">
        <v>1</v>
      </c>
      <c r="D105">
        <v>10</v>
      </c>
      <c r="E105" t="s">
        <v>35</v>
      </c>
      <c r="F105">
        <v>2.5</v>
      </c>
      <c r="G105">
        <f t="shared" si="1"/>
        <v>10</v>
      </c>
      <c r="H105" t="s">
        <v>208</v>
      </c>
      <c r="I105" s="6" t="s">
        <v>21</v>
      </c>
      <c r="J105" s="6" t="s">
        <v>36</v>
      </c>
      <c r="K105" s="6" t="s">
        <v>37</v>
      </c>
      <c r="L105" s="6" t="s">
        <v>38</v>
      </c>
      <c r="M105" s="6">
        <v>1</v>
      </c>
      <c r="N105" s="6"/>
      <c r="O105" s="6"/>
      <c r="P105" s="6"/>
      <c r="Q105" s="6"/>
      <c r="R105" s="6" t="s">
        <v>25</v>
      </c>
    </row>
    <row r="106" spans="1:18" x14ac:dyDescent="0.3">
      <c r="A106" s="5">
        <v>46120</v>
      </c>
      <c r="B106" t="s">
        <v>19</v>
      </c>
      <c r="C106">
        <v>1</v>
      </c>
      <c r="D106">
        <v>10</v>
      </c>
      <c r="E106" t="s">
        <v>94</v>
      </c>
      <c r="F106">
        <v>0.1</v>
      </c>
      <c r="G106">
        <f t="shared" si="1"/>
        <v>0.4</v>
      </c>
      <c r="H106" t="s">
        <v>12</v>
      </c>
      <c r="I106" s="6" t="s">
        <v>95</v>
      </c>
      <c r="J106" s="7" t="s">
        <v>96</v>
      </c>
      <c r="K106" s="7" t="s">
        <v>97</v>
      </c>
      <c r="L106" s="6" t="s">
        <v>98</v>
      </c>
      <c r="M106" s="6"/>
      <c r="N106" s="6">
        <v>1</v>
      </c>
      <c r="O106" s="6"/>
      <c r="P106" s="6"/>
      <c r="Q106" s="6"/>
      <c r="R106" s="6" t="s">
        <v>25</v>
      </c>
    </row>
    <row r="107" spans="1:18" x14ac:dyDescent="0.3">
      <c r="A107" s="5">
        <v>46120</v>
      </c>
      <c r="B107" t="s">
        <v>19</v>
      </c>
      <c r="C107">
        <v>1</v>
      </c>
      <c r="D107">
        <v>10</v>
      </c>
      <c r="E107" t="s">
        <v>27</v>
      </c>
      <c r="F107">
        <v>1.5</v>
      </c>
      <c r="G107">
        <f t="shared" si="1"/>
        <v>6</v>
      </c>
      <c r="H107" t="s">
        <v>209</v>
      </c>
      <c r="I107" s="6" t="s">
        <v>21</v>
      </c>
      <c r="J107" s="7" t="s">
        <v>28</v>
      </c>
      <c r="K107" s="7" t="s">
        <v>29</v>
      </c>
      <c r="L107" s="6" t="s">
        <v>30</v>
      </c>
      <c r="M107" s="6">
        <v>1</v>
      </c>
      <c r="N107" s="6"/>
      <c r="O107" s="6"/>
      <c r="P107" s="6"/>
      <c r="Q107" s="6"/>
      <c r="R107" s="6" t="s">
        <v>25</v>
      </c>
    </row>
    <row r="108" spans="1:18" x14ac:dyDescent="0.3">
      <c r="A108" s="5">
        <v>46120</v>
      </c>
      <c r="B108" t="s">
        <v>19</v>
      </c>
      <c r="C108">
        <v>1</v>
      </c>
      <c r="D108">
        <v>10</v>
      </c>
      <c r="E108" t="s">
        <v>42</v>
      </c>
      <c r="F108">
        <v>7</v>
      </c>
      <c r="G108">
        <f t="shared" si="1"/>
        <v>28.000000000000004</v>
      </c>
      <c r="H108" t="s">
        <v>210</v>
      </c>
      <c r="I108" s="6" t="s">
        <v>43</v>
      </c>
      <c r="J108" s="7" t="s">
        <v>44</v>
      </c>
      <c r="K108" s="7" t="s">
        <v>45</v>
      </c>
      <c r="L108" s="6" t="s">
        <v>46</v>
      </c>
      <c r="M108" s="6"/>
      <c r="N108" s="6"/>
      <c r="O108" s="6">
        <v>1</v>
      </c>
      <c r="P108" s="6"/>
      <c r="Q108" s="6"/>
      <c r="R108" s="6" t="s">
        <v>25</v>
      </c>
    </row>
    <row r="109" spans="1:18" x14ac:dyDescent="0.3">
      <c r="A109" s="5">
        <v>46120</v>
      </c>
      <c r="B109" t="s">
        <v>19</v>
      </c>
      <c r="C109">
        <v>1</v>
      </c>
      <c r="D109">
        <v>10</v>
      </c>
      <c r="E109" t="s">
        <v>72</v>
      </c>
      <c r="F109">
        <v>5.8</v>
      </c>
      <c r="G109">
        <f t="shared" si="1"/>
        <v>23.2</v>
      </c>
      <c r="H109" t="s">
        <v>211</v>
      </c>
      <c r="I109" s="6" t="s">
        <v>21</v>
      </c>
      <c r="J109" s="7" t="s">
        <v>73</v>
      </c>
      <c r="K109" s="7" t="s">
        <v>74</v>
      </c>
      <c r="L109" s="6" t="s">
        <v>75</v>
      </c>
      <c r="M109" s="6">
        <v>1</v>
      </c>
      <c r="N109" s="6"/>
      <c r="O109" s="6"/>
      <c r="P109" s="6"/>
      <c r="Q109" s="6"/>
      <c r="R109" s="6" t="s">
        <v>25</v>
      </c>
    </row>
    <row r="110" spans="1:18" x14ac:dyDescent="0.3">
      <c r="A110" s="5">
        <v>46120</v>
      </c>
      <c r="B110" t="s">
        <v>19</v>
      </c>
      <c r="C110">
        <v>1</v>
      </c>
      <c r="D110">
        <v>10</v>
      </c>
      <c r="E110" t="s">
        <v>138</v>
      </c>
      <c r="F110">
        <v>0.1</v>
      </c>
      <c r="G110">
        <f t="shared" si="1"/>
        <v>0.4</v>
      </c>
      <c r="I110" t="s">
        <v>48</v>
      </c>
      <c r="J110" t="s">
        <v>138</v>
      </c>
      <c r="K110" t="s">
        <v>139</v>
      </c>
      <c r="L110" t="s">
        <v>82</v>
      </c>
      <c r="Q110">
        <v>1</v>
      </c>
      <c r="R110" t="s">
        <v>25</v>
      </c>
    </row>
    <row r="111" spans="1:18" x14ac:dyDescent="0.3">
      <c r="A111" s="5">
        <v>46120</v>
      </c>
      <c r="B111" t="s">
        <v>19</v>
      </c>
      <c r="C111">
        <v>1</v>
      </c>
      <c r="D111">
        <v>10</v>
      </c>
      <c r="E111" t="s">
        <v>52</v>
      </c>
      <c r="F111">
        <v>0.5</v>
      </c>
      <c r="G111">
        <f t="shared" si="1"/>
        <v>2</v>
      </c>
      <c r="H111" t="s">
        <v>210</v>
      </c>
      <c r="I111" s="6" t="s">
        <v>53</v>
      </c>
      <c r="J111" s="7" t="s">
        <v>54</v>
      </c>
      <c r="K111" s="7" t="s">
        <v>55</v>
      </c>
      <c r="L111" s="6" t="s">
        <v>56</v>
      </c>
      <c r="M111" s="6"/>
      <c r="N111" s="6"/>
      <c r="O111" s="6"/>
      <c r="P111" s="6">
        <v>1</v>
      </c>
      <c r="Q111" s="6"/>
      <c r="R111" s="6" t="s">
        <v>57</v>
      </c>
    </row>
    <row r="112" spans="1:18" x14ac:dyDescent="0.3">
      <c r="A112" s="5">
        <v>46120</v>
      </c>
      <c r="B112" t="s">
        <v>19</v>
      </c>
      <c r="C112">
        <v>1</v>
      </c>
      <c r="D112">
        <v>10</v>
      </c>
      <c r="E112" t="s">
        <v>151</v>
      </c>
      <c r="F112">
        <v>0.25</v>
      </c>
      <c r="G112">
        <f t="shared" si="1"/>
        <v>1</v>
      </c>
      <c r="H112" t="s">
        <v>208</v>
      </c>
      <c r="I112" t="s">
        <v>21</v>
      </c>
      <c r="J112" t="s">
        <v>32</v>
      </c>
      <c r="K112" t="s">
        <v>152</v>
      </c>
      <c r="L112" t="s">
        <v>38</v>
      </c>
      <c r="M112">
        <v>1</v>
      </c>
      <c r="R112" t="s">
        <v>25</v>
      </c>
    </row>
    <row r="113" spans="1:18" x14ac:dyDescent="0.3">
      <c r="A113" s="5">
        <v>46120</v>
      </c>
      <c r="B113" t="s">
        <v>19</v>
      </c>
      <c r="C113">
        <v>1</v>
      </c>
      <c r="D113">
        <v>10</v>
      </c>
      <c r="E113" t="s">
        <v>63</v>
      </c>
      <c r="F113">
        <v>0.25</v>
      </c>
      <c r="G113">
        <f t="shared" si="1"/>
        <v>1</v>
      </c>
      <c r="I113" s="6" t="s">
        <v>64</v>
      </c>
      <c r="J113" s="7" t="s">
        <v>65</v>
      </c>
      <c r="K113" s="7" t="s">
        <v>66</v>
      </c>
      <c r="L113" s="6" t="s">
        <v>67</v>
      </c>
      <c r="M113" s="6"/>
      <c r="N113" s="6"/>
      <c r="O113" s="6"/>
      <c r="P113" s="6">
        <v>1</v>
      </c>
      <c r="Q113" s="6"/>
      <c r="R113" s="6" t="s">
        <v>25</v>
      </c>
    </row>
    <row r="114" spans="1:18" x14ac:dyDescent="0.3">
      <c r="A114" s="5">
        <v>46120</v>
      </c>
      <c r="B114" t="s">
        <v>19</v>
      </c>
      <c r="C114">
        <v>1</v>
      </c>
      <c r="D114">
        <v>10</v>
      </c>
      <c r="E114" t="s">
        <v>76</v>
      </c>
      <c r="F114">
        <v>2</v>
      </c>
      <c r="G114">
        <f t="shared" si="1"/>
        <v>8</v>
      </c>
      <c r="H114" t="s">
        <v>239</v>
      </c>
    </row>
    <row r="115" spans="1:18" x14ac:dyDescent="0.3">
      <c r="A115" s="5">
        <v>46120</v>
      </c>
      <c r="B115" t="s">
        <v>19</v>
      </c>
      <c r="C115">
        <v>2</v>
      </c>
      <c r="D115">
        <v>10</v>
      </c>
      <c r="E115" t="s">
        <v>35</v>
      </c>
      <c r="F115">
        <v>2</v>
      </c>
      <c r="G115">
        <f t="shared" si="1"/>
        <v>8</v>
      </c>
      <c r="H115" t="s">
        <v>208</v>
      </c>
      <c r="I115" s="6" t="s">
        <v>21</v>
      </c>
      <c r="J115" s="6" t="s">
        <v>36</v>
      </c>
      <c r="K115" s="6" t="s">
        <v>37</v>
      </c>
      <c r="L115" s="6" t="s">
        <v>38</v>
      </c>
      <c r="M115" s="6">
        <v>1</v>
      </c>
      <c r="N115" s="6"/>
      <c r="O115" s="6"/>
      <c r="P115" s="6"/>
      <c r="Q115" s="6"/>
      <c r="R115" s="6" t="s">
        <v>25</v>
      </c>
    </row>
    <row r="116" spans="1:18" x14ac:dyDescent="0.3">
      <c r="A116" s="5">
        <v>46120</v>
      </c>
      <c r="B116" t="s">
        <v>19</v>
      </c>
      <c r="C116">
        <v>2</v>
      </c>
      <c r="D116">
        <v>10</v>
      </c>
      <c r="E116" t="s">
        <v>27</v>
      </c>
      <c r="F116">
        <v>11</v>
      </c>
      <c r="G116">
        <f t="shared" si="1"/>
        <v>44</v>
      </c>
      <c r="H116" t="s">
        <v>209</v>
      </c>
      <c r="I116" s="6" t="s">
        <v>21</v>
      </c>
      <c r="J116" s="7" t="s">
        <v>28</v>
      </c>
      <c r="K116" s="7" t="s">
        <v>29</v>
      </c>
      <c r="L116" s="6" t="s">
        <v>30</v>
      </c>
      <c r="M116" s="6">
        <v>1</v>
      </c>
      <c r="N116" s="6"/>
      <c r="O116" s="6"/>
      <c r="P116" s="6"/>
      <c r="Q116" s="6"/>
      <c r="R116" s="6" t="s">
        <v>25</v>
      </c>
    </row>
    <row r="117" spans="1:18" x14ac:dyDescent="0.3">
      <c r="A117" s="5">
        <v>46120</v>
      </c>
      <c r="B117" t="s">
        <v>19</v>
      </c>
      <c r="C117">
        <v>2</v>
      </c>
      <c r="D117">
        <v>10</v>
      </c>
      <c r="E117" t="s">
        <v>86</v>
      </c>
      <c r="F117">
        <v>1</v>
      </c>
      <c r="G117">
        <f t="shared" si="1"/>
        <v>4</v>
      </c>
      <c r="H117" t="s">
        <v>208</v>
      </c>
      <c r="I117" s="6" t="s">
        <v>21</v>
      </c>
      <c r="J117" s="7" t="s">
        <v>87</v>
      </c>
      <c r="K117" s="7" t="s">
        <v>88</v>
      </c>
      <c r="L117" s="6" t="s">
        <v>89</v>
      </c>
      <c r="M117" s="6">
        <v>1</v>
      </c>
      <c r="N117" s="6"/>
      <c r="O117" s="6"/>
      <c r="P117" s="6"/>
      <c r="Q117" s="6"/>
      <c r="R117" s="6" t="s">
        <v>25</v>
      </c>
    </row>
    <row r="118" spans="1:18" x14ac:dyDescent="0.3">
      <c r="A118" s="5">
        <v>46120</v>
      </c>
      <c r="B118" t="s">
        <v>19</v>
      </c>
      <c r="C118">
        <v>2</v>
      </c>
      <c r="D118">
        <v>10</v>
      </c>
      <c r="E118" t="s">
        <v>42</v>
      </c>
      <c r="F118">
        <v>2</v>
      </c>
      <c r="G118">
        <f t="shared" si="1"/>
        <v>8</v>
      </c>
      <c r="H118" t="s">
        <v>210</v>
      </c>
      <c r="I118" s="6" t="s">
        <v>43</v>
      </c>
      <c r="J118" s="7" t="s">
        <v>44</v>
      </c>
      <c r="K118" s="7" t="s">
        <v>45</v>
      </c>
      <c r="L118" s="6" t="s">
        <v>46</v>
      </c>
      <c r="M118" s="6"/>
      <c r="N118" s="6"/>
      <c r="O118" s="6">
        <v>1</v>
      </c>
      <c r="P118" s="6"/>
      <c r="Q118" s="6"/>
      <c r="R118" s="6" t="s">
        <v>25</v>
      </c>
    </row>
    <row r="119" spans="1:18" x14ac:dyDescent="0.3">
      <c r="A119" s="5">
        <v>46120</v>
      </c>
      <c r="B119" t="s">
        <v>19</v>
      </c>
      <c r="C119">
        <v>2</v>
      </c>
      <c r="D119">
        <v>10</v>
      </c>
      <c r="E119" t="s">
        <v>52</v>
      </c>
      <c r="F119">
        <v>0.5</v>
      </c>
      <c r="G119">
        <f t="shared" si="1"/>
        <v>2</v>
      </c>
      <c r="H119" t="s">
        <v>210</v>
      </c>
      <c r="I119" s="6" t="s">
        <v>53</v>
      </c>
      <c r="J119" s="7" t="s">
        <v>54</v>
      </c>
      <c r="K119" s="7" t="s">
        <v>55</v>
      </c>
      <c r="L119" s="6" t="s">
        <v>56</v>
      </c>
      <c r="M119" s="6"/>
      <c r="N119" s="6"/>
      <c r="O119" s="6"/>
      <c r="P119" s="6">
        <v>1</v>
      </c>
      <c r="Q119" s="6"/>
      <c r="R119" s="6" t="s">
        <v>57</v>
      </c>
    </row>
    <row r="120" spans="1:18" x14ac:dyDescent="0.3">
      <c r="A120" s="5">
        <v>46120</v>
      </c>
      <c r="B120" t="s">
        <v>19</v>
      </c>
      <c r="C120">
        <v>2</v>
      </c>
      <c r="D120">
        <v>10</v>
      </c>
      <c r="E120" t="s">
        <v>153</v>
      </c>
      <c r="F120">
        <v>0.25</v>
      </c>
      <c r="G120">
        <f t="shared" si="1"/>
        <v>1</v>
      </c>
      <c r="H120" t="s">
        <v>210</v>
      </c>
      <c r="I120" s="6" t="s">
        <v>121</v>
      </c>
      <c r="J120" s="7" t="s">
        <v>154</v>
      </c>
      <c r="K120" s="7" t="s">
        <v>155</v>
      </c>
      <c r="L120" s="6" t="s">
        <v>156</v>
      </c>
      <c r="Q120">
        <v>1</v>
      </c>
      <c r="R120" t="s">
        <v>25</v>
      </c>
    </row>
    <row r="121" spans="1:18" x14ac:dyDescent="0.3">
      <c r="A121" s="5">
        <v>46120</v>
      </c>
      <c r="B121" t="s">
        <v>19</v>
      </c>
      <c r="C121">
        <v>2</v>
      </c>
      <c r="D121">
        <v>10</v>
      </c>
      <c r="E121" t="s">
        <v>90</v>
      </c>
      <c r="F121">
        <v>0.25</v>
      </c>
      <c r="G121">
        <f t="shared" si="1"/>
        <v>1</v>
      </c>
      <c r="H121" t="s">
        <v>210</v>
      </c>
      <c r="I121" s="6" t="s">
        <v>43</v>
      </c>
      <c r="J121" s="7" t="s">
        <v>91</v>
      </c>
      <c r="K121" s="7" t="s">
        <v>92</v>
      </c>
      <c r="L121" s="6" t="s">
        <v>93</v>
      </c>
      <c r="M121" s="6"/>
      <c r="N121" s="6"/>
      <c r="O121" s="6">
        <v>1</v>
      </c>
      <c r="P121" s="6"/>
      <c r="Q121" s="6"/>
      <c r="R121" s="6" t="s">
        <v>57</v>
      </c>
    </row>
    <row r="122" spans="1:18" x14ac:dyDescent="0.3">
      <c r="A122" s="5">
        <v>46120</v>
      </c>
      <c r="B122" t="s">
        <v>19</v>
      </c>
      <c r="C122">
        <v>2</v>
      </c>
      <c r="D122">
        <v>10</v>
      </c>
      <c r="E122" t="s">
        <v>134</v>
      </c>
      <c r="F122">
        <v>0.5</v>
      </c>
      <c r="G122">
        <f t="shared" si="1"/>
        <v>2</v>
      </c>
      <c r="H122" t="s">
        <v>210</v>
      </c>
      <c r="I122" s="6" t="s">
        <v>135</v>
      </c>
      <c r="J122" s="7" t="s">
        <v>134</v>
      </c>
      <c r="K122" s="7" t="s">
        <v>136</v>
      </c>
      <c r="L122" s="6" t="s">
        <v>137</v>
      </c>
      <c r="M122" s="6"/>
      <c r="N122" s="6"/>
      <c r="O122" s="6"/>
      <c r="P122" s="6">
        <v>1</v>
      </c>
      <c r="Q122" s="6"/>
      <c r="R122" s="6" t="s">
        <v>25</v>
      </c>
    </row>
    <row r="123" spans="1:18" x14ac:dyDescent="0.3">
      <c r="A123" s="5">
        <v>46120</v>
      </c>
      <c r="B123" t="s">
        <v>19</v>
      </c>
      <c r="C123">
        <v>2</v>
      </c>
      <c r="D123">
        <v>10</v>
      </c>
      <c r="E123" t="s">
        <v>151</v>
      </c>
      <c r="F123">
        <v>0.5</v>
      </c>
      <c r="G123">
        <f t="shared" si="1"/>
        <v>2</v>
      </c>
      <c r="H123" t="s">
        <v>208</v>
      </c>
      <c r="I123" t="s">
        <v>21</v>
      </c>
      <c r="J123" t="s">
        <v>32</v>
      </c>
      <c r="K123" t="s">
        <v>152</v>
      </c>
      <c r="L123" t="s">
        <v>38</v>
      </c>
      <c r="M123">
        <v>1</v>
      </c>
      <c r="R123" t="s">
        <v>25</v>
      </c>
    </row>
    <row r="124" spans="1:18" x14ac:dyDescent="0.3">
      <c r="A124" s="5">
        <v>46120</v>
      </c>
      <c r="B124" t="s">
        <v>19</v>
      </c>
      <c r="C124">
        <v>2</v>
      </c>
      <c r="D124">
        <v>10</v>
      </c>
      <c r="E124" t="s">
        <v>20</v>
      </c>
      <c r="F124">
        <v>1</v>
      </c>
      <c r="G124">
        <f t="shared" si="1"/>
        <v>4</v>
      </c>
      <c r="H124" t="s">
        <v>208</v>
      </c>
      <c r="I124" s="6" t="s">
        <v>21</v>
      </c>
      <c r="J124" s="7" t="s">
        <v>22</v>
      </c>
      <c r="K124" s="7" t="s">
        <v>23</v>
      </c>
      <c r="L124" s="6" t="s">
        <v>24</v>
      </c>
      <c r="M124" s="6">
        <v>1</v>
      </c>
      <c r="N124" s="6">
        <v>0</v>
      </c>
      <c r="O124" s="6">
        <v>0</v>
      </c>
      <c r="P124" s="6">
        <v>0</v>
      </c>
      <c r="Q124" s="6"/>
      <c r="R124" s="6" t="s">
        <v>25</v>
      </c>
    </row>
    <row r="125" spans="1:18" x14ac:dyDescent="0.3">
      <c r="A125" s="5">
        <v>46120</v>
      </c>
      <c r="B125" t="s">
        <v>19</v>
      </c>
      <c r="C125">
        <v>2</v>
      </c>
      <c r="D125">
        <v>10</v>
      </c>
      <c r="E125" t="s">
        <v>76</v>
      </c>
      <c r="F125">
        <v>6</v>
      </c>
      <c r="G125">
        <f t="shared" si="1"/>
        <v>24</v>
      </c>
      <c r="H125" t="s">
        <v>239</v>
      </c>
    </row>
    <row r="126" spans="1:18" x14ac:dyDescent="0.3">
      <c r="A126" s="5">
        <v>46120</v>
      </c>
      <c r="B126" t="s">
        <v>19</v>
      </c>
      <c r="C126">
        <v>2</v>
      </c>
      <c r="D126">
        <v>9</v>
      </c>
      <c r="E126" t="s">
        <v>39</v>
      </c>
      <c r="F126">
        <v>3</v>
      </c>
      <c r="G126">
        <f t="shared" si="1"/>
        <v>12</v>
      </c>
      <c r="H126" t="s">
        <v>209</v>
      </c>
      <c r="I126" s="6" t="s">
        <v>21</v>
      </c>
      <c r="J126" s="7" t="s">
        <v>39</v>
      </c>
      <c r="K126" s="7" t="s">
        <v>40</v>
      </c>
      <c r="L126" s="6" t="s">
        <v>41</v>
      </c>
      <c r="M126" s="6">
        <v>1</v>
      </c>
      <c r="N126" s="6"/>
      <c r="O126" s="6"/>
      <c r="P126" s="6"/>
      <c r="Q126" s="6"/>
      <c r="R126" s="6" t="s">
        <v>25</v>
      </c>
    </row>
    <row r="127" spans="1:18" x14ac:dyDescent="0.3">
      <c r="A127" s="5">
        <v>46120</v>
      </c>
      <c r="B127" t="s">
        <v>19</v>
      </c>
      <c r="C127">
        <v>2</v>
      </c>
      <c r="D127">
        <v>9</v>
      </c>
      <c r="E127" t="s">
        <v>20</v>
      </c>
      <c r="F127">
        <v>4</v>
      </c>
      <c r="G127">
        <f t="shared" si="1"/>
        <v>16</v>
      </c>
      <c r="H127" t="s">
        <v>208</v>
      </c>
      <c r="I127" s="6" t="s">
        <v>21</v>
      </c>
      <c r="J127" s="7" t="s">
        <v>22</v>
      </c>
      <c r="K127" s="7" t="s">
        <v>23</v>
      </c>
      <c r="L127" s="6" t="s">
        <v>24</v>
      </c>
      <c r="M127" s="6">
        <v>1</v>
      </c>
      <c r="N127" s="6">
        <v>0</v>
      </c>
      <c r="O127" s="6">
        <v>0</v>
      </c>
      <c r="P127" s="6">
        <v>0</v>
      </c>
      <c r="Q127" s="6"/>
      <c r="R127" s="6" t="s">
        <v>25</v>
      </c>
    </row>
    <row r="128" spans="1:18" x14ac:dyDescent="0.3">
      <c r="A128" s="5">
        <v>46120</v>
      </c>
      <c r="B128" t="s">
        <v>19</v>
      </c>
      <c r="C128">
        <v>2</v>
      </c>
      <c r="D128">
        <v>9</v>
      </c>
      <c r="E128" t="s">
        <v>31</v>
      </c>
      <c r="F128">
        <v>0.5</v>
      </c>
      <c r="G128">
        <f t="shared" si="1"/>
        <v>2</v>
      </c>
      <c r="H128" t="s">
        <v>209</v>
      </c>
      <c r="I128" s="6" t="s">
        <v>21</v>
      </c>
      <c r="J128" s="7" t="s">
        <v>32</v>
      </c>
      <c r="K128" s="7" t="s">
        <v>33</v>
      </c>
      <c r="L128" s="6" t="s">
        <v>34</v>
      </c>
      <c r="M128" s="6">
        <v>1</v>
      </c>
      <c r="N128" s="6"/>
      <c r="O128" s="6"/>
      <c r="P128" s="6"/>
      <c r="Q128" s="6"/>
      <c r="R128" s="6" t="s">
        <v>25</v>
      </c>
    </row>
    <row r="129" spans="1:18" x14ac:dyDescent="0.3">
      <c r="A129" s="5">
        <v>46120</v>
      </c>
      <c r="B129" t="s">
        <v>19</v>
      </c>
      <c r="C129">
        <v>2</v>
      </c>
      <c r="D129">
        <v>9</v>
      </c>
      <c r="E129" t="s">
        <v>157</v>
      </c>
      <c r="F129">
        <v>0.25</v>
      </c>
      <c r="G129">
        <f t="shared" si="1"/>
        <v>1</v>
      </c>
      <c r="H129" t="s">
        <v>210</v>
      </c>
      <c r="I129" s="6" t="s">
        <v>48</v>
      </c>
      <c r="J129" s="7" t="s">
        <v>157</v>
      </c>
      <c r="K129" s="7" t="s">
        <v>158</v>
      </c>
      <c r="L129" s="6" t="s">
        <v>159</v>
      </c>
      <c r="M129" s="6"/>
      <c r="N129" s="6"/>
      <c r="O129" s="6"/>
      <c r="P129" s="6"/>
      <c r="Q129" s="6">
        <v>1</v>
      </c>
      <c r="R129" s="6" t="s">
        <v>25</v>
      </c>
    </row>
    <row r="130" spans="1:18" x14ac:dyDescent="0.3">
      <c r="A130" s="5">
        <v>46120</v>
      </c>
      <c r="B130" t="s">
        <v>19</v>
      </c>
      <c r="C130">
        <v>2</v>
      </c>
      <c r="D130">
        <v>9</v>
      </c>
      <c r="E130" t="s">
        <v>160</v>
      </c>
      <c r="F130">
        <v>2</v>
      </c>
      <c r="G130">
        <f t="shared" si="1"/>
        <v>8</v>
      </c>
      <c r="H130" t="s">
        <v>210</v>
      </c>
      <c r="I130" s="6" t="s">
        <v>53</v>
      </c>
      <c r="J130" s="7" t="s">
        <v>161</v>
      </c>
      <c r="K130" s="7" t="s">
        <v>162</v>
      </c>
      <c r="L130" s="6" t="s">
        <v>163</v>
      </c>
      <c r="M130" s="6"/>
      <c r="N130" s="6"/>
      <c r="O130" s="6"/>
      <c r="P130" s="6">
        <v>1</v>
      </c>
      <c r="Q130" s="6"/>
      <c r="R130" s="6" t="s">
        <v>57</v>
      </c>
    </row>
    <row r="131" spans="1:18" x14ac:dyDescent="0.3">
      <c r="A131" s="5">
        <v>46120</v>
      </c>
      <c r="B131" t="s">
        <v>19</v>
      </c>
      <c r="C131">
        <v>2</v>
      </c>
      <c r="D131">
        <v>9</v>
      </c>
      <c r="E131" t="s">
        <v>107</v>
      </c>
      <c r="F131">
        <v>1.5</v>
      </c>
      <c r="G131">
        <f t="shared" si="1"/>
        <v>6</v>
      </c>
      <c r="H131" t="s">
        <v>209</v>
      </c>
      <c r="I131" s="6" t="s">
        <v>21</v>
      </c>
      <c r="J131" s="7" t="s">
        <v>108</v>
      </c>
      <c r="K131" s="7" t="s">
        <v>109</v>
      </c>
      <c r="L131" s="6" t="s">
        <v>110</v>
      </c>
      <c r="M131" s="6">
        <v>1</v>
      </c>
      <c r="N131" s="6"/>
      <c r="O131" s="6"/>
      <c r="P131" s="6"/>
      <c r="Q131" s="6"/>
      <c r="R131" s="6" t="s">
        <v>25</v>
      </c>
    </row>
    <row r="132" spans="1:18" x14ac:dyDescent="0.3">
      <c r="A132" s="5">
        <v>46120</v>
      </c>
      <c r="B132" t="s">
        <v>19</v>
      </c>
      <c r="C132">
        <v>2</v>
      </c>
      <c r="D132">
        <v>9</v>
      </c>
      <c r="E132" t="s">
        <v>77</v>
      </c>
      <c r="F132">
        <v>1</v>
      </c>
      <c r="G132">
        <f t="shared" si="1"/>
        <v>4</v>
      </c>
      <c r="H132" t="s">
        <v>208</v>
      </c>
      <c r="I132" s="6" t="s">
        <v>21</v>
      </c>
      <c r="J132" s="7" t="s">
        <v>78</v>
      </c>
      <c r="K132" s="7" t="s">
        <v>79</v>
      </c>
      <c r="L132" s="6" t="s">
        <v>71</v>
      </c>
      <c r="M132" s="6">
        <v>1</v>
      </c>
      <c r="N132" s="6"/>
      <c r="O132" s="6"/>
      <c r="P132" s="6"/>
      <c r="Q132" s="6"/>
      <c r="R132" s="6" t="s">
        <v>25</v>
      </c>
    </row>
    <row r="133" spans="1:18" x14ac:dyDescent="0.3">
      <c r="A133" s="5">
        <v>46120</v>
      </c>
      <c r="B133" t="s">
        <v>19</v>
      </c>
      <c r="C133">
        <v>2</v>
      </c>
      <c r="D133">
        <v>9</v>
      </c>
      <c r="E133" t="s">
        <v>42</v>
      </c>
      <c r="F133">
        <v>3</v>
      </c>
      <c r="G133">
        <f t="shared" si="1"/>
        <v>12</v>
      </c>
      <c r="H133" t="s">
        <v>210</v>
      </c>
      <c r="I133" s="6" t="s">
        <v>43</v>
      </c>
      <c r="J133" s="7" t="s">
        <v>44</v>
      </c>
      <c r="K133" s="7" t="s">
        <v>45</v>
      </c>
      <c r="L133" s="6" t="s">
        <v>46</v>
      </c>
      <c r="M133" s="6"/>
      <c r="N133" s="6"/>
      <c r="O133" s="6">
        <v>1</v>
      </c>
      <c r="P133" s="6"/>
      <c r="Q133" s="6"/>
      <c r="R133" s="6" t="s">
        <v>25</v>
      </c>
    </row>
    <row r="134" spans="1:18" x14ac:dyDescent="0.3">
      <c r="A134" s="5">
        <v>46120</v>
      </c>
      <c r="B134" t="s">
        <v>19</v>
      </c>
      <c r="C134">
        <v>2</v>
      </c>
      <c r="D134">
        <v>9</v>
      </c>
      <c r="E134" t="s">
        <v>120</v>
      </c>
      <c r="F134">
        <v>2</v>
      </c>
      <c r="G134">
        <f t="shared" si="1"/>
        <v>8</v>
      </c>
      <c r="H134" t="s">
        <v>210</v>
      </c>
      <c r="I134" s="6" t="s">
        <v>121</v>
      </c>
      <c r="J134" s="7" t="s">
        <v>120</v>
      </c>
      <c r="K134" s="7" t="s">
        <v>122</v>
      </c>
      <c r="L134" s="6" t="s">
        <v>123</v>
      </c>
      <c r="M134" s="6"/>
      <c r="N134" s="6"/>
      <c r="O134" s="6"/>
      <c r="P134" s="6">
        <v>1</v>
      </c>
      <c r="Q134" s="6"/>
      <c r="R134" s="6" t="s">
        <v>25</v>
      </c>
    </row>
    <row r="135" spans="1:18" x14ac:dyDescent="0.3">
      <c r="A135" s="5">
        <v>46120</v>
      </c>
      <c r="B135" t="s">
        <v>19</v>
      </c>
      <c r="C135">
        <v>2</v>
      </c>
      <c r="D135">
        <v>9</v>
      </c>
      <c r="E135" t="s">
        <v>80</v>
      </c>
      <c r="F135">
        <v>0.5</v>
      </c>
      <c r="G135">
        <f t="shared" ref="G135:G332" si="2">F135/25*100</f>
        <v>2</v>
      </c>
      <c r="H135" t="s">
        <v>210</v>
      </c>
      <c r="I135" s="6" t="s">
        <v>64</v>
      </c>
      <c r="J135" s="7" t="s">
        <v>65</v>
      </c>
      <c r="K135" s="7" t="s">
        <v>81</v>
      </c>
      <c r="L135" s="6" t="s">
        <v>82</v>
      </c>
      <c r="M135" s="6"/>
      <c r="N135" s="6"/>
      <c r="O135" s="6"/>
      <c r="P135" s="6">
        <v>1</v>
      </c>
      <c r="Q135" s="6"/>
      <c r="R135" s="6" t="s">
        <v>25</v>
      </c>
    </row>
    <row r="136" spans="1:18" x14ac:dyDescent="0.3">
      <c r="A136" s="5">
        <v>46120</v>
      </c>
      <c r="B136" t="s">
        <v>19</v>
      </c>
      <c r="C136">
        <v>2</v>
      </c>
      <c r="D136">
        <v>9</v>
      </c>
      <c r="E136" t="s">
        <v>153</v>
      </c>
      <c r="F136">
        <v>0.25</v>
      </c>
      <c r="G136">
        <f t="shared" si="2"/>
        <v>1</v>
      </c>
      <c r="H136" t="s">
        <v>210</v>
      </c>
      <c r="I136" s="6" t="s">
        <v>121</v>
      </c>
      <c r="J136" s="7" t="s">
        <v>154</v>
      </c>
      <c r="K136" s="7" t="s">
        <v>155</v>
      </c>
      <c r="L136" s="6" t="s">
        <v>156</v>
      </c>
      <c r="Q136">
        <v>1</v>
      </c>
      <c r="R136" t="s">
        <v>25</v>
      </c>
    </row>
    <row r="137" spans="1:18" x14ac:dyDescent="0.3">
      <c r="A137" s="5">
        <v>46120</v>
      </c>
      <c r="B137" t="s">
        <v>19</v>
      </c>
      <c r="C137">
        <v>2</v>
      </c>
      <c r="D137">
        <v>9</v>
      </c>
      <c r="E137" t="s">
        <v>90</v>
      </c>
      <c r="F137">
        <v>1</v>
      </c>
      <c r="G137">
        <f t="shared" si="2"/>
        <v>4</v>
      </c>
      <c r="H137" t="s">
        <v>210</v>
      </c>
      <c r="I137" s="6" t="s">
        <v>43</v>
      </c>
      <c r="J137" s="7" t="s">
        <v>91</v>
      </c>
      <c r="K137" s="7" t="s">
        <v>92</v>
      </c>
      <c r="L137" s="6" t="s">
        <v>93</v>
      </c>
      <c r="M137" s="6"/>
      <c r="N137" s="6"/>
      <c r="O137" s="6">
        <v>1</v>
      </c>
      <c r="P137" s="6"/>
      <c r="Q137" s="6"/>
      <c r="R137" s="6" t="s">
        <v>57</v>
      </c>
    </row>
    <row r="138" spans="1:18" x14ac:dyDescent="0.3">
      <c r="A138" s="5">
        <v>46120</v>
      </c>
      <c r="B138" t="s">
        <v>19</v>
      </c>
      <c r="C138">
        <v>2</v>
      </c>
      <c r="D138">
        <v>9</v>
      </c>
      <c r="E138" t="s">
        <v>27</v>
      </c>
      <c r="F138">
        <v>2</v>
      </c>
      <c r="G138">
        <f t="shared" si="2"/>
        <v>8</v>
      </c>
      <c r="H138" t="s">
        <v>209</v>
      </c>
      <c r="I138" s="6" t="s">
        <v>21</v>
      </c>
      <c r="J138" s="7" t="s">
        <v>28</v>
      </c>
      <c r="K138" s="7" t="s">
        <v>29</v>
      </c>
      <c r="L138" s="6" t="s">
        <v>30</v>
      </c>
      <c r="M138" s="6">
        <v>1</v>
      </c>
      <c r="N138" s="6"/>
      <c r="O138" s="6"/>
      <c r="P138" s="6"/>
      <c r="Q138" s="6"/>
      <c r="R138" s="6" t="s">
        <v>25</v>
      </c>
    </row>
    <row r="139" spans="1:18" x14ac:dyDescent="0.3">
      <c r="A139" s="5">
        <v>46120</v>
      </c>
      <c r="B139" t="s">
        <v>19</v>
      </c>
      <c r="C139">
        <v>2</v>
      </c>
      <c r="D139">
        <v>9</v>
      </c>
      <c r="E139" t="s">
        <v>76</v>
      </c>
      <c r="F139">
        <v>4</v>
      </c>
      <c r="G139">
        <f t="shared" si="2"/>
        <v>16</v>
      </c>
      <c r="H139" t="s">
        <v>239</v>
      </c>
    </row>
    <row r="140" spans="1:18" x14ac:dyDescent="0.3">
      <c r="A140" s="5">
        <v>46120</v>
      </c>
      <c r="B140" t="s">
        <v>19</v>
      </c>
      <c r="C140">
        <v>2</v>
      </c>
      <c r="D140">
        <v>8</v>
      </c>
      <c r="E140" t="s">
        <v>27</v>
      </c>
      <c r="F140">
        <v>4</v>
      </c>
      <c r="G140">
        <f t="shared" si="2"/>
        <v>16</v>
      </c>
      <c r="H140" t="s">
        <v>209</v>
      </c>
      <c r="I140" s="6" t="s">
        <v>21</v>
      </c>
      <c r="J140" s="7" t="s">
        <v>28</v>
      </c>
      <c r="K140" s="7" t="s">
        <v>29</v>
      </c>
      <c r="L140" s="6" t="s">
        <v>30</v>
      </c>
      <c r="M140" s="6">
        <v>1</v>
      </c>
      <c r="N140" s="6"/>
      <c r="O140" s="6"/>
      <c r="P140" s="6"/>
      <c r="Q140" s="6"/>
      <c r="R140" s="6" t="s">
        <v>25</v>
      </c>
    </row>
    <row r="141" spans="1:18" x14ac:dyDescent="0.3">
      <c r="A141" s="5">
        <v>46120</v>
      </c>
      <c r="B141" t="s">
        <v>19</v>
      </c>
      <c r="C141">
        <v>2</v>
      </c>
      <c r="D141">
        <v>8</v>
      </c>
      <c r="E141" t="s">
        <v>39</v>
      </c>
      <c r="F141">
        <v>4</v>
      </c>
      <c r="G141">
        <f t="shared" si="2"/>
        <v>16</v>
      </c>
      <c r="H141" t="s">
        <v>209</v>
      </c>
      <c r="I141" s="6" t="s">
        <v>21</v>
      </c>
      <c r="J141" s="7" t="s">
        <v>39</v>
      </c>
      <c r="K141" s="7" t="s">
        <v>40</v>
      </c>
      <c r="L141" s="6" t="s">
        <v>41</v>
      </c>
      <c r="M141" s="6">
        <v>1</v>
      </c>
      <c r="N141" s="6"/>
      <c r="O141" s="6"/>
      <c r="P141" s="6"/>
      <c r="Q141" s="6"/>
      <c r="R141" s="6" t="s">
        <v>25</v>
      </c>
    </row>
    <row r="142" spans="1:18" x14ac:dyDescent="0.3">
      <c r="A142" s="5">
        <v>46120</v>
      </c>
      <c r="B142" t="s">
        <v>19</v>
      </c>
      <c r="C142">
        <v>2</v>
      </c>
      <c r="D142">
        <v>8</v>
      </c>
      <c r="E142" t="s">
        <v>124</v>
      </c>
      <c r="F142">
        <v>0.5</v>
      </c>
      <c r="G142">
        <f t="shared" si="2"/>
        <v>2</v>
      </c>
      <c r="H142" t="s">
        <v>210</v>
      </c>
      <c r="I142" s="6" t="s">
        <v>48</v>
      </c>
      <c r="J142" s="7" t="s">
        <v>49</v>
      </c>
      <c r="K142" t="s">
        <v>106</v>
      </c>
      <c r="Q142">
        <v>1</v>
      </c>
    </row>
    <row r="143" spans="1:18" x14ac:dyDescent="0.3">
      <c r="A143" s="5">
        <v>46120</v>
      </c>
      <c r="B143" t="s">
        <v>19</v>
      </c>
      <c r="C143">
        <v>2</v>
      </c>
      <c r="D143">
        <v>8</v>
      </c>
      <c r="E143" t="s">
        <v>42</v>
      </c>
      <c r="F143">
        <v>6</v>
      </c>
      <c r="G143">
        <f t="shared" si="2"/>
        <v>24</v>
      </c>
      <c r="H143" t="s">
        <v>210</v>
      </c>
      <c r="I143" s="6" t="s">
        <v>43</v>
      </c>
      <c r="J143" s="7" t="s">
        <v>44</v>
      </c>
      <c r="K143" s="7" t="s">
        <v>45</v>
      </c>
      <c r="L143" s="6" t="s">
        <v>46</v>
      </c>
      <c r="M143" s="6"/>
      <c r="N143" s="6"/>
      <c r="O143" s="6">
        <v>1</v>
      </c>
      <c r="P143" s="6"/>
      <c r="Q143" s="6"/>
      <c r="R143" s="6" t="s">
        <v>25</v>
      </c>
    </row>
    <row r="144" spans="1:18" x14ac:dyDescent="0.3">
      <c r="A144" s="5">
        <v>46120</v>
      </c>
      <c r="B144" t="s">
        <v>19</v>
      </c>
      <c r="C144">
        <v>2</v>
      </c>
      <c r="D144">
        <v>8</v>
      </c>
      <c r="E144" t="s">
        <v>160</v>
      </c>
      <c r="F144">
        <v>1.25</v>
      </c>
      <c r="G144">
        <f t="shared" si="2"/>
        <v>5</v>
      </c>
      <c r="H144" t="s">
        <v>210</v>
      </c>
      <c r="I144" s="6" t="s">
        <v>53</v>
      </c>
      <c r="J144" s="7" t="s">
        <v>161</v>
      </c>
      <c r="K144" s="7" t="s">
        <v>162</v>
      </c>
      <c r="L144" s="6" t="s">
        <v>163</v>
      </c>
      <c r="M144" s="6"/>
      <c r="N144" s="6"/>
      <c r="O144" s="6"/>
      <c r="P144" s="6">
        <v>1</v>
      </c>
      <c r="Q144" s="6"/>
      <c r="R144" s="6" t="s">
        <v>57</v>
      </c>
    </row>
    <row r="145" spans="1:18" x14ac:dyDescent="0.3">
      <c r="A145" s="5">
        <v>46120</v>
      </c>
      <c r="B145" t="s">
        <v>19</v>
      </c>
      <c r="C145">
        <v>2</v>
      </c>
      <c r="D145">
        <v>8</v>
      </c>
      <c r="E145" t="s">
        <v>86</v>
      </c>
      <c r="F145">
        <v>0.5</v>
      </c>
      <c r="G145">
        <f t="shared" si="2"/>
        <v>2</v>
      </c>
      <c r="H145" t="s">
        <v>208</v>
      </c>
      <c r="I145" s="6" t="s">
        <v>21</v>
      </c>
      <c r="J145" s="7" t="s">
        <v>87</v>
      </c>
      <c r="K145" s="7" t="s">
        <v>88</v>
      </c>
      <c r="L145" s="6" t="s">
        <v>89</v>
      </c>
      <c r="M145" s="6">
        <v>1</v>
      </c>
      <c r="N145" s="6"/>
      <c r="O145" s="6"/>
      <c r="P145" s="6"/>
      <c r="Q145" s="6"/>
      <c r="R145" s="6" t="s">
        <v>25</v>
      </c>
    </row>
    <row r="146" spans="1:18" x14ac:dyDescent="0.3">
      <c r="A146" s="5">
        <v>46120</v>
      </c>
      <c r="B146" t="s">
        <v>19</v>
      </c>
      <c r="C146">
        <v>2</v>
      </c>
      <c r="D146">
        <v>8</v>
      </c>
      <c r="E146" t="s">
        <v>164</v>
      </c>
      <c r="F146">
        <v>1.25</v>
      </c>
      <c r="G146">
        <f t="shared" si="2"/>
        <v>5</v>
      </c>
      <c r="H146" t="s">
        <v>210</v>
      </c>
      <c r="I146" s="6" t="s">
        <v>48</v>
      </c>
      <c r="J146" s="7" t="s">
        <v>165</v>
      </c>
      <c r="K146" s="7" t="s">
        <v>166</v>
      </c>
      <c r="L146" s="6" t="s">
        <v>41</v>
      </c>
      <c r="M146" s="6"/>
      <c r="N146" s="6"/>
      <c r="O146" s="6"/>
      <c r="P146" s="6"/>
      <c r="Q146" s="6">
        <v>1</v>
      </c>
      <c r="R146" s="6" t="s">
        <v>25</v>
      </c>
    </row>
    <row r="147" spans="1:18" x14ac:dyDescent="0.3">
      <c r="A147" s="5">
        <v>46120</v>
      </c>
      <c r="B147" t="s">
        <v>19</v>
      </c>
      <c r="C147">
        <v>2</v>
      </c>
      <c r="D147">
        <v>8</v>
      </c>
      <c r="E147" t="s">
        <v>77</v>
      </c>
      <c r="F147">
        <v>2</v>
      </c>
      <c r="G147">
        <f t="shared" si="2"/>
        <v>8</v>
      </c>
      <c r="H147" t="s">
        <v>208</v>
      </c>
      <c r="I147" s="6" t="s">
        <v>21</v>
      </c>
      <c r="J147" s="7" t="s">
        <v>78</v>
      </c>
      <c r="K147" s="7" t="s">
        <v>79</v>
      </c>
      <c r="L147" s="6" t="s">
        <v>71</v>
      </c>
      <c r="M147" s="6">
        <v>1</v>
      </c>
      <c r="N147" s="6"/>
      <c r="O147" s="6"/>
      <c r="P147" s="6"/>
      <c r="Q147" s="6"/>
      <c r="R147" s="6" t="s">
        <v>25</v>
      </c>
    </row>
    <row r="148" spans="1:18" x14ac:dyDescent="0.3">
      <c r="A148" s="5">
        <v>46120</v>
      </c>
      <c r="B148" t="s">
        <v>19</v>
      </c>
      <c r="C148">
        <v>2</v>
      </c>
      <c r="D148">
        <v>8</v>
      </c>
      <c r="E148" t="s">
        <v>167</v>
      </c>
      <c r="F148">
        <v>1</v>
      </c>
      <c r="G148">
        <f t="shared" si="2"/>
        <v>4</v>
      </c>
      <c r="H148" t="s">
        <v>209</v>
      </c>
      <c r="I148" s="6" t="s">
        <v>21</v>
      </c>
      <c r="J148" s="7" t="s">
        <v>167</v>
      </c>
      <c r="K148" s="7" t="s">
        <v>168</v>
      </c>
      <c r="L148" s="6" t="s">
        <v>169</v>
      </c>
      <c r="M148" s="6">
        <v>1</v>
      </c>
      <c r="N148" s="6"/>
      <c r="O148" s="6"/>
      <c r="P148" s="6"/>
      <c r="Q148" s="6"/>
      <c r="R148" s="6" t="s">
        <v>25</v>
      </c>
    </row>
    <row r="149" spans="1:18" x14ac:dyDescent="0.3">
      <c r="A149" s="5">
        <v>46120</v>
      </c>
      <c r="B149" t="s">
        <v>19</v>
      </c>
      <c r="C149">
        <v>2</v>
      </c>
      <c r="D149">
        <v>8</v>
      </c>
      <c r="E149" t="s">
        <v>120</v>
      </c>
      <c r="F149">
        <v>0.5</v>
      </c>
      <c r="G149">
        <f t="shared" si="2"/>
        <v>2</v>
      </c>
      <c r="H149" t="s">
        <v>210</v>
      </c>
      <c r="I149" s="6" t="s">
        <v>121</v>
      </c>
      <c r="J149" s="7" t="s">
        <v>120</v>
      </c>
      <c r="K149" s="7" t="s">
        <v>122</v>
      </c>
      <c r="L149" s="6" t="s">
        <v>123</v>
      </c>
      <c r="M149" s="6"/>
      <c r="N149" s="6"/>
      <c r="O149" s="6"/>
      <c r="P149" s="6">
        <v>1</v>
      </c>
      <c r="Q149" s="6"/>
      <c r="R149" s="6" t="s">
        <v>25</v>
      </c>
    </row>
    <row r="150" spans="1:18" x14ac:dyDescent="0.3">
      <c r="A150" s="5">
        <v>46120</v>
      </c>
      <c r="B150" t="s">
        <v>19</v>
      </c>
      <c r="C150">
        <v>2</v>
      </c>
      <c r="D150">
        <v>8</v>
      </c>
      <c r="E150" t="s">
        <v>153</v>
      </c>
      <c r="F150">
        <v>0.5</v>
      </c>
      <c r="G150">
        <f t="shared" si="2"/>
        <v>2</v>
      </c>
      <c r="H150" t="s">
        <v>210</v>
      </c>
      <c r="I150" s="6" t="s">
        <v>121</v>
      </c>
      <c r="J150" s="7" t="s">
        <v>154</v>
      </c>
      <c r="K150" s="7" t="s">
        <v>155</v>
      </c>
      <c r="L150" s="6" t="s">
        <v>156</v>
      </c>
      <c r="Q150">
        <v>1</v>
      </c>
      <c r="R150" t="s">
        <v>25</v>
      </c>
    </row>
    <row r="151" spans="1:18" x14ac:dyDescent="0.3">
      <c r="A151" s="5">
        <v>46120</v>
      </c>
      <c r="B151" t="s">
        <v>19</v>
      </c>
      <c r="C151">
        <v>2</v>
      </c>
      <c r="D151">
        <v>8</v>
      </c>
      <c r="E151" t="s">
        <v>35</v>
      </c>
      <c r="F151">
        <v>1</v>
      </c>
      <c r="G151">
        <f t="shared" si="2"/>
        <v>4</v>
      </c>
      <c r="H151" t="s">
        <v>208</v>
      </c>
      <c r="I151" s="6" t="s">
        <v>21</v>
      </c>
      <c r="J151" s="6" t="s">
        <v>36</v>
      </c>
      <c r="K151" s="6" t="s">
        <v>37</v>
      </c>
      <c r="L151" s="6" t="s">
        <v>38</v>
      </c>
      <c r="M151" s="6">
        <v>1</v>
      </c>
      <c r="N151" s="6"/>
      <c r="O151" s="6"/>
      <c r="P151" s="6"/>
      <c r="Q151" s="6"/>
      <c r="R151" s="6" t="s">
        <v>25</v>
      </c>
    </row>
    <row r="152" spans="1:18" x14ac:dyDescent="0.3">
      <c r="A152" s="5">
        <v>46120</v>
      </c>
      <c r="B152" t="s">
        <v>19</v>
      </c>
      <c r="C152">
        <v>2</v>
      </c>
      <c r="D152">
        <v>8</v>
      </c>
      <c r="E152" t="s">
        <v>76</v>
      </c>
      <c r="F152">
        <v>2.5</v>
      </c>
      <c r="G152">
        <f t="shared" si="2"/>
        <v>10</v>
      </c>
      <c r="H152" t="s">
        <v>239</v>
      </c>
    </row>
    <row r="153" spans="1:18" x14ac:dyDescent="0.3">
      <c r="A153" s="5">
        <v>46120</v>
      </c>
      <c r="B153" t="s">
        <v>19</v>
      </c>
      <c r="C153">
        <v>2</v>
      </c>
      <c r="D153">
        <v>7</v>
      </c>
      <c r="E153" t="s">
        <v>39</v>
      </c>
      <c r="F153">
        <v>3</v>
      </c>
      <c r="G153">
        <f t="shared" si="2"/>
        <v>12</v>
      </c>
      <c r="H153" t="s">
        <v>209</v>
      </c>
      <c r="I153" s="6" t="s">
        <v>21</v>
      </c>
      <c r="J153" s="7" t="s">
        <v>39</v>
      </c>
      <c r="K153" s="7" t="s">
        <v>40</v>
      </c>
      <c r="L153" s="6" t="s">
        <v>41</v>
      </c>
      <c r="M153" s="6">
        <v>1</v>
      </c>
      <c r="N153" s="6"/>
      <c r="O153" s="6"/>
      <c r="P153" s="6"/>
      <c r="Q153" s="6"/>
      <c r="R153" s="6" t="s">
        <v>25</v>
      </c>
    </row>
    <row r="154" spans="1:18" x14ac:dyDescent="0.3">
      <c r="A154" s="5">
        <v>46120</v>
      </c>
      <c r="B154" t="s">
        <v>19</v>
      </c>
      <c r="C154">
        <v>2</v>
      </c>
      <c r="D154">
        <v>7</v>
      </c>
      <c r="E154" t="s">
        <v>27</v>
      </c>
      <c r="F154">
        <v>3.5</v>
      </c>
      <c r="G154">
        <f t="shared" si="2"/>
        <v>14.000000000000002</v>
      </c>
      <c r="H154" t="s">
        <v>209</v>
      </c>
      <c r="I154" s="6" t="s">
        <v>21</v>
      </c>
      <c r="J154" s="7" t="s">
        <v>28</v>
      </c>
      <c r="K154" s="7" t="s">
        <v>29</v>
      </c>
      <c r="L154" s="6" t="s">
        <v>30</v>
      </c>
      <c r="M154" s="6">
        <v>1</v>
      </c>
      <c r="N154" s="6"/>
      <c r="O154" s="6"/>
      <c r="P154" s="6"/>
      <c r="Q154" s="6"/>
      <c r="R154" s="6" t="s">
        <v>25</v>
      </c>
    </row>
    <row r="155" spans="1:18" x14ac:dyDescent="0.3">
      <c r="A155" s="5">
        <v>46120</v>
      </c>
      <c r="B155" t="s">
        <v>19</v>
      </c>
      <c r="C155">
        <v>2</v>
      </c>
      <c r="D155">
        <v>7</v>
      </c>
      <c r="E155" t="s">
        <v>31</v>
      </c>
      <c r="F155">
        <v>3</v>
      </c>
      <c r="G155">
        <f t="shared" si="2"/>
        <v>12</v>
      </c>
      <c r="H155" t="s">
        <v>209</v>
      </c>
      <c r="I155" s="6" t="s">
        <v>21</v>
      </c>
      <c r="J155" s="7" t="s">
        <v>32</v>
      </c>
      <c r="K155" s="7" t="s">
        <v>33</v>
      </c>
      <c r="L155" s="6" t="s">
        <v>34</v>
      </c>
      <c r="M155" s="6">
        <v>1</v>
      </c>
      <c r="N155" s="6"/>
      <c r="O155" s="6"/>
      <c r="P155" s="6"/>
      <c r="Q155" s="6"/>
      <c r="R155" s="6" t="s">
        <v>25</v>
      </c>
    </row>
    <row r="156" spans="1:18" x14ac:dyDescent="0.3">
      <c r="A156" s="5">
        <v>46120</v>
      </c>
      <c r="B156" t="s">
        <v>19</v>
      </c>
      <c r="C156">
        <v>2</v>
      </c>
      <c r="D156">
        <v>7</v>
      </c>
      <c r="E156" t="s">
        <v>42</v>
      </c>
      <c r="F156">
        <v>3.5</v>
      </c>
      <c r="G156">
        <f t="shared" si="2"/>
        <v>14.000000000000002</v>
      </c>
      <c r="H156" t="s">
        <v>210</v>
      </c>
      <c r="I156" s="6" t="s">
        <v>43</v>
      </c>
      <c r="J156" s="7" t="s">
        <v>44</v>
      </c>
      <c r="K156" s="7" t="s">
        <v>45</v>
      </c>
      <c r="L156" s="6" t="s">
        <v>46</v>
      </c>
      <c r="M156" s="6"/>
      <c r="N156" s="6"/>
      <c r="O156" s="6">
        <v>1</v>
      </c>
      <c r="P156" s="6"/>
      <c r="Q156" s="6"/>
      <c r="R156" s="6" t="s">
        <v>25</v>
      </c>
    </row>
    <row r="157" spans="1:18" x14ac:dyDescent="0.3">
      <c r="A157" s="5">
        <v>46120</v>
      </c>
      <c r="B157" t="s">
        <v>19</v>
      </c>
      <c r="C157">
        <v>2</v>
      </c>
      <c r="D157">
        <v>7</v>
      </c>
      <c r="E157" t="s">
        <v>170</v>
      </c>
      <c r="F157">
        <v>1</v>
      </c>
      <c r="G157">
        <f t="shared" si="2"/>
        <v>4</v>
      </c>
      <c r="H157" t="s">
        <v>210</v>
      </c>
      <c r="I157" t="s">
        <v>121</v>
      </c>
      <c r="J157" t="s">
        <v>171</v>
      </c>
      <c r="K157" t="s">
        <v>106</v>
      </c>
    </row>
    <row r="158" spans="1:18" x14ac:dyDescent="0.3">
      <c r="A158" s="5">
        <v>46120</v>
      </c>
      <c r="B158" t="s">
        <v>19</v>
      </c>
      <c r="C158">
        <v>2</v>
      </c>
      <c r="D158">
        <v>7</v>
      </c>
      <c r="E158" t="s">
        <v>35</v>
      </c>
      <c r="F158">
        <v>1.25</v>
      </c>
      <c r="G158">
        <f t="shared" si="2"/>
        <v>5</v>
      </c>
      <c r="H158" t="s">
        <v>208</v>
      </c>
      <c r="I158" s="6" t="s">
        <v>21</v>
      </c>
      <c r="J158" s="6" t="s">
        <v>36</v>
      </c>
      <c r="K158" s="6" t="s">
        <v>37</v>
      </c>
      <c r="L158" s="6" t="s">
        <v>38</v>
      </c>
      <c r="M158" s="6">
        <v>1</v>
      </c>
      <c r="N158" s="6"/>
      <c r="O158" s="6"/>
      <c r="P158" s="6"/>
      <c r="Q158" s="6"/>
      <c r="R158" s="6" t="s">
        <v>25</v>
      </c>
    </row>
    <row r="159" spans="1:18" x14ac:dyDescent="0.3">
      <c r="A159" s="5">
        <v>46120</v>
      </c>
      <c r="B159" t="s">
        <v>19</v>
      </c>
      <c r="C159">
        <v>2</v>
      </c>
      <c r="D159">
        <v>7</v>
      </c>
      <c r="E159" t="s">
        <v>172</v>
      </c>
      <c r="F159">
        <v>0.5</v>
      </c>
      <c r="G159">
        <f t="shared" si="2"/>
        <v>2</v>
      </c>
      <c r="H159" t="s">
        <v>210</v>
      </c>
      <c r="I159" t="s">
        <v>104</v>
      </c>
      <c r="J159" t="s">
        <v>173</v>
      </c>
      <c r="K159" t="s">
        <v>81</v>
      </c>
      <c r="L159" t="s">
        <v>174</v>
      </c>
      <c r="Q159">
        <v>1</v>
      </c>
      <c r="R159" t="s">
        <v>25</v>
      </c>
    </row>
    <row r="160" spans="1:18" x14ac:dyDescent="0.3">
      <c r="A160" s="5">
        <v>46120</v>
      </c>
      <c r="B160" t="s">
        <v>19</v>
      </c>
      <c r="C160">
        <v>2</v>
      </c>
      <c r="D160">
        <v>7</v>
      </c>
      <c r="E160" t="s">
        <v>175</v>
      </c>
      <c r="F160">
        <v>0.25</v>
      </c>
      <c r="G160">
        <f t="shared" si="2"/>
        <v>1</v>
      </c>
      <c r="H160" t="s">
        <v>210</v>
      </c>
      <c r="I160" s="6" t="s">
        <v>176</v>
      </c>
      <c r="J160" s="7" t="s">
        <v>177</v>
      </c>
      <c r="K160" t="s">
        <v>106</v>
      </c>
    </row>
    <row r="161" spans="1:18" x14ac:dyDescent="0.3">
      <c r="A161" s="5">
        <v>46120</v>
      </c>
      <c r="B161" t="s">
        <v>19</v>
      </c>
      <c r="C161">
        <v>2</v>
      </c>
      <c r="D161">
        <v>7</v>
      </c>
      <c r="E161" t="s">
        <v>20</v>
      </c>
      <c r="F161">
        <v>2</v>
      </c>
      <c r="G161">
        <f t="shared" si="2"/>
        <v>8</v>
      </c>
      <c r="H161" t="s">
        <v>208</v>
      </c>
      <c r="I161" s="6" t="s">
        <v>21</v>
      </c>
      <c r="J161" s="7" t="s">
        <v>22</v>
      </c>
      <c r="K161" s="7" t="s">
        <v>23</v>
      </c>
      <c r="L161" s="6" t="s">
        <v>24</v>
      </c>
      <c r="M161" s="6">
        <v>1</v>
      </c>
      <c r="N161" s="6">
        <v>0</v>
      </c>
      <c r="O161" s="6">
        <v>0</v>
      </c>
      <c r="P161" s="6">
        <v>0</v>
      </c>
      <c r="Q161" s="6"/>
      <c r="R161" s="6" t="s">
        <v>25</v>
      </c>
    </row>
    <row r="162" spans="1:18" x14ac:dyDescent="0.3">
      <c r="A162" s="5">
        <v>46120</v>
      </c>
      <c r="B162" t="s">
        <v>19</v>
      </c>
      <c r="C162">
        <v>2</v>
      </c>
      <c r="D162">
        <v>7</v>
      </c>
      <c r="E162" t="s">
        <v>90</v>
      </c>
      <c r="F162">
        <v>1</v>
      </c>
      <c r="G162">
        <f t="shared" si="2"/>
        <v>4</v>
      </c>
      <c r="H162" t="s">
        <v>210</v>
      </c>
      <c r="I162" s="6" t="s">
        <v>43</v>
      </c>
      <c r="J162" s="7" t="s">
        <v>91</v>
      </c>
      <c r="K162" s="7" t="s">
        <v>92</v>
      </c>
      <c r="L162" s="6" t="s">
        <v>93</v>
      </c>
      <c r="M162" s="6"/>
      <c r="N162" s="6"/>
      <c r="O162" s="6">
        <v>1</v>
      </c>
      <c r="P162" s="6"/>
      <c r="Q162" s="6"/>
      <c r="R162" s="6" t="s">
        <v>57</v>
      </c>
    </row>
    <row r="163" spans="1:18" x14ac:dyDescent="0.3">
      <c r="A163" s="5">
        <v>46120</v>
      </c>
      <c r="B163" t="s">
        <v>19</v>
      </c>
      <c r="C163">
        <v>2</v>
      </c>
      <c r="D163">
        <v>7</v>
      </c>
      <c r="E163" t="s">
        <v>178</v>
      </c>
      <c r="F163">
        <v>0.5</v>
      </c>
      <c r="G163">
        <f t="shared" si="2"/>
        <v>2</v>
      </c>
      <c r="I163" t="s">
        <v>119</v>
      </c>
    </row>
    <row r="164" spans="1:18" x14ac:dyDescent="0.3">
      <c r="A164" s="5">
        <v>46120</v>
      </c>
      <c r="B164" t="s">
        <v>19</v>
      </c>
      <c r="C164">
        <v>2</v>
      </c>
      <c r="D164">
        <v>7</v>
      </c>
      <c r="E164" t="s">
        <v>63</v>
      </c>
      <c r="F164">
        <v>0.25</v>
      </c>
      <c r="G164">
        <f t="shared" si="2"/>
        <v>1</v>
      </c>
      <c r="H164" t="s">
        <v>210</v>
      </c>
      <c r="I164" s="6" t="s">
        <v>64</v>
      </c>
      <c r="J164" s="7" t="s">
        <v>65</v>
      </c>
      <c r="K164" s="7" t="s">
        <v>66</v>
      </c>
      <c r="L164" s="6" t="s">
        <v>67</v>
      </c>
      <c r="M164" s="6"/>
      <c r="N164" s="6"/>
      <c r="O164" s="6"/>
      <c r="P164" s="6">
        <v>1</v>
      </c>
      <c r="Q164" s="6"/>
      <c r="R164" s="6" t="s">
        <v>25</v>
      </c>
    </row>
    <row r="165" spans="1:18" x14ac:dyDescent="0.3">
      <c r="A165" s="5">
        <v>46120</v>
      </c>
      <c r="B165" t="s">
        <v>19</v>
      </c>
      <c r="C165">
        <v>2</v>
      </c>
      <c r="D165">
        <v>7</v>
      </c>
      <c r="E165" t="s">
        <v>80</v>
      </c>
      <c r="F165">
        <v>0.25</v>
      </c>
      <c r="G165">
        <f t="shared" si="2"/>
        <v>1</v>
      </c>
      <c r="H165" t="s">
        <v>210</v>
      </c>
      <c r="I165" s="6" t="s">
        <v>64</v>
      </c>
      <c r="J165" s="7" t="s">
        <v>65</v>
      </c>
      <c r="K165" s="7" t="s">
        <v>81</v>
      </c>
      <c r="L165" s="6" t="s">
        <v>82</v>
      </c>
      <c r="M165" s="6"/>
      <c r="N165" s="6"/>
      <c r="O165" s="6"/>
      <c r="P165" s="6">
        <v>1</v>
      </c>
      <c r="Q165" s="6"/>
      <c r="R165" s="6" t="s">
        <v>25</v>
      </c>
    </row>
    <row r="166" spans="1:18" x14ac:dyDescent="0.3">
      <c r="A166" s="5">
        <v>46120</v>
      </c>
      <c r="B166" t="s">
        <v>19</v>
      </c>
      <c r="C166">
        <v>2</v>
      </c>
      <c r="D166">
        <v>7</v>
      </c>
      <c r="E166" t="s">
        <v>76</v>
      </c>
      <c r="F166">
        <v>5</v>
      </c>
      <c r="G166">
        <f t="shared" si="2"/>
        <v>20</v>
      </c>
      <c r="H166" t="s">
        <v>239</v>
      </c>
    </row>
    <row r="167" spans="1:18" x14ac:dyDescent="0.3">
      <c r="A167" s="5">
        <v>46120</v>
      </c>
      <c r="B167" t="s">
        <v>19</v>
      </c>
      <c r="C167">
        <v>2</v>
      </c>
      <c r="D167">
        <v>6</v>
      </c>
      <c r="E167" t="s">
        <v>39</v>
      </c>
      <c r="F167">
        <v>12</v>
      </c>
      <c r="G167">
        <f t="shared" si="2"/>
        <v>48</v>
      </c>
      <c r="H167" t="s">
        <v>209</v>
      </c>
      <c r="I167" s="6" t="s">
        <v>21</v>
      </c>
      <c r="J167" s="7" t="s">
        <v>39</v>
      </c>
      <c r="K167" s="7" t="s">
        <v>40</v>
      </c>
      <c r="L167" s="6" t="s">
        <v>41</v>
      </c>
      <c r="M167" s="6">
        <v>1</v>
      </c>
      <c r="N167" s="6"/>
      <c r="O167" s="6"/>
      <c r="P167" s="6"/>
      <c r="Q167" s="6"/>
      <c r="R167" s="6" t="s">
        <v>25</v>
      </c>
    </row>
    <row r="168" spans="1:18" x14ac:dyDescent="0.3">
      <c r="A168" s="5">
        <v>46120</v>
      </c>
      <c r="B168" t="s">
        <v>19</v>
      </c>
      <c r="C168">
        <v>2</v>
      </c>
      <c r="D168">
        <v>6</v>
      </c>
      <c r="E168" t="s">
        <v>27</v>
      </c>
      <c r="F168">
        <v>4</v>
      </c>
      <c r="G168">
        <f t="shared" si="2"/>
        <v>16</v>
      </c>
      <c r="H168" t="s">
        <v>209</v>
      </c>
      <c r="I168" s="6" t="s">
        <v>21</v>
      </c>
      <c r="J168" s="7" t="s">
        <v>28</v>
      </c>
      <c r="K168" s="7" t="s">
        <v>29</v>
      </c>
      <c r="L168" s="6" t="s">
        <v>30</v>
      </c>
      <c r="M168" s="6">
        <v>1</v>
      </c>
      <c r="N168" s="6"/>
      <c r="O168" s="6"/>
      <c r="P168" s="6"/>
      <c r="Q168" s="6"/>
      <c r="R168" s="6" t="s">
        <v>25</v>
      </c>
    </row>
    <row r="169" spans="1:18" x14ac:dyDescent="0.3">
      <c r="A169" s="5">
        <v>46120</v>
      </c>
      <c r="B169" t="s">
        <v>19</v>
      </c>
      <c r="C169">
        <v>2</v>
      </c>
      <c r="D169">
        <v>6</v>
      </c>
      <c r="E169" t="s">
        <v>42</v>
      </c>
      <c r="F169">
        <v>4</v>
      </c>
      <c r="G169">
        <f t="shared" si="2"/>
        <v>16</v>
      </c>
      <c r="H169" t="s">
        <v>210</v>
      </c>
      <c r="I169" s="6" t="s">
        <v>43</v>
      </c>
      <c r="J169" s="7" t="s">
        <v>44</v>
      </c>
      <c r="K169" s="7" t="s">
        <v>45</v>
      </c>
      <c r="L169" s="6" t="s">
        <v>46</v>
      </c>
      <c r="M169" s="6"/>
      <c r="N169" s="6"/>
      <c r="O169" s="6">
        <v>1</v>
      </c>
      <c r="P169" s="6"/>
      <c r="Q169" s="6"/>
      <c r="R169" s="6" t="s">
        <v>25</v>
      </c>
    </row>
    <row r="170" spans="1:18" x14ac:dyDescent="0.3">
      <c r="A170" s="5">
        <v>46120</v>
      </c>
      <c r="B170" t="s">
        <v>19</v>
      </c>
      <c r="C170">
        <v>2</v>
      </c>
      <c r="D170">
        <v>6</v>
      </c>
      <c r="E170" t="s">
        <v>31</v>
      </c>
      <c r="F170">
        <v>2</v>
      </c>
      <c r="G170">
        <f t="shared" si="2"/>
        <v>8</v>
      </c>
      <c r="H170" t="s">
        <v>209</v>
      </c>
      <c r="I170" s="6" t="s">
        <v>21</v>
      </c>
      <c r="J170" s="7" t="s">
        <v>32</v>
      </c>
      <c r="K170" s="7" t="s">
        <v>33</v>
      </c>
      <c r="L170" s="6" t="s">
        <v>34</v>
      </c>
      <c r="M170" s="6">
        <v>1</v>
      </c>
      <c r="N170" s="6"/>
      <c r="O170" s="6"/>
      <c r="P170" s="6"/>
      <c r="Q170" s="6"/>
      <c r="R170" s="6" t="s">
        <v>25</v>
      </c>
    </row>
    <row r="171" spans="1:18" x14ac:dyDescent="0.3">
      <c r="A171" s="5">
        <v>46120</v>
      </c>
      <c r="B171" t="s">
        <v>19</v>
      </c>
      <c r="C171">
        <v>2</v>
      </c>
      <c r="D171">
        <v>6</v>
      </c>
      <c r="E171" t="s">
        <v>124</v>
      </c>
      <c r="F171">
        <v>0.25</v>
      </c>
      <c r="G171">
        <f t="shared" si="2"/>
        <v>1</v>
      </c>
      <c r="H171" t="s">
        <v>210</v>
      </c>
      <c r="I171" s="6" t="s">
        <v>48</v>
      </c>
      <c r="J171" s="7" t="s">
        <v>49</v>
      </c>
      <c r="K171" t="s">
        <v>106</v>
      </c>
      <c r="Q171">
        <v>1</v>
      </c>
    </row>
    <row r="172" spans="1:18" x14ac:dyDescent="0.3">
      <c r="A172" s="5">
        <v>46120</v>
      </c>
      <c r="B172" t="s">
        <v>19</v>
      </c>
      <c r="C172">
        <v>2</v>
      </c>
      <c r="D172">
        <v>6</v>
      </c>
      <c r="E172" t="s">
        <v>138</v>
      </c>
      <c r="F172">
        <v>0.25</v>
      </c>
      <c r="G172">
        <f t="shared" si="2"/>
        <v>1</v>
      </c>
      <c r="H172" t="s">
        <v>210</v>
      </c>
      <c r="I172" t="s">
        <v>48</v>
      </c>
      <c r="J172" t="s">
        <v>138</v>
      </c>
      <c r="K172" t="s">
        <v>139</v>
      </c>
      <c r="L172" t="s">
        <v>82</v>
      </c>
      <c r="Q172">
        <v>1</v>
      </c>
      <c r="R172" t="s">
        <v>25</v>
      </c>
    </row>
    <row r="173" spans="1:18" x14ac:dyDescent="0.3">
      <c r="A173" s="5">
        <v>46120</v>
      </c>
      <c r="B173" t="s">
        <v>19</v>
      </c>
      <c r="C173">
        <v>2</v>
      </c>
      <c r="D173">
        <v>6</v>
      </c>
      <c r="E173" t="s">
        <v>107</v>
      </c>
      <c r="F173">
        <v>0.5</v>
      </c>
      <c r="G173">
        <f t="shared" si="2"/>
        <v>2</v>
      </c>
      <c r="H173" t="s">
        <v>209</v>
      </c>
      <c r="I173" s="6" t="s">
        <v>21</v>
      </c>
      <c r="J173" s="7" t="s">
        <v>108</v>
      </c>
      <c r="K173" s="7" t="s">
        <v>109</v>
      </c>
      <c r="L173" s="6" t="s">
        <v>110</v>
      </c>
      <c r="M173" s="6">
        <v>1</v>
      </c>
      <c r="N173" s="6"/>
      <c r="O173" s="6"/>
      <c r="P173" s="6"/>
      <c r="Q173" s="6"/>
      <c r="R173" s="6" t="s">
        <v>25</v>
      </c>
    </row>
    <row r="174" spans="1:18" x14ac:dyDescent="0.3">
      <c r="A174" s="5">
        <v>46120</v>
      </c>
      <c r="B174" t="s">
        <v>19</v>
      </c>
      <c r="C174">
        <v>2</v>
      </c>
      <c r="D174">
        <v>6</v>
      </c>
      <c r="E174" t="s">
        <v>76</v>
      </c>
      <c r="F174">
        <v>2</v>
      </c>
      <c r="G174">
        <f t="shared" si="2"/>
        <v>8</v>
      </c>
      <c r="H174" t="s">
        <v>239</v>
      </c>
    </row>
    <row r="175" spans="1:18" x14ac:dyDescent="0.3">
      <c r="A175" s="5">
        <v>46120</v>
      </c>
      <c r="B175" t="s">
        <v>19</v>
      </c>
      <c r="C175">
        <v>2</v>
      </c>
      <c r="D175">
        <v>5</v>
      </c>
      <c r="E175" t="s">
        <v>20</v>
      </c>
      <c r="F175">
        <v>1</v>
      </c>
      <c r="G175">
        <f t="shared" si="2"/>
        <v>4</v>
      </c>
      <c r="H175" t="s">
        <v>208</v>
      </c>
      <c r="I175" s="6" t="s">
        <v>21</v>
      </c>
      <c r="J175" s="7" t="s">
        <v>22</v>
      </c>
      <c r="K175" s="7" t="s">
        <v>23</v>
      </c>
      <c r="L175" s="6" t="s">
        <v>24</v>
      </c>
      <c r="M175" s="6">
        <v>1</v>
      </c>
      <c r="N175" s="6">
        <v>0</v>
      </c>
      <c r="O175" s="6">
        <v>0</v>
      </c>
      <c r="P175" s="6">
        <v>0</v>
      </c>
      <c r="Q175" s="6"/>
      <c r="R175" s="6" t="s">
        <v>25</v>
      </c>
    </row>
    <row r="176" spans="1:18" x14ac:dyDescent="0.3">
      <c r="A176" s="5">
        <v>46120</v>
      </c>
      <c r="B176" t="s">
        <v>19</v>
      </c>
      <c r="C176">
        <v>2</v>
      </c>
      <c r="D176">
        <v>5</v>
      </c>
      <c r="E176" t="s">
        <v>114</v>
      </c>
      <c r="F176">
        <v>1</v>
      </c>
      <c r="G176">
        <f t="shared" si="2"/>
        <v>4</v>
      </c>
      <c r="H176" t="s">
        <v>210</v>
      </c>
      <c r="I176" s="6" t="s">
        <v>48</v>
      </c>
      <c r="J176" s="7" t="s">
        <v>115</v>
      </c>
      <c r="K176" s="7" t="s">
        <v>116</v>
      </c>
      <c r="L176" s="6" t="s">
        <v>117</v>
      </c>
      <c r="M176" s="6"/>
      <c r="N176" s="6"/>
      <c r="O176" s="6"/>
      <c r="P176" s="6"/>
      <c r="Q176" s="6">
        <v>1</v>
      </c>
      <c r="R176" s="6" t="s">
        <v>25</v>
      </c>
    </row>
    <row r="177" spans="1:21" x14ac:dyDescent="0.3">
      <c r="A177" s="5">
        <v>46120</v>
      </c>
      <c r="B177" t="s">
        <v>19</v>
      </c>
      <c r="C177">
        <v>2</v>
      </c>
      <c r="D177">
        <v>5</v>
      </c>
      <c r="E177" t="s">
        <v>77</v>
      </c>
      <c r="F177">
        <v>3</v>
      </c>
      <c r="G177">
        <f t="shared" si="2"/>
        <v>12</v>
      </c>
      <c r="H177" t="s">
        <v>208</v>
      </c>
      <c r="I177" s="6" t="s">
        <v>21</v>
      </c>
      <c r="J177" s="7" t="s">
        <v>173</v>
      </c>
      <c r="K177" s="7" t="s">
        <v>79</v>
      </c>
      <c r="L177" s="6" t="s">
        <v>71</v>
      </c>
      <c r="M177" s="6">
        <v>1</v>
      </c>
      <c r="N177" s="6"/>
      <c r="O177" s="6"/>
      <c r="P177" s="6"/>
      <c r="Q177" s="6"/>
      <c r="R177" s="6" t="s">
        <v>25</v>
      </c>
    </row>
    <row r="178" spans="1:21" x14ac:dyDescent="0.3">
      <c r="A178" s="5">
        <v>46120</v>
      </c>
      <c r="B178" t="s">
        <v>19</v>
      </c>
      <c r="C178">
        <v>2</v>
      </c>
      <c r="D178">
        <v>5</v>
      </c>
      <c r="E178" t="s">
        <v>42</v>
      </c>
      <c r="F178">
        <v>12</v>
      </c>
      <c r="G178">
        <f t="shared" si="2"/>
        <v>48</v>
      </c>
      <c r="H178" t="s">
        <v>210</v>
      </c>
      <c r="I178" s="6" t="s">
        <v>43</v>
      </c>
      <c r="J178" s="7" t="s">
        <v>44</v>
      </c>
      <c r="K178" s="7" t="s">
        <v>45</v>
      </c>
      <c r="L178" s="6" t="s">
        <v>46</v>
      </c>
      <c r="M178" s="6"/>
      <c r="N178" s="6"/>
      <c r="O178" s="6">
        <v>1</v>
      </c>
      <c r="P178" s="6"/>
      <c r="Q178" s="6"/>
      <c r="R178" s="6" t="s">
        <v>25</v>
      </c>
    </row>
    <row r="179" spans="1:21" x14ac:dyDescent="0.3">
      <c r="A179" s="5">
        <v>46120</v>
      </c>
      <c r="B179" t="s">
        <v>19</v>
      </c>
      <c r="C179">
        <v>2</v>
      </c>
      <c r="D179">
        <v>5</v>
      </c>
      <c r="E179" t="s">
        <v>27</v>
      </c>
      <c r="F179">
        <v>2</v>
      </c>
      <c r="G179">
        <f t="shared" si="2"/>
        <v>8</v>
      </c>
      <c r="H179" t="s">
        <v>209</v>
      </c>
      <c r="I179" s="6" t="s">
        <v>21</v>
      </c>
      <c r="J179" s="7" t="s">
        <v>28</v>
      </c>
      <c r="K179" s="7" t="s">
        <v>29</v>
      </c>
      <c r="L179" s="6" t="s">
        <v>30</v>
      </c>
      <c r="M179" s="6">
        <v>1</v>
      </c>
      <c r="N179" s="6"/>
      <c r="O179" s="6"/>
      <c r="P179" s="6"/>
      <c r="Q179" s="6"/>
      <c r="R179" s="6" t="s">
        <v>25</v>
      </c>
    </row>
    <row r="180" spans="1:21" x14ac:dyDescent="0.3">
      <c r="A180" s="5">
        <v>46120</v>
      </c>
      <c r="B180" t="s">
        <v>19</v>
      </c>
      <c r="C180">
        <v>2</v>
      </c>
      <c r="D180">
        <v>5</v>
      </c>
      <c r="E180" t="s">
        <v>86</v>
      </c>
      <c r="F180">
        <v>1</v>
      </c>
      <c r="G180">
        <f t="shared" si="2"/>
        <v>4</v>
      </c>
      <c r="H180" t="s">
        <v>208</v>
      </c>
      <c r="I180" s="6" t="s">
        <v>21</v>
      </c>
      <c r="J180" s="7" t="s">
        <v>87</v>
      </c>
      <c r="K180" s="7" t="s">
        <v>88</v>
      </c>
      <c r="L180" s="6" t="s">
        <v>89</v>
      </c>
      <c r="M180" s="6">
        <v>1</v>
      </c>
      <c r="N180" s="6"/>
      <c r="O180" s="6"/>
      <c r="P180" s="6"/>
      <c r="Q180" s="6"/>
      <c r="R180" s="6" t="s">
        <v>25</v>
      </c>
    </row>
    <row r="181" spans="1:21" x14ac:dyDescent="0.3">
      <c r="A181" s="5">
        <v>46120</v>
      </c>
      <c r="B181" t="s">
        <v>19</v>
      </c>
      <c r="C181">
        <v>2</v>
      </c>
      <c r="D181">
        <v>5</v>
      </c>
      <c r="E181" t="s">
        <v>83</v>
      </c>
      <c r="F181">
        <v>2</v>
      </c>
      <c r="G181">
        <f t="shared" si="2"/>
        <v>8</v>
      </c>
      <c r="H181" t="s">
        <v>211</v>
      </c>
      <c r="I181" s="6" t="s">
        <v>21</v>
      </c>
      <c r="J181" s="7" t="s">
        <v>73</v>
      </c>
      <c r="K181" s="7" t="s">
        <v>84</v>
      </c>
      <c r="L181" s="6" t="s">
        <v>85</v>
      </c>
      <c r="M181" s="6">
        <v>1</v>
      </c>
      <c r="N181" s="6"/>
      <c r="O181" s="6"/>
      <c r="P181" s="6"/>
      <c r="Q181" s="6"/>
      <c r="R181" s="6" t="s">
        <v>25</v>
      </c>
    </row>
    <row r="182" spans="1:21" x14ac:dyDescent="0.3">
      <c r="A182" s="5">
        <v>46120</v>
      </c>
      <c r="B182" t="s">
        <v>19</v>
      </c>
      <c r="C182">
        <v>2</v>
      </c>
      <c r="D182">
        <v>5</v>
      </c>
      <c r="E182" t="s">
        <v>90</v>
      </c>
      <c r="F182">
        <v>1</v>
      </c>
      <c r="G182">
        <f t="shared" si="2"/>
        <v>4</v>
      </c>
      <c r="H182" t="s">
        <v>210</v>
      </c>
      <c r="I182" s="6" t="s">
        <v>43</v>
      </c>
      <c r="J182" s="7" t="s">
        <v>91</v>
      </c>
      <c r="K182" s="7" t="s">
        <v>92</v>
      </c>
      <c r="L182" s="6" t="s">
        <v>93</v>
      </c>
      <c r="M182" s="6"/>
      <c r="N182" s="6"/>
      <c r="O182" s="6">
        <v>1</v>
      </c>
      <c r="P182" s="6"/>
      <c r="Q182" s="6"/>
      <c r="R182" s="6" t="s">
        <v>57</v>
      </c>
    </row>
    <row r="183" spans="1:21" x14ac:dyDescent="0.3">
      <c r="A183" s="5">
        <v>46120</v>
      </c>
      <c r="B183" t="s">
        <v>19</v>
      </c>
      <c r="C183">
        <v>2</v>
      </c>
      <c r="D183">
        <v>5</v>
      </c>
      <c r="E183" t="s">
        <v>179</v>
      </c>
      <c r="F183">
        <v>1</v>
      </c>
      <c r="G183">
        <f t="shared" si="2"/>
        <v>4</v>
      </c>
      <c r="H183" t="s">
        <v>209</v>
      </c>
      <c r="I183" s="6" t="s">
        <v>21</v>
      </c>
      <c r="J183" s="7" t="s">
        <v>108</v>
      </c>
      <c r="K183" s="7" t="s">
        <v>180</v>
      </c>
      <c r="L183" s="6" t="s">
        <v>181</v>
      </c>
      <c r="M183" s="6"/>
      <c r="N183" s="6"/>
      <c r="O183" s="6"/>
      <c r="P183" s="6"/>
      <c r="Q183" s="6"/>
      <c r="R183" s="6" t="s">
        <v>57</v>
      </c>
    </row>
    <row r="184" spans="1:21" x14ac:dyDescent="0.3">
      <c r="A184" s="5">
        <v>46120</v>
      </c>
      <c r="B184" t="s">
        <v>19</v>
      </c>
      <c r="C184">
        <v>2</v>
      </c>
      <c r="D184">
        <v>5</v>
      </c>
      <c r="E184" t="s">
        <v>76</v>
      </c>
      <c r="F184">
        <v>1</v>
      </c>
      <c r="G184">
        <f t="shared" si="2"/>
        <v>4</v>
      </c>
      <c r="H184" t="s">
        <v>239</v>
      </c>
    </row>
    <row r="185" spans="1:21" x14ac:dyDescent="0.3">
      <c r="A185" s="5">
        <v>46120</v>
      </c>
      <c r="B185" t="s">
        <v>19</v>
      </c>
      <c r="C185">
        <v>2</v>
      </c>
      <c r="D185">
        <v>4</v>
      </c>
      <c r="E185" t="s">
        <v>39</v>
      </c>
      <c r="F185">
        <v>8</v>
      </c>
      <c r="G185">
        <f t="shared" si="2"/>
        <v>32</v>
      </c>
      <c r="H185" t="s">
        <v>209</v>
      </c>
      <c r="I185" s="6" t="s">
        <v>21</v>
      </c>
      <c r="J185" s="7" t="s">
        <v>39</v>
      </c>
      <c r="K185" s="7" t="s">
        <v>40</v>
      </c>
      <c r="L185" s="6" t="s">
        <v>41</v>
      </c>
      <c r="M185" s="6">
        <v>1</v>
      </c>
      <c r="N185" s="6"/>
      <c r="O185" s="6"/>
      <c r="P185" s="6"/>
      <c r="Q185" s="6"/>
      <c r="R185" s="6" t="s">
        <v>25</v>
      </c>
      <c r="U185" t="s">
        <v>182</v>
      </c>
    </row>
    <row r="186" spans="1:21" x14ac:dyDescent="0.3">
      <c r="A186" s="5">
        <v>46120</v>
      </c>
      <c r="B186" t="s">
        <v>19</v>
      </c>
      <c r="C186">
        <v>2</v>
      </c>
      <c r="D186">
        <v>4</v>
      </c>
      <c r="E186" t="s">
        <v>31</v>
      </c>
      <c r="F186">
        <v>5</v>
      </c>
      <c r="G186">
        <f t="shared" si="2"/>
        <v>20</v>
      </c>
      <c r="H186" t="s">
        <v>209</v>
      </c>
      <c r="I186" s="6" t="s">
        <v>21</v>
      </c>
      <c r="J186" s="7" t="s">
        <v>32</v>
      </c>
      <c r="K186" s="7" t="s">
        <v>33</v>
      </c>
      <c r="L186" s="6" t="s">
        <v>34</v>
      </c>
      <c r="M186" s="6">
        <v>1</v>
      </c>
      <c r="N186" s="6"/>
      <c r="O186" s="6"/>
      <c r="P186" s="6"/>
      <c r="Q186" s="6"/>
      <c r="R186" s="6" t="s">
        <v>25</v>
      </c>
    </row>
    <row r="187" spans="1:21" x14ac:dyDescent="0.3">
      <c r="A187" s="5">
        <v>46120</v>
      </c>
      <c r="B187" t="s">
        <v>19</v>
      </c>
      <c r="C187">
        <v>2</v>
      </c>
      <c r="D187">
        <v>4</v>
      </c>
      <c r="E187" t="s">
        <v>58</v>
      </c>
      <c r="F187">
        <v>1</v>
      </c>
      <c r="G187">
        <f t="shared" si="2"/>
        <v>4</v>
      </c>
      <c r="H187" t="s">
        <v>210</v>
      </c>
      <c r="I187" s="6" t="s">
        <v>59</v>
      </c>
      <c r="J187" s="7" t="s">
        <v>60</v>
      </c>
      <c r="K187" s="7" t="s">
        <v>61</v>
      </c>
      <c r="L187" s="6" t="s">
        <v>62</v>
      </c>
      <c r="M187" s="6"/>
      <c r="N187" s="6"/>
      <c r="O187" s="6"/>
      <c r="P187" s="6">
        <v>1</v>
      </c>
      <c r="Q187" s="6"/>
      <c r="R187" s="6" t="s">
        <v>25</v>
      </c>
    </row>
    <row r="188" spans="1:21" x14ac:dyDescent="0.3">
      <c r="A188" s="5">
        <v>46120</v>
      </c>
      <c r="B188" t="s">
        <v>19</v>
      </c>
      <c r="C188">
        <v>2</v>
      </c>
      <c r="D188">
        <v>4</v>
      </c>
      <c r="E188" t="s">
        <v>35</v>
      </c>
      <c r="F188">
        <v>0.5</v>
      </c>
      <c r="G188">
        <f t="shared" si="2"/>
        <v>2</v>
      </c>
      <c r="H188" t="s">
        <v>208</v>
      </c>
      <c r="I188" s="6" t="s">
        <v>21</v>
      </c>
      <c r="J188" s="6" t="s">
        <v>36</v>
      </c>
      <c r="K188" s="6" t="s">
        <v>37</v>
      </c>
      <c r="L188" s="6" t="s">
        <v>38</v>
      </c>
      <c r="M188" s="6">
        <v>1</v>
      </c>
      <c r="N188" s="6"/>
      <c r="O188" s="6"/>
      <c r="P188" s="6"/>
      <c r="Q188" s="6"/>
      <c r="R188" s="6" t="s">
        <v>25</v>
      </c>
    </row>
    <row r="189" spans="1:21" x14ac:dyDescent="0.3">
      <c r="A189" s="5">
        <v>46120</v>
      </c>
      <c r="B189" t="s">
        <v>19</v>
      </c>
      <c r="C189">
        <v>2</v>
      </c>
      <c r="D189">
        <v>4</v>
      </c>
      <c r="E189" t="s">
        <v>27</v>
      </c>
      <c r="F189">
        <v>4</v>
      </c>
      <c r="G189">
        <f t="shared" si="2"/>
        <v>16</v>
      </c>
      <c r="H189" t="s">
        <v>209</v>
      </c>
      <c r="I189" s="6" t="s">
        <v>21</v>
      </c>
      <c r="J189" s="7" t="s">
        <v>28</v>
      </c>
      <c r="K189" s="7" t="s">
        <v>29</v>
      </c>
      <c r="L189" s="6" t="s">
        <v>30</v>
      </c>
      <c r="M189" s="6">
        <v>1</v>
      </c>
      <c r="N189" s="6"/>
      <c r="O189" s="6"/>
      <c r="P189" s="6"/>
      <c r="Q189" s="6"/>
      <c r="R189" s="6" t="s">
        <v>25</v>
      </c>
    </row>
    <row r="190" spans="1:21" x14ac:dyDescent="0.3">
      <c r="A190" s="5">
        <v>46120</v>
      </c>
      <c r="B190" t="s">
        <v>19</v>
      </c>
      <c r="C190">
        <v>2</v>
      </c>
      <c r="D190">
        <v>4</v>
      </c>
      <c r="E190" t="s">
        <v>183</v>
      </c>
      <c r="F190">
        <v>0.5</v>
      </c>
      <c r="G190">
        <f t="shared" si="2"/>
        <v>2</v>
      </c>
      <c r="H190" t="s">
        <v>211</v>
      </c>
      <c r="I190" s="6" t="s">
        <v>21</v>
      </c>
      <c r="J190" s="7" t="s">
        <v>183</v>
      </c>
      <c r="K190" s="7" t="s">
        <v>184</v>
      </c>
      <c r="L190" s="6" t="s">
        <v>185</v>
      </c>
      <c r="M190" s="6">
        <v>1</v>
      </c>
      <c r="N190" s="6"/>
      <c r="O190" s="6"/>
      <c r="P190" s="6"/>
      <c r="Q190" s="6"/>
      <c r="R190" s="6" t="s">
        <v>25</v>
      </c>
    </row>
    <row r="191" spans="1:21" x14ac:dyDescent="0.3">
      <c r="A191" s="5">
        <v>46120</v>
      </c>
      <c r="B191" t="s">
        <v>19</v>
      </c>
      <c r="C191">
        <v>2</v>
      </c>
      <c r="D191">
        <v>4</v>
      </c>
      <c r="E191" t="s">
        <v>42</v>
      </c>
      <c r="F191">
        <v>2</v>
      </c>
      <c r="G191">
        <f t="shared" si="2"/>
        <v>8</v>
      </c>
      <c r="H191" t="s">
        <v>210</v>
      </c>
      <c r="I191" s="6" t="s">
        <v>43</v>
      </c>
      <c r="J191" s="7" t="s">
        <v>44</v>
      </c>
      <c r="K191" s="7" t="s">
        <v>45</v>
      </c>
      <c r="L191" s="6" t="s">
        <v>46</v>
      </c>
      <c r="M191" s="6"/>
      <c r="N191" s="6"/>
      <c r="O191" s="6">
        <v>1</v>
      </c>
      <c r="P191" s="6"/>
      <c r="Q191" s="6"/>
      <c r="R191" s="6" t="s">
        <v>25</v>
      </c>
    </row>
    <row r="192" spans="1:21" x14ac:dyDescent="0.3">
      <c r="A192" s="5">
        <v>46120</v>
      </c>
      <c r="B192" t="s">
        <v>19</v>
      </c>
      <c r="C192">
        <v>2</v>
      </c>
      <c r="D192">
        <v>4</v>
      </c>
      <c r="E192" t="s">
        <v>111</v>
      </c>
      <c r="F192">
        <v>0.25</v>
      </c>
      <c r="G192">
        <f t="shared" si="2"/>
        <v>1</v>
      </c>
      <c r="H192" t="s">
        <v>209</v>
      </c>
      <c r="I192" s="6" t="s">
        <v>21</v>
      </c>
      <c r="J192" s="7" t="s">
        <v>112</v>
      </c>
      <c r="K192" s="7" t="s">
        <v>113</v>
      </c>
      <c r="L192" s="6"/>
      <c r="M192" s="6">
        <v>1</v>
      </c>
      <c r="N192" s="6"/>
      <c r="O192" s="6"/>
      <c r="P192" s="6"/>
      <c r="Q192" s="6"/>
      <c r="R192" s="6" t="s">
        <v>25</v>
      </c>
    </row>
    <row r="193" spans="1:18" x14ac:dyDescent="0.3">
      <c r="A193" s="5">
        <v>46120</v>
      </c>
      <c r="B193" t="s">
        <v>19</v>
      </c>
      <c r="C193">
        <v>2</v>
      </c>
      <c r="D193">
        <v>4</v>
      </c>
      <c r="E193" t="s">
        <v>99</v>
      </c>
      <c r="F193">
        <v>0.25</v>
      </c>
      <c r="G193">
        <f t="shared" si="2"/>
        <v>1</v>
      </c>
      <c r="H193" t="s">
        <v>12</v>
      </c>
      <c r="I193" s="6" t="s">
        <v>95</v>
      </c>
      <c r="J193" s="7" t="s">
        <v>96</v>
      </c>
      <c r="K193" s="7" t="s">
        <v>100</v>
      </c>
      <c r="L193" s="6" t="s">
        <v>101</v>
      </c>
      <c r="M193" s="6"/>
      <c r="N193" s="6">
        <v>1</v>
      </c>
      <c r="O193" s="6"/>
      <c r="P193" s="6"/>
      <c r="Q193" s="6"/>
      <c r="R193" s="6" t="s">
        <v>25</v>
      </c>
    </row>
    <row r="194" spans="1:18" x14ac:dyDescent="0.3">
      <c r="A194" s="5">
        <v>46120</v>
      </c>
      <c r="B194" t="s">
        <v>19</v>
      </c>
      <c r="C194">
        <v>2</v>
      </c>
      <c r="D194">
        <v>4</v>
      </c>
      <c r="E194" t="s">
        <v>52</v>
      </c>
      <c r="F194">
        <v>0.1</v>
      </c>
      <c r="G194">
        <f t="shared" si="2"/>
        <v>0.4</v>
      </c>
      <c r="H194" t="s">
        <v>210</v>
      </c>
      <c r="I194" s="6" t="s">
        <v>53</v>
      </c>
      <c r="J194" s="7" t="s">
        <v>54</v>
      </c>
      <c r="K194" s="7" t="s">
        <v>55</v>
      </c>
      <c r="L194" s="6" t="s">
        <v>56</v>
      </c>
      <c r="M194" s="6"/>
      <c r="N194" s="6"/>
      <c r="O194" s="6"/>
      <c r="P194" s="6">
        <v>1</v>
      </c>
      <c r="Q194" s="6"/>
      <c r="R194" s="6" t="s">
        <v>57</v>
      </c>
    </row>
    <row r="195" spans="1:18" x14ac:dyDescent="0.3">
      <c r="A195" s="5">
        <v>46120</v>
      </c>
      <c r="B195" t="s">
        <v>19</v>
      </c>
      <c r="C195">
        <v>2</v>
      </c>
      <c r="D195">
        <v>4</v>
      </c>
      <c r="E195" t="s">
        <v>76</v>
      </c>
      <c r="F195">
        <v>3.4</v>
      </c>
      <c r="G195">
        <f t="shared" si="2"/>
        <v>13.600000000000001</v>
      </c>
      <c r="H195" t="s">
        <v>239</v>
      </c>
    </row>
    <row r="196" spans="1:18" x14ac:dyDescent="0.3">
      <c r="A196" s="5">
        <v>46120</v>
      </c>
      <c r="B196" t="s">
        <v>19</v>
      </c>
      <c r="C196">
        <v>2</v>
      </c>
      <c r="D196">
        <v>3</v>
      </c>
      <c r="E196" t="s">
        <v>27</v>
      </c>
      <c r="F196">
        <v>9.25</v>
      </c>
      <c r="G196">
        <f t="shared" si="2"/>
        <v>37</v>
      </c>
      <c r="H196" t="s">
        <v>209</v>
      </c>
      <c r="I196" s="6" t="s">
        <v>21</v>
      </c>
      <c r="J196" s="7" t="s">
        <v>28</v>
      </c>
      <c r="K196" s="7" t="s">
        <v>29</v>
      </c>
      <c r="L196" s="6" t="s">
        <v>30</v>
      </c>
      <c r="M196" s="6">
        <v>1</v>
      </c>
      <c r="N196" s="6"/>
      <c r="O196" s="6"/>
      <c r="P196" s="6"/>
      <c r="Q196" s="6"/>
      <c r="R196" s="6" t="s">
        <v>25</v>
      </c>
    </row>
    <row r="197" spans="1:18" x14ac:dyDescent="0.3">
      <c r="A197" s="5">
        <v>46120</v>
      </c>
      <c r="B197" t="s">
        <v>19</v>
      </c>
      <c r="C197">
        <v>2</v>
      </c>
      <c r="D197">
        <v>3</v>
      </c>
      <c r="E197" t="s">
        <v>39</v>
      </c>
      <c r="F197">
        <v>2</v>
      </c>
      <c r="G197">
        <f t="shared" si="2"/>
        <v>8</v>
      </c>
      <c r="H197" t="s">
        <v>209</v>
      </c>
      <c r="I197" s="6" t="s">
        <v>21</v>
      </c>
      <c r="J197" s="7" t="s">
        <v>39</v>
      </c>
      <c r="K197" s="7" t="s">
        <v>40</v>
      </c>
      <c r="L197" s="6" t="s">
        <v>41</v>
      </c>
      <c r="M197" s="6">
        <v>1</v>
      </c>
      <c r="N197" s="6"/>
      <c r="O197" s="6"/>
      <c r="P197" s="6"/>
      <c r="Q197" s="6"/>
      <c r="R197" s="6" t="s">
        <v>25</v>
      </c>
    </row>
    <row r="198" spans="1:18" x14ac:dyDescent="0.3">
      <c r="A198" s="5">
        <v>46120</v>
      </c>
      <c r="B198" t="s">
        <v>19</v>
      </c>
      <c r="C198">
        <v>2</v>
      </c>
      <c r="D198">
        <v>3</v>
      </c>
      <c r="E198" t="s">
        <v>77</v>
      </c>
      <c r="F198">
        <v>1</v>
      </c>
      <c r="G198">
        <f t="shared" si="2"/>
        <v>4</v>
      </c>
      <c r="H198" t="s">
        <v>208</v>
      </c>
      <c r="I198" s="6" t="s">
        <v>21</v>
      </c>
      <c r="J198" s="7" t="s">
        <v>78</v>
      </c>
      <c r="K198" s="7" t="s">
        <v>79</v>
      </c>
      <c r="L198" s="6" t="s">
        <v>71</v>
      </c>
      <c r="M198" s="6">
        <v>1</v>
      </c>
      <c r="N198" s="6"/>
      <c r="O198" s="6"/>
      <c r="P198" s="6"/>
      <c r="Q198" s="6"/>
      <c r="R198" s="6" t="s">
        <v>25</v>
      </c>
    </row>
    <row r="199" spans="1:18" x14ac:dyDescent="0.3">
      <c r="A199" s="5">
        <v>46120</v>
      </c>
      <c r="B199" t="s">
        <v>19</v>
      </c>
      <c r="C199">
        <v>2</v>
      </c>
      <c r="D199">
        <v>3</v>
      </c>
      <c r="E199" t="s">
        <v>42</v>
      </c>
      <c r="F199">
        <v>5</v>
      </c>
      <c r="G199">
        <f t="shared" si="2"/>
        <v>20</v>
      </c>
      <c r="H199" t="s">
        <v>210</v>
      </c>
      <c r="I199" s="6" t="s">
        <v>43</v>
      </c>
      <c r="J199" s="7" t="s">
        <v>44</v>
      </c>
      <c r="K199" s="7" t="s">
        <v>45</v>
      </c>
      <c r="L199" s="6" t="s">
        <v>46</v>
      </c>
      <c r="M199" s="6"/>
      <c r="N199" s="6"/>
      <c r="O199" s="6">
        <v>1</v>
      </c>
      <c r="P199" s="6"/>
      <c r="Q199" s="6"/>
      <c r="R199" s="6" t="s">
        <v>25</v>
      </c>
    </row>
    <row r="200" spans="1:18" x14ac:dyDescent="0.3">
      <c r="A200" s="5">
        <v>46120</v>
      </c>
      <c r="B200" t="s">
        <v>19</v>
      </c>
      <c r="C200">
        <v>2</v>
      </c>
      <c r="D200">
        <v>3</v>
      </c>
      <c r="E200" t="s">
        <v>134</v>
      </c>
      <c r="F200">
        <v>0.25</v>
      </c>
      <c r="G200">
        <f t="shared" si="2"/>
        <v>1</v>
      </c>
      <c r="H200" t="s">
        <v>210</v>
      </c>
      <c r="I200" s="6" t="s">
        <v>135</v>
      </c>
      <c r="J200" s="7" t="s">
        <v>134</v>
      </c>
      <c r="K200" s="7" t="s">
        <v>136</v>
      </c>
      <c r="L200" s="6" t="s">
        <v>137</v>
      </c>
      <c r="M200" s="6"/>
      <c r="N200" s="6"/>
      <c r="O200" s="6"/>
      <c r="P200" s="6">
        <v>1</v>
      </c>
      <c r="Q200" s="6"/>
      <c r="R200" s="6" t="s">
        <v>25</v>
      </c>
    </row>
    <row r="201" spans="1:18" x14ac:dyDescent="0.3">
      <c r="A201" s="5">
        <v>46120</v>
      </c>
      <c r="B201" t="s">
        <v>19</v>
      </c>
      <c r="C201">
        <v>2</v>
      </c>
      <c r="D201">
        <v>3</v>
      </c>
      <c r="E201" t="s">
        <v>35</v>
      </c>
      <c r="F201">
        <v>1</v>
      </c>
      <c r="G201">
        <f t="shared" si="2"/>
        <v>4</v>
      </c>
      <c r="H201" t="s">
        <v>208</v>
      </c>
      <c r="I201" s="6" t="s">
        <v>21</v>
      </c>
      <c r="J201" s="6" t="s">
        <v>36</v>
      </c>
      <c r="K201" s="6" t="s">
        <v>37</v>
      </c>
      <c r="L201" s="6" t="s">
        <v>38</v>
      </c>
      <c r="M201" s="6">
        <v>1</v>
      </c>
      <c r="N201" s="6"/>
      <c r="O201" s="6"/>
      <c r="P201" s="6"/>
      <c r="Q201" s="6"/>
      <c r="R201" s="6" t="s">
        <v>25</v>
      </c>
    </row>
    <row r="202" spans="1:18" x14ac:dyDescent="0.3">
      <c r="A202" s="5">
        <v>46120</v>
      </c>
      <c r="B202" t="s">
        <v>19</v>
      </c>
      <c r="C202">
        <v>2</v>
      </c>
      <c r="D202">
        <v>3</v>
      </c>
      <c r="E202" t="s">
        <v>31</v>
      </c>
      <c r="F202">
        <v>1</v>
      </c>
      <c r="G202">
        <f t="shared" si="2"/>
        <v>4</v>
      </c>
      <c r="H202" t="s">
        <v>209</v>
      </c>
      <c r="I202" s="6" t="s">
        <v>21</v>
      </c>
      <c r="J202" s="7" t="s">
        <v>32</v>
      </c>
      <c r="K202" s="7" t="s">
        <v>33</v>
      </c>
      <c r="L202" s="6" t="s">
        <v>34</v>
      </c>
      <c r="M202" s="6">
        <v>1</v>
      </c>
      <c r="N202" s="6"/>
      <c r="O202" s="6"/>
      <c r="P202" s="6"/>
      <c r="Q202" s="6"/>
      <c r="R202" s="6" t="s">
        <v>25</v>
      </c>
    </row>
    <row r="203" spans="1:18" x14ac:dyDescent="0.3">
      <c r="A203" s="5">
        <v>46120</v>
      </c>
      <c r="B203" t="s">
        <v>19</v>
      </c>
      <c r="C203">
        <v>2</v>
      </c>
      <c r="D203">
        <v>3</v>
      </c>
      <c r="E203" t="s">
        <v>111</v>
      </c>
      <c r="F203">
        <v>1</v>
      </c>
      <c r="G203">
        <f t="shared" si="2"/>
        <v>4</v>
      </c>
      <c r="H203" t="s">
        <v>209</v>
      </c>
      <c r="I203" s="6" t="s">
        <v>21</v>
      </c>
      <c r="J203" s="7" t="s">
        <v>112</v>
      </c>
      <c r="K203" s="7" t="s">
        <v>113</v>
      </c>
      <c r="L203" s="6"/>
      <c r="M203" s="6">
        <v>1</v>
      </c>
      <c r="N203" s="6"/>
      <c r="O203" s="6"/>
      <c r="P203" s="6"/>
      <c r="Q203" s="6"/>
      <c r="R203" s="6" t="s">
        <v>25</v>
      </c>
    </row>
    <row r="204" spans="1:18" x14ac:dyDescent="0.3">
      <c r="A204" s="5">
        <v>46120</v>
      </c>
      <c r="B204" t="s">
        <v>19</v>
      </c>
      <c r="C204">
        <v>2</v>
      </c>
      <c r="D204">
        <v>3</v>
      </c>
      <c r="E204" t="s">
        <v>63</v>
      </c>
      <c r="F204">
        <v>0.5</v>
      </c>
      <c r="G204">
        <f t="shared" si="2"/>
        <v>2</v>
      </c>
      <c r="H204" t="s">
        <v>210</v>
      </c>
      <c r="I204" s="6" t="s">
        <v>64</v>
      </c>
      <c r="J204" s="7" t="s">
        <v>65</v>
      </c>
      <c r="K204" s="7" t="s">
        <v>66</v>
      </c>
      <c r="L204" s="6" t="s">
        <v>67</v>
      </c>
      <c r="M204" s="6"/>
      <c r="N204" s="6"/>
      <c r="O204" s="6"/>
      <c r="P204" s="6">
        <v>1</v>
      </c>
      <c r="Q204" s="6"/>
      <c r="R204" s="6" t="s">
        <v>25</v>
      </c>
    </row>
    <row r="205" spans="1:18" x14ac:dyDescent="0.3">
      <c r="A205" s="5">
        <v>46120</v>
      </c>
      <c r="B205" t="s">
        <v>19</v>
      </c>
      <c r="C205">
        <v>2</v>
      </c>
      <c r="D205">
        <v>3</v>
      </c>
      <c r="E205" t="s">
        <v>151</v>
      </c>
      <c r="F205">
        <v>0.5</v>
      </c>
      <c r="G205">
        <f t="shared" si="2"/>
        <v>2</v>
      </c>
      <c r="H205" t="s">
        <v>208</v>
      </c>
      <c r="I205" t="s">
        <v>21</v>
      </c>
      <c r="J205" t="s">
        <v>32</v>
      </c>
      <c r="K205" t="s">
        <v>152</v>
      </c>
      <c r="L205" t="s">
        <v>38</v>
      </c>
      <c r="M205">
        <v>1</v>
      </c>
      <c r="R205" t="s">
        <v>25</v>
      </c>
    </row>
    <row r="206" spans="1:18" x14ac:dyDescent="0.3">
      <c r="A206" s="5">
        <v>46120</v>
      </c>
      <c r="B206" t="s">
        <v>19</v>
      </c>
      <c r="C206">
        <v>2</v>
      </c>
      <c r="D206">
        <v>3</v>
      </c>
      <c r="E206" t="s">
        <v>68</v>
      </c>
      <c r="F206">
        <v>0.25</v>
      </c>
      <c r="G206">
        <f t="shared" si="2"/>
        <v>1</v>
      </c>
      <c r="H206" t="s">
        <v>210</v>
      </c>
      <c r="I206" s="6" t="s">
        <v>69</v>
      </c>
      <c r="J206" s="7" t="s">
        <v>68</v>
      </c>
      <c r="K206" s="7" t="s">
        <v>70</v>
      </c>
      <c r="L206" s="6" t="s">
        <v>71</v>
      </c>
      <c r="M206" s="6"/>
      <c r="N206" s="6"/>
      <c r="O206" s="6"/>
      <c r="P206" s="6"/>
      <c r="Q206" s="6">
        <v>1</v>
      </c>
      <c r="R206" s="6" t="s">
        <v>25</v>
      </c>
    </row>
    <row r="207" spans="1:18" x14ac:dyDescent="0.3">
      <c r="A207" s="5">
        <v>46120</v>
      </c>
      <c r="B207" t="s">
        <v>19</v>
      </c>
      <c r="C207">
        <v>2</v>
      </c>
      <c r="D207">
        <v>3</v>
      </c>
      <c r="E207" t="s">
        <v>52</v>
      </c>
      <c r="F207">
        <v>0.25</v>
      </c>
      <c r="G207">
        <f t="shared" si="2"/>
        <v>1</v>
      </c>
      <c r="H207" t="s">
        <v>210</v>
      </c>
      <c r="I207" s="6" t="s">
        <v>53</v>
      </c>
      <c r="J207" s="7" t="s">
        <v>54</v>
      </c>
      <c r="K207" s="7" t="s">
        <v>55</v>
      </c>
      <c r="L207" s="6" t="s">
        <v>56</v>
      </c>
      <c r="M207" s="6"/>
      <c r="N207" s="6"/>
      <c r="O207" s="6"/>
      <c r="P207" s="6">
        <v>1</v>
      </c>
      <c r="Q207" s="6"/>
      <c r="R207" s="6" t="s">
        <v>57</v>
      </c>
    </row>
    <row r="208" spans="1:18" x14ac:dyDescent="0.3">
      <c r="A208" s="5">
        <v>46120</v>
      </c>
      <c r="B208" t="s">
        <v>19</v>
      </c>
      <c r="C208">
        <v>2</v>
      </c>
      <c r="D208">
        <v>3</v>
      </c>
      <c r="E208" t="s">
        <v>76</v>
      </c>
      <c r="F208">
        <v>3</v>
      </c>
      <c r="G208">
        <f t="shared" si="2"/>
        <v>12</v>
      </c>
      <c r="H208" t="s">
        <v>239</v>
      </c>
    </row>
    <row r="209" spans="1:21" x14ac:dyDescent="0.3">
      <c r="A209" s="5">
        <v>46120</v>
      </c>
      <c r="B209" t="s">
        <v>19</v>
      </c>
      <c r="C209">
        <v>2</v>
      </c>
      <c r="D209">
        <v>2</v>
      </c>
      <c r="E209" t="s">
        <v>27</v>
      </c>
      <c r="F209">
        <v>11</v>
      </c>
      <c r="G209">
        <f t="shared" si="2"/>
        <v>44</v>
      </c>
      <c r="H209" t="s">
        <v>209</v>
      </c>
      <c r="I209" s="6" t="s">
        <v>21</v>
      </c>
      <c r="J209" s="7" t="s">
        <v>28</v>
      </c>
      <c r="K209" s="7" t="s">
        <v>29</v>
      </c>
      <c r="L209" s="6" t="s">
        <v>30</v>
      </c>
      <c r="M209" s="6">
        <v>1</v>
      </c>
      <c r="N209" s="6"/>
      <c r="O209" s="6"/>
      <c r="P209" s="6"/>
      <c r="Q209" s="6"/>
      <c r="R209" s="6" t="s">
        <v>25</v>
      </c>
      <c r="U209" t="s">
        <v>186</v>
      </c>
    </row>
    <row r="210" spans="1:21" x14ac:dyDescent="0.3">
      <c r="A210" s="5">
        <v>46120</v>
      </c>
      <c r="B210" t="s">
        <v>19</v>
      </c>
      <c r="C210">
        <v>2</v>
      </c>
      <c r="D210">
        <v>2</v>
      </c>
      <c r="E210" t="s">
        <v>39</v>
      </c>
      <c r="F210">
        <v>2</v>
      </c>
      <c r="G210">
        <f t="shared" si="2"/>
        <v>8</v>
      </c>
      <c r="H210" t="s">
        <v>209</v>
      </c>
      <c r="I210" s="6" t="s">
        <v>21</v>
      </c>
      <c r="J210" s="7" t="s">
        <v>39</v>
      </c>
      <c r="K210" s="7" t="s">
        <v>40</v>
      </c>
      <c r="L210" s="6" t="s">
        <v>41</v>
      </c>
      <c r="M210" s="6">
        <v>1</v>
      </c>
      <c r="N210" s="6"/>
      <c r="O210" s="6"/>
      <c r="P210" s="6"/>
      <c r="Q210" s="6"/>
      <c r="R210" s="6" t="s">
        <v>25</v>
      </c>
    </row>
    <row r="211" spans="1:21" x14ac:dyDescent="0.3">
      <c r="A211" s="5">
        <v>46120</v>
      </c>
      <c r="B211" t="s">
        <v>19</v>
      </c>
      <c r="C211">
        <v>2</v>
      </c>
      <c r="D211">
        <v>2</v>
      </c>
      <c r="E211" t="s">
        <v>187</v>
      </c>
      <c r="F211">
        <v>0.5</v>
      </c>
      <c r="G211">
        <f t="shared" si="2"/>
        <v>2</v>
      </c>
      <c r="H211" t="s">
        <v>208</v>
      </c>
      <c r="I211" s="6" t="s">
        <v>21</v>
      </c>
      <c r="J211" s="7" t="s">
        <v>36</v>
      </c>
      <c r="K211" s="7" t="s">
        <v>188</v>
      </c>
      <c r="L211" s="6" t="s">
        <v>189</v>
      </c>
      <c r="M211" s="6">
        <v>1</v>
      </c>
      <c r="N211" s="6"/>
      <c r="O211" s="6"/>
      <c r="P211" s="6"/>
      <c r="Q211" s="6"/>
      <c r="R211" s="6" t="s">
        <v>57</v>
      </c>
    </row>
    <row r="212" spans="1:21" x14ac:dyDescent="0.3">
      <c r="A212" s="5">
        <v>46120</v>
      </c>
      <c r="B212" t="s">
        <v>19</v>
      </c>
      <c r="C212">
        <v>2</v>
      </c>
      <c r="D212">
        <v>2</v>
      </c>
      <c r="E212" t="s">
        <v>20</v>
      </c>
      <c r="F212">
        <v>2</v>
      </c>
      <c r="G212">
        <f t="shared" si="2"/>
        <v>8</v>
      </c>
      <c r="H212" t="s">
        <v>208</v>
      </c>
      <c r="I212" s="6" t="s">
        <v>21</v>
      </c>
      <c r="J212" s="7" t="s">
        <v>22</v>
      </c>
      <c r="K212" s="7" t="s">
        <v>23</v>
      </c>
      <c r="L212" s="6" t="s">
        <v>24</v>
      </c>
      <c r="M212" s="6">
        <v>1</v>
      </c>
      <c r="N212" s="6">
        <v>0</v>
      </c>
      <c r="O212" s="6">
        <v>0</v>
      </c>
      <c r="P212" s="6">
        <v>0</v>
      </c>
      <c r="Q212" s="6"/>
      <c r="R212" s="6" t="s">
        <v>25</v>
      </c>
    </row>
    <row r="213" spans="1:21" x14ac:dyDescent="0.3">
      <c r="A213" s="5">
        <v>46120</v>
      </c>
      <c r="B213" t="s">
        <v>19</v>
      </c>
      <c r="C213">
        <v>2</v>
      </c>
      <c r="D213">
        <v>2</v>
      </c>
      <c r="E213" t="s">
        <v>107</v>
      </c>
      <c r="F213">
        <v>0.5</v>
      </c>
      <c r="G213">
        <f t="shared" si="2"/>
        <v>2</v>
      </c>
      <c r="H213" t="s">
        <v>209</v>
      </c>
      <c r="I213" s="6" t="s">
        <v>21</v>
      </c>
      <c r="J213" s="7" t="s">
        <v>108</v>
      </c>
      <c r="K213" s="7" t="s">
        <v>109</v>
      </c>
      <c r="L213" s="6" t="s">
        <v>110</v>
      </c>
      <c r="M213" s="6">
        <v>1</v>
      </c>
      <c r="N213" s="6"/>
      <c r="O213" s="6"/>
      <c r="P213" s="6"/>
      <c r="Q213" s="6"/>
      <c r="R213" s="6" t="s">
        <v>25</v>
      </c>
    </row>
    <row r="214" spans="1:21" x14ac:dyDescent="0.3">
      <c r="A214" s="5">
        <v>46120</v>
      </c>
      <c r="B214" t="s">
        <v>19</v>
      </c>
      <c r="C214">
        <v>2</v>
      </c>
      <c r="D214">
        <v>2</v>
      </c>
      <c r="E214" t="s">
        <v>35</v>
      </c>
      <c r="F214">
        <v>1</v>
      </c>
      <c r="G214">
        <f t="shared" si="2"/>
        <v>4</v>
      </c>
      <c r="H214" t="s">
        <v>208</v>
      </c>
      <c r="I214" s="6" t="s">
        <v>21</v>
      </c>
      <c r="J214" s="6" t="s">
        <v>36</v>
      </c>
      <c r="K214" s="6" t="s">
        <v>37</v>
      </c>
      <c r="L214" s="6" t="s">
        <v>38</v>
      </c>
      <c r="M214" s="6">
        <v>1</v>
      </c>
      <c r="N214" s="6"/>
      <c r="O214" s="6"/>
      <c r="P214" s="6"/>
      <c r="Q214" s="6"/>
      <c r="R214" s="6" t="s">
        <v>25</v>
      </c>
    </row>
    <row r="215" spans="1:21" x14ac:dyDescent="0.3">
      <c r="A215" s="5">
        <v>46120</v>
      </c>
      <c r="B215" t="s">
        <v>19</v>
      </c>
      <c r="C215">
        <v>2</v>
      </c>
      <c r="D215">
        <v>2</v>
      </c>
      <c r="E215" t="s">
        <v>42</v>
      </c>
      <c r="F215">
        <v>4</v>
      </c>
      <c r="G215">
        <f t="shared" si="2"/>
        <v>16</v>
      </c>
      <c r="H215" t="s">
        <v>210</v>
      </c>
      <c r="I215" s="6" t="s">
        <v>43</v>
      </c>
      <c r="J215" s="7" t="s">
        <v>44</v>
      </c>
      <c r="K215" s="7" t="s">
        <v>45</v>
      </c>
      <c r="L215" s="6" t="s">
        <v>46</v>
      </c>
      <c r="M215" s="6"/>
      <c r="N215" s="6"/>
      <c r="O215" s="6">
        <v>1</v>
      </c>
      <c r="P215" s="6"/>
      <c r="Q215" s="6"/>
      <c r="R215" s="6" t="s">
        <v>25</v>
      </c>
    </row>
    <row r="216" spans="1:21" x14ac:dyDescent="0.3">
      <c r="A216" s="5">
        <v>46120</v>
      </c>
      <c r="B216" t="s">
        <v>19</v>
      </c>
      <c r="C216">
        <v>2</v>
      </c>
      <c r="D216">
        <v>2</v>
      </c>
      <c r="E216" t="s">
        <v>151</v>
      </c>
      <c r="F216">
        <v>1</v>
      </c>
      <c r="G216">
        <f t="shared" si="2"/>
        <v>4</v>
      </c>
      <c r="H216" t="s">
        <v>208</v>
      </c>
      <c r="I216" t="s">
        <v>21</v>
      </c>
      <c r="J216" t="s">
        <v>32</v>
      </c>
      <c r="K216" t="s">
        <v>152</v>
      </c>
      <c r="L216" t="s">
        <v>38</v>
      </c>
      <c r="M216">
        <v>1</v>
      </c>
      <c r="R216" t="s">
        <v>25</v>
      </c>
    </row>
    <row r="217" spans="1:21" x14ac:dyDescent="0.3">
      <c r="A217" s="5">
        <v>46120</v>
      </c>
      <c r="B217" t="s">
        <v>19</v>
      </c>
      <c r="C217">
        <v>2</v>
      </c>
      <c r="D217">
        <v>2</v>
      </c>
      <c r="E217" t="s">
        <v>160</v>
      </c>
      <c r="F217">
        <v>1</v>
      </c>
      <c r="G217">
        <f t="shared" si="2"/>
        <v>4</v>
      </c>
      <c r="H217" t="s">
        <v>210</v>
      </c>
      <c r="I217" s="6" t="s">
        <v>53</v>
      </c>
      <c r="J217" s="7" t="s">
        <v>161</v>
      </c>
      <c r="K217" s="7" t="s">
        <v>162</v>
      </c>
      <c r="L217" s="6" t="s">
        <v>163</v>
      </c>
      <c r="M217" s="6"/>
      <c r="N217" s="6"/>
      <c r="O217" s="6"/>
      <c r="P217" s="6">
        <v>1</v>
      </c>
      <c r="Q217" s="6"/>
      <c r="R217" s="6" t="s">
        <v>57</v>
      </c>
    </row>
    <row r="218" spans="1:21" x14ac:dyDescent="0.3">
      <c r="A218" s="5">
        <v>46120</v>
      </c>
      <c r="B218" t="s">
        <v>19</v>
      </c>
      <c r="C218">
        <v>2</v>
      </c>
      <c r="D218">
        <v>2</v>
      </c>
      <c r="E218" t="s">
        <v>94</v>
      </c>
      <c r="F218">
        <v>0.1</v>
      </c>
      <c r="G218">
        <f t="shared" si="2"/>
        <v>0.4</v>
      </c>
      <c r="H218" t="s">
        <v>12</v>
      </c>
      <c r="I218" s="6" t="s">
        <v>95</v>
      </c>
      <c r="J218" s="7" t="s">
        <v>96</v>
      </c>
      <c r="K218" s="7" t="s">
        <v>97</v>
      </c>
      <c r="L218" s="6" t="s">
        <v>98</v>
      </c>
      <c r="M218" s="6"/>
      <c r="N218" s="6">
        <v>1</v>
      </c>
      <c r="O218" s="6"/>
      <c r="P218" s="6"/>
      <c r="Q218" s="6"/>
      <c r="R218" s="6" t="s">
        <v>25</v>
      </c>
    </row>
    <row r="219" spans="1:21" x14ac:dyDescent="0.3">
      <c r="A219" s="5">
        <v>46120</v>
      </c>
      <c r="B219" t="s">
        <v>19</v>
      </c>
      <c r="C219">
        <v>2</v>
      </c>
      <c r="D219">
        <v>2</v>
      </c>
      <c r="E219" t="s">
        <v>52</v>
      </c>
      <c r="F219">
        <v>0.25</v>
      </c>
      <c r="G219">
        <f t="shared" si="2"/>
        <v>1</v>
      </c>
      <c r="H219" t="s">
        <v>210</v>
      </c>
      <c r="I219" s="6" t="s">
        <v>53</v>
      </c>
      <c r="J219" s="7" t="s">
        <v>54</v>
      </c>
      <c r="K219" s="7" t="s">
        <v>55</v>
      </c>
      <c r="L219" s="6" t="s">
        <v>56</v>
      </c>
      <c r="M219" s="6"/>
      <c r="N219" s="6"/>
      <c r="O219" s="6"/>
      <c r="P219" s="6">
        <v>1</v>
      </c>
      <c r="Q219" s="6"/>
      <c r="R219" s="6" t="s">
        <v>57</v>
      </c>
    </row>
    <row r="220" spans="1:21" x14ac:dyDescent="0.3">
      <c r="A220" s="5">
        <v>46120</v>
      </c>
      <c r="B220" t="s">
        <v>19</v>
      </c>
      <c r="C220">
        <v>2</v>
      </c>
      <c r="D220">
        <v>2</v>
      </c>
      <c r="E220" t="s">
        <v>90</v>
      </c>
      <c r="F220">
        <v>0.25</v>
      </c>
      <c r="G220">
        <f t="shared" si="2"/>
        <v>1</v>
      </c>
      <c r="H220" t="s">
        <v>210</v>
      </c>
      <c r="I220" s="6" t="s">
        <v>43</v>
      </c>
      <c r="J220" s="7" t="s">
        <v>91</v>
      </c>
      <c r="K220" s="7" t="s">
        <v>92</v>
      </c>
      <c r="L220" s="6" t="s">
        <v>93</v>
      </c>
      <c r="M220" s="6"/>
      <c r="N220" s="6"/>
      <c r="O220" s="6">
        <v>1</v>
      </c>
      <c r="P220" s="6"/>
      <c r="Q220" s="6"/>
      <c r="R220" s="6" t="s">
        <v>57</v>
      </c>
    </row>
    <row r="221" spans="1:21" x14ac:dyDescent="0.3">
      <c r="A221" s="5">
        <v>46120</v>
      </c>
      <c r="B221" t="s">
        <v>19</v>
      </c>
      <c r="C221">
        <v>2</v>
      </c>
      <c r="D221">
        <v>2</v>
      </c>
      <c r="E221" t="s">
        <v>77</v>
      </c>
      <c r="F221">
        <v>1</v>
      </c>
      <c r="G221">
        <f t="shared" si="2"/>
        <v>4</v>
      </c>
      <c r="H221" t="s">
        <v>208</v>
      </c>
      <c r="I221" s="6" t="s">
        <v>21</v>
      </c>
      <c r="J221" s="7" t="s">
        <v>78</v>
      </c>
      <c r="K221" s="7" t="s">
        <v>79</v>
      </c>
      <c r="L221" s="6" t="s">
        <v>71</v>
      </c>
      <c r="M221" s="6">
        <v>1</v>
      </c>
      <c r="N221" s="6"/>
      <c r="O221" s="6"/>
      <c r="P221" s="6"/>
      <c r="Q221" s="6"/>
      <c r="R221" s="6" t="s">
        <v>25</v>
      </c>
    </row>
    <row r="222" spans="1:21" x14ac:dyDescent="0.3">
      <c r="A222" s="5">
        <v>46120</v>
      </c>
      <c r="B222" t="s">
        <v>19</v>
      </c>
      <c r="C222">
        <v>2</v>
      </c>
      <c r="D222">
        <v>2</v>
      </c>
      <c r="E222" t="s">
        <v>167</v>
      </c>
      <c r="F222">
        <v>0.4</v>
      </c>
      <c r="G222">
        <f t="shared" si="2"/>
        <v>1.6</v>
      </c>
      <c r="H222" t="s">
        <v>209</v>
      </c>
      <c r="I222" s="6" t="s">
        <v>21</v>
      </c>
      <c r="J222" s="7" t="s">
        <v>167</v>
      </c>
      <c r="K222" s="7" t="s">
        <v>168</v>
      </c>
      <c r="L222" s="6" t="s">
        <v>169</v>
      </c>
      <c r="M222" s="6">
        <v>1</v>
      </c>
      <c r="N222" s="6"/>
      <c r="O222" s="6"/>
      <c r="P222" s="6"/>
      <c r="Q222" s="6"/>
      <c r="R222" s="6" t="s">
        <v>25</v>
      </c>
    </row>
    <row r="223" spans="1:21" x14ac:dyDescent="0.3">
      <c r="A223" s="5">
        <v>46120</v>
      </c>
      <c r="B223" t="s">
        <v>19</v>
      </c>
      <c r="C223">
        <v>2</v>
      </c>
      <c r="D223">
        <v>2</v>
      </c>
      <c r="E223" t="s">
        <v>76</v>
      </c>
      <c r="F223">
        <v>0</v>
      </c>
      <c r="G223">
        <f t="shared" si="2"/>
        <v>0</v>
      </c>
      <c r="H223" t="s">
        <v>239</v>
      </c>
    </row>
    <row r="224" spans="1:21" x14ac:dyDescent="0.3">
      <c r="A224" s="5">
        <v>46120</v>
      </c>
      <c r="B224" t="s">
        <v>19</v>
      </c>
      <c r="C224">
        <v>2</v>
      </c>
      <c r="D224">
        <v>1</v>
      </c>
      <c r="E224" t="s">
        <v>39</v>
      </c>
      <c r="F224">
        <v>6</v>
      </c>
      <c r="G224">
        <f t="shared" si="2"/>
        <v>24</v>
      </c>
      <c r="H224" t="s">
        <v>209</v>
      </c>
      <c r="I224" s="6" t="s">
        <v>21</v>
      </c>
      <c r="J224" s="7" t="s">
        <v>39</v>
      </c>
      <c r="K224" s="7" t="s">
        <v>40</v>
      </c>
      <c r="L224" s="6" t="s">
        <v>41</v>
      </c>
      <c r="M224" s="6">
        <v>1</v>
      </c>
      <c r="N224" s="6"/>
      <c r="O224" s="6"/>
      <c r="P224" s="6"/>
      <c r="Q224" s="6"/>
      <c r="R224" s="6" t="s">
        <v>25</v>
      </c>
    </row>
    <row r="225" spans="1:18" x14ac:dyDescent="0.3">
      <c r="A225" s="5">
        <v>46120</v>
      </c>
      <c r="B225" t="s">
        <v>19</v>
      </c>
      <c r="C225">
        <v>2</v>
      </c>
      <c r="D225">
        <v>1</v>
      </c>
      <c r="E225" t="s">
        <v>31</v>
      </c>
      <c r="F225">
        <v>2</v>
      </c>
      <c r="G225">
        <f t="shared" si="2"/>
        <v>8</v>
      </c>
      <c r="H225" t="s">
        <v>209</v>
      </c>
      <c r="I225" s="6" t="s">
        <v>21</v>
      </c>
      <c r="J225" s="7" t="s">
        <v>32</v>
      </c>
      <c r="K225" s="7" t="s">
        <v>33</v>
      </c>
      <c r="L225" s="6" t="s">
        <v>34</v>
      </c>
      <c r="M225" s="6">
        <v>1</v>
      </c>
      <c r="N225" s="6"/>
      <c r="O225" s="6"/>
      <c r="P225" s="6"/>
      <c r="Q225" s="6"/>
      <c r="R225" s="6" t="s">
        <v>25</v>
      </c>
    </row>
    <row r="226" spans="1:18" x14ac:dyDescent="0.3">
      <c r="A226" s="5">
        <v>46120</v>
      </c>
      <c r="B226" t="s">
        <v>19</v>
      </c>
      <c r="C226">
        <v>2</v>
      </c>
      <c r="D226">
        <v>1</v>
      </c>
      <c r="E226" t="s">
        <v>107</v>
      </c>
      <c r="F226">
        <v>2</v>
      </c>
      <c r="G226">
        <f t="shared" si="2"/>
        <v>8</v>
      </c>
      <c r="H226" t="s">
        <v>209</v>
      </c>
      <c r="I226" s="6" t="s">
        <v>21</v>
      </c>
      <c r="J226" s="7" t="s">
        <v>108</v>
      </c>
      <c r="K226" s="7" t="s">
        <v>109</v>
      </c>
      <c r="L226" s="6" t="s">
        <v>110</v>
      </c>
      <c r="M226" s="6">
        <v>1</v>
      </c>
      <c r="N226" s="6"/>
      <c r="O226" s="6"/>
      <c r="P226" s="6"/>
      <c r="Q226" s="6"/>
      <c r="R226" s="6" t="s">
        <v>25</v>
      </c>
    </row>
    <row r="227" spans="1:18" x14ac:dyDescent="0.3">
      <c r="A227" s="5">
        <v>46120</v>
      </c>
      <c r="B227" t="s">
        <v>19</v>
      </c>
      <c r="C227">
        <v>2</v>
      </c>
      <c r="D227">
        <v>1</v>
      </c>
      <c r="E227" t="s">
        <v>42</v>
      </c>
      <c r="F227">
        <v>3</v>
      </c>
      <c r="G227">
        <f t="shared" si="2"/>
        <v>12</v>
      </c>
      <c r="H227" t="s">
        <v>210</v>
      </c>
      <c r="I227" s="6" t="s">
        <v>43</v>
      </c>
      <c r="J227" s="7" t="s">
        <v>44</v>
      </c>
      <c r="K227" s="7" t="s">
        <v>45</v>
      </c>
      <c r="L227" s="6" t="s">
        <v>46</v>
      </c>
      <c r="M227" s="6"/>
      <c r="N227" s="6"/>
      <c r="O227" s="6">
        <v>1</v>
      </c>
      <c r="P227" s="6"/>
      <c r="Q227" s="6"/>
      <c r="R227" s="6" t="s">
        <v>25</v>
      </c>
    </row>
    <row r="228" spans="1:18" x14ac:dyDescent="0.3">
      <c r="A228" s="5">
        <v>46120</v>
      </c>
      <c r="B228" t="s">
        <v>19</v>
      </c>
      <c r="C228">
        <v>2</v>
      </c>
      <c r="D228">
        <v>1</v>
      </c>
      <c r="E228" t="s">
        <v>20</v>
      </c>
      <c r="F228">
        <v>3</v>
      </c>
      <c r="G228">
        <f t="shared" si="2"/>
        <v>12</v>
      </c>
      <c r="H228" t="s">
        <v>208</v>
      </c>
      <c r="I228" s="6" t="s">
        <v>21</v>
      </c>
      <c r="J228" s="7" t="s">
        <v>22</v>
      </c>
      <c r="K228" s="7" t="s">
        <v>23</v>
      </c>
      <c r="L228" s="6" t="s">
        <v>24</v>
      </c>
      <c r="M228" s="6">
        <v>1</v>
      </c>
      <c r="N228" s="6">
        <v>0</v>
      </c>
      <c r="O228" s="6">
        <v>0</v>
      </c>
      <c r="P228" s="6">
        <v>0</v>
      </c>
      <c r="Q228" s="6"/>
      <c r="R228" s="6" t="s">
        <v>25</v>
      </c>
    </row>
    <row r="229" spans="1:18" x14ac:dyDescent="0.3">
      <c r="A229" s="5">
        <v>46120</v>
      </c>
      <c r="B229" t="s">
        <v>19</v>
      </c>
      <c r="C229">
        <v>2</v>
      </c>
      <c r="D229">
        <v>1</v>
      </c>
      <c r="E229" t="s">
        <v>77</v>
      </c>
      <c r="F229">
        <v>2</v>
      </c>
      <c r="G229">
        <f t="shared" si="2"/>
        <v>8</v>
      </c>
      <c r="H229" t="s">
        <v>208</v>
      </c>
      <c r="I229" s="6" t="s">
        <v>21</v>
      </c>
      <c r="J229" s="7" t="s">
        <v>78</v>
      </c>
      <c r="K229" s="7" t="s">
        <v>79</v>
      </c>
      <c r="L229" s="6" t="s">
        <v>71</v>
      </c>
      <c r="M229" s="6">
        <v>1</v>
      </c>
      <c r="N229" s="6"/>
      <c r="O229" s="6"/>
      <c r="P229" s="6"/>
      <c r="Q229" s="6"/>
      <c r="R229" s="6" t="s">
        <v>25</v>
      </c>
    </row>
    <row r="230" spans="1:18" x14ac:dyDescent="0.3">
      <c r="A230" s="5">
        <v>46120</v>
      </c>
      <c r="B230" t="s">
        <v>19</v>
      </c>
      <c r="C230">
        <v>2</v>
      </c>
      <c r="D230">
        <v>1</v>
      </c>
      <c r="E230" t="s">
        <v>35</v>
      </c>
      <c r="F230">
        <v>1</v>
      </c>
      <c r="G230">
        <f t="shared" si="2"/>
        <v>4</v>
      </c>
      <c r="H230" t="s">
        <v>208</v>
      </c>
      <c r="I230" s="6" t="s">
        <v>21</v>
      </c>
      <c r="J230" s="6" t="s">
        <v>36</v>
      </c>
      <c r="K230" s="6" t="s">
        <v>37</v>
      </c>
      <c r="L230" s="6" t="s">
        <v>38</v>
      </c>
      <c r="M230" s="6">
        <v>1</v>
      </c>
      <c r="N230" s="6"/>
      <c r="O230" s="6"/>
      <c r="P230" s="6"/>
      <c r="Q230" s="6"/>
      <c r="R230" s="6" t="s">
        <v>25</v>
      </c>
    </row>
    <row r="231" spans="1:18" x14ac:dyDescent="0.3">
      <c r="A231" s="5">
        <v>46120</v>
      </c>
      <c r="B231" t="s">
        <v>19</v>
      </c>
      <c r="C231">
        <v>2</v>
      </c>
      <c r="D231">
        <v>1</v>
      </c>
      <c r="E231" t="s">
        <v>160</v>
      </c>
      <c r="F231">
        <v>0.25</v>
      </c>
      <c r="G231">
        <f t="shared" si="2"/>
        <v>1</v>
      </c>
      <c r="H231" t="s">
        <v>210</v>
      </c>
      <c r="I231" s="6" t="s">
        <v>53</v>
      </c>
      <c r="J231" s="7" t="s">
        <v>161</v>
      </c>
      <c r="K231" s="7" t="s">
        <v>162</v>
      </c>
      <c r="L231" s="6" t="s">
        <v>163</v>
      </c>
      <c r="M231" s="6"/>
      <c r="N231" s="6"/>
      <c r="O231" s="6"/>
      <c r="P231" s="6">
        <v>1</v>
      </c>
      <c r="Q231" s="6"/>
      <c r="R231" s="6" t="s">
        <v>57</v>
      </c>
    </row>
    <row r="232" spans="1:18" x14ac:dyDescent="0.3">
      <c r="A232" s="5">
        <v>46120</v>
      </c>
      <c r="B232" t="s">
        <v>19</v>
      </c>
      <c r="C232">
        <v>2</v>
      </c>
      <c r="D232">
        <v>1</v>
      </c>
      <c r="E232" t="s">
        <v>52</v>
      </c>
      <c r="F232">
        <v>0.25</v>
      </c>
      <c r="G232">
        <f t="shared" si="2"/>
        <v>1</v>
      </c>
      <c r="H232" t="s">
        <v>210</v>
      </c>
      <c r="I232" s="6" t="s">
        <v>53</v>
      </c>
      <c r="J232" s="7" t="s">
        <v>54</v>
      </c>
      <c r="K232" s="7" t="s">
        <v>55</v>
      </c>
      <c r="L232" s="6" t="s">
        <v>56</v>
      </c>
      <c r="M232" s="6"/>
      <c r="N232" s="6"/>
      <c r="O232" s="6"/>
      <c r="P232" s="6">
        <v>1</v>
      </c>
      <c r="Q232" s="6"/>
      <c r="R232" s="6" t="s">
        <v>57</v>
      </c>
    </row>
    <row r="233" spans="1:18" x14ac:dyDescent="0.3">
      <c r="A233" s="5">
        <v>46120</v>
      </c>
      <c r="B233" t="s">
        <v>19</v>
      </c>
      <c r="C233">
        <v>2</v>
      </c>
      <c r="D233">
        <v>1</v>
      </c>
      <c r="E233" t="s">
        <v>76</v>
      </c>
      <c r="F233">
        <v>5.5</v>
      </c>
      <c r="G233">
        <f t="shared" si="2"/>
        <v>22</v>
      </c>
      <c r="H233" t="s">
        <v>239</v>
      </c>
    </row>
    <row r="234" spans="1:18" x14ac:dyDescent="0.3">
      <c r="A234" s="5">
        <v>46120</v>
      </c>
      <c r="B234" t="s">
        <v>19</v>
      </c>
      <c r="C234">
        <v>3</v>
      </c>
      <c r="D234">
        <v>1</v>
      </c>
      <c r="E234" t="s">
        <v>39</v>
      </c>
      <c r="F234">
        <v>2</v>
      </c>
      <c r="G234">
        <f t="shared" si="2"/>
        <v>8</v>
      </c>
      <c r="H234" t="s">
        <v>209</v>
      </c>
      <c r="I234" s="6" t="s">
        <v>21</v>
      </c>
      <c r="J234" s="7" t="s">
        <v>39</v>
      </c>
      <c r="K234" s="7" t="s">
        <v>40</v>
      </c>
      <c r="L234" s="6" t="s">
        <v>41</v>
      </c>
      <c r="M234" s="6">
        <v>1</v>
      </c>
      <c r="N234" s="6"/>
      <c r="O234" s="6"/>
      <c r="P234" s="6"/>
      <c r="Q234" s="6"/>
      <c r="R234" s="6" t="s">
        <v>25</v>
      </c>
    </row>
    <row r="235" spans="1:18" x14ac:dyDescent="0.3">
      <c r="A235" s="5">
        <v>46120</v>
      </c>
      <c r="B235" t="s">
        <v>19</v>
      </c>
      <c r="C235">
        <v>3</v>
      </c>
      <c r="D235">
        <v>1</v>
      </c>
      <c r="E235" t="s">
        <v>27</v>
      </c>
      <c r="F235">
        <v>2</v>
      </c>
      <c r="G235">
        <f t="shared" si="2"/>
        <v>8</v>
      </c>
      <c r="H235" t="s">
        <v>209</v>
      </c>
      <c r="I235" s="6" t="s">
        <v>21</v>
      </c>
      <c r="J235" s="7" t="s">
        <v>28</v>
      </c>
      <c r="K235" s="7" t="s">
        <v>29</v>
      </c>
      <c r="L235" s="6" t="s">
        <v>30</v>
      </c>
      <c r="M235" s="6">
        <v>1</v>
      </c>
      <c r="N235" s="6"/>
      <c r="O235" s="6"/>
      <c r="P235" s="6"/>
      <c r="Q235" s="6"/>
      <c r="R235" s="6" t="s">
        <v>25</v>
      </c>
    </row>
    <row r="236" spans="1:18" x14ac:dyDescent="0.3">
      <c r="A236" s="5">
        <v>46120</v>
      </c>
      <c r="B236" t="s">
        <v>19</v>
      </c>
      <c r="C236">
        <v>3</v>
      </c>
      <c r="D236">
        <v>1</v>
      </c>
      <c r="E236" t="s">
        <v>52</v>
      </c>
      <c r="F236">
        <v>0.25</v>
      </c>
      <c r="G236">
        <f t="shared" si="2"/>
        <v>1</v>
      </c>
      <c r="H236" t="s">
        <v>210</v>
      </c>
      <c r="I236" s="6" t="s">
        <v>53</v>
      </c>
      <c r="J236" s="7" t="s">
        <v>54</v>
      </c>
      <c r="K236" s="7" t="s">
        <v>55</v>
      </c>
      <c r="L236" s="6" t="s">
        <v>56</v>
      </c>
      <c r="M236" s="6"/>
      <c r="N236" s="6"/>
      <c r="O236" s="6"/>
      <c r="P236" s="6">
        <v>1</v>
      </c>
      <c r="Q236" s="6"/>
      <c r="R236" s="6" t="s">
        <v>57</v>
      </c>
    </row>
    <row r="237" spans="1:18" x14ac:dyDescent="0.3">
      <c r="A237" s="5">
        <v>46120</v>
      </c>
      <c r="B237" t="s">
        <v>19</v>
      </c>
      <c r="C237">
        <v>3</v>
      </c>
      <c r="D237">
        <v>1</v>
      </c>
      <c r="E237" t="s">
        <v>90</v>
      </c>
      <c r="F237">
        <v>0.25</v>
      </c>
      <c r="G237">
        <f t="shared" si="2"/>
        <v>1</v>
      </c>
      <c r="H237" t="s">
        <v>210</v>
      </c>
      <c r="I237" s="6" t="s">
        <v>43</v>
      </c>
      <c r="J237" s="7" t="s">
        <v>91</v>
      </c>
      <c r="K237" s="7" t="s">
        <v>92</v>
      </c>
      <c r="L237" s="6" t="s">
        <v>93</v>
      </c>
      <c r="M237" s="6"/>
      <c r="N237" s="6"/>
      <c r="O237" s="6">
        <v>1</v>
      </c>
      <c r="P237" s="6"/>
      <c r="Q237" s="6"/>
      <c r="R237" s="6" t="s">
        <v>57</v>
      </c>
    </row>
    <row r="238" spans="1:18" x14ac:dyDescent="0.3">
      <c r="A238" s="5">
        <v>46120</v>
      </c>
      <c r="B238" t="s">
        <v>19</v>
      </c>
      <c r="C238">
        <v>3</v>
      </c>
      <c r="D238">
        <v>1</v>
      </c>
      <c r="E238" t="s">
        <v>20</v>
      </c>
      <c r="F238">
        <v>2</v>
      </c>
      <c r="G238">
        <f t="shared" si="2"/>
        <v>8</v>
      </c>
      <c r="H238" t="s">
        <v>208</v>
      </c>
      <c r="I238" s="6" t="s">
        <v>21</v>
      </c>
      <c r="J238" s="7" t="s">
        <v>22</v>
      </c>
      <c r="K238" s="7" t="s">
        <v>23</v>
      </c>
      <c r="L238" s="6" t="s">
        <v>24</v>
      </c>
      <c r="M238" s="6">
        <v>1</v>
      </c>
      <c r="N238" s="6">
        <v>0</v>
      </c>
      <c r="O238" s="6">
        <v>0</v>
      </c>
      <c r="P238" s="6">
        <v>0</v>
      </c>
      <c r="Q238" s="6"/>
      <c r="R238" s="6" t="s">
        <v>25</v>
      </c>
    </row>
    <row r="239" spans="1:18" x14ac:dyDescent="0.3">
      <c r="A239" s="5">
        <v>46120</v>
      </c>
      <c r="B239" t="s">
        <v>19</v>
      </c>
      <c r="C239">
        <v>3</v>
      </c>
      <c r="D239">
        <v>1</v>
      </c>
      <c r="E239" t="s">
        <v>138</v>
      </c>
      <c r="F239">
        <v>3</v>
      </c>
      <c r="G239">
        <f t="shared" si="2"/>
        <v>12</v>
      </c>
      <c r="I239" t="s">
        <v>48</v>
      </c>
      <c r="J239" t="s">
        <v>138</v>
      </c>
      <c r="K239" t="s">
        <v>139</v>
      </c>
      <c r="L239" t="s">
        <v>82</v>
      </c>
      <c r="Q239">
        <v>1</v>
      </c>
      <c r="R239" t="s">
        <v>25</v>
      </c>
    </row>
    <row r="240" spans="1:18" x14ac:dyDescent="0.3">
      <c r="A240" s="5">
        <v>46120</v>
      </c>
      <c r="B240" t="s">
        <v>19</v>
      </c>
      <c r="C240">
        <v>3</v>
      </c>
      <c r="D240">
        <v>1</v>
      </c>
      <c r="E240" t="s">
        <v>35</v>
      </c>
      <c r="F240">
        <v>3</v>
      </c>
      <c r="G240">
        <f t="shared" si="2"/>
        <v>12</v>
      </c>
      <c r="H240" t="s">
        <v>208</v>
      </c>
      <c r="I240" s="6" t="s">
        <v>21</v>
      </c>
      <c r="J240" s="6" t="s">
        <v>36</v>
      </c>
      <c r="K240" s="6" t="s">
        <v>37</v>
      </c>
      <c r="L240" s="6" t="s">
        <v>38</v>
      </c>
      <c r="M240" s="6">
        <v>1</v>
      </c>
      <c r="N240" s="6"/>
      <c r="O240" s="6"/>
      <c r="P240" s="6"/>
      <c r="Q240" s="6"/>
      <c r="R240" s="6" t="s">
        <v>25</v>
      </c>
    </row>
    <row r="241" spans="1:18" x14ac:dyDescent="0.3">
      <c r="A241" s="5">
        <v>46120</v>
      </c>
      <c r="B241" t="s">
        <v>19</v>
      </c>
      <c r="C241">
        <v>3</v>
      </c>
      <c r="D241">
        <v>1</v>
      </c>
      <c r="E241" t="s">
        <v>107</v>
      </c>
      <c r="F241">
        <v>0.25</v>
      </c>
      <c r="G241">
        <f t="shared" si="2"/>
        <v>1</v>
      </c>
      <c r="H241" t="s">
        <v>209</v>
      </c>
      <c r="I241" s="6" t="s">
        <v>21</v>
      </c>
      <c r="J241" s="7" t="s">
        <v>108</v>
      </c>
      <c r="K241" s="7" t="s">
        <v>109</v>
      </c>
      <c r="L241" s="6" t="s">
        <v>110</v>
      </c>
      <c r="M241" s="6">
        <v>1</v>
      </c>
      <c r="N241" s="6"/>
      <c r="O241" s="6"/>
      <c r="P241" s="6"/>
      <c r="Q241" s="6"/>
      <c r="R241" s="6" t="s">
        <v>25</v>
      </c>
    </row>
    <row r="242" spans="1:18" x14ac:dyDescent="0.3">
      <c r="A242" s="5">
        <v>46120</v>
      </c>
      <c r="B242" t="s">
        <v>19</v>
      </c>
      <c r="C242">
        <v>3</v>
      </c>
      <c r="D242">
        <v>1</v>
      </c>
      <c r="E242" t="s">
        <v>42</v>
      </c>
      <c r="F242">
        <v>1.5</v>
      </c>
      <c r="G242">
        <f t="shared" si="2"/>
        <v>6</v>
      </c>
      <c r="H242" t="s">
        <v>210</v>
      </c>
      <c r="I242" s="6" t="s">
        <v>43</v>
      </c>
      <c r="J242" s="7" t="s">
        <v>44</v>
      </c>
      <c r="K242" s="7" t="s">
        <v>45</v>
      </c>
      <c r="L242" s="6" t="s">
        <v>46</v>
      </c>
      <c r="M242" s="6"/>
      <c r="N242" s="6"/>
      <c r="O242" s="6">
        <v>1</v>
      </c>
      <c r="P242" s="6"/>
      <c r="Q242" s="6"/>
      <c r="R242" s="6" t="s">
        <v>25</v>
      </c>
    </row>
    <row r="243" spans="1:18" x14ac:dyDescent="0.3">
      <c r="A243" s="5">
        <v>46120</v>
      </c>
      <c r="B243" t="s">
        <v>19</v>
      </c>
      <c r="C243">
        <v>3</v>
      </c>
      <c r="D243">
        <v>1</v>
      </c>
      <c r="E243" t="s">
        <v>183</v>
      </c>
      <c r="F243">
        <v>0.25</v>
      </c>
      <c r="G243">
        <f t="shared" si="2"/>
        <v>1</v>
      </c>
      <c r="H243" t="s">
        <v>211</v>
      </c>
      <c r="I243" s="6" t="s">
        <v>21</v>
      </c>
      <c r="J243" s="7" t="s">
        <v>183</v>
      </c>
      <c r="K243" s="7" t="s">
        <v>184</v>
      </c>
      <c r="L243" s="6" t="s">
        <v>185</v>
      </c>
      <c r="M243" s="6">
        <v>1</v>
      </c>
      <c r="N243" s="6"/>
      <c r="O243" s="6"/>
      <c r="P243" s="6"/>
      <c r="Q243" s="6"/>
      <c r="R243" s="6" t="s">
        <v>25</v>
      </c>
    </row>
    <row r="244" spans="1:18" x14ac:dyDescent="0.3">
      <c r="A244" s="5">
        <v>46120</v>
      </c>
      <c r="B244" t="s">
        <v>19</v>
      </c>
      <c r="C244">
        <v>3</v>
      </c>
      <c r="D244">
        <v>1</v>
      </c>
      <c r="E244" t="s">
        <v>76</v>
      </c>
      <c r="F244">
        <v>10.5</v>
      </c>
      <c r="G244">
        <f t="shared" si="2"/>
        <v>42</v>
      </c>
      <c r="H244" t="s">
        <v>239</v>
      </c>
    </row>
    <row r="245" spans="1:18" x14ac:dyDescent="0.3">
      <c r="A245" s="5">
        <v>46120</v>
      </c>
      <c r="B245" t="s">
        <v>19</v>
      </c>
      <c r="C245">
        <v>3</v>
      </c>
      <c r="D245">
        <v>2</v>
      </c>
      <c r="E245" t="s">
        <v>39</v>
      </c>
      <c r="F245">
        <v>1.5</v>
      </c>
      <c r="G245">
        <f t="shared" si="2"/>
        <v>6</v>
      </c>
      <c r="H245" t="s">
        <v>209</v>
      </c>
      <c r="I245" s="6" t="s">
        <v>21</v>
      </c>
      <c r="J245" s="7" t="s">
        <v>39</v>
      </c>
      <c r="K245" s="7" t="s">
        <v>40</v>
      </c>
      <c r="L245" s="6" t="s">
        <v>41</v>
      </c>
      <c r="M245" s="6">
        <v>1</v>
      </c>
      <c r="N245" s="6"/>
      <c r="O245" s="6"/>
      <c r="P245" s="6"/>
      <c r="Q245" s="6"/>
      <c r="R245" s="6" t="s">
        <v>25</v>
      </c>
    </row>
    <row r="246" spans="1:18" x14ac:dyDescent="0.3">
      <c r="A246" s="5">
        <v>46120</v>
      </c>
      <c r="B246" t="s">
        <v>19</v>
      </c>
      <c r="C246">
        <v>3</v>
      </c>
      <c r="D246">
        <v>2</v>
      </c>
      <c r="E246" t="s">
        <v>27</v>
      </c>
      <c r="F246">
        <v>5</v>
      </c>
      <c r="G246">
        <f t="shared" si="2"/>
        <v>20</v>
      </c>
      <c r="H246" t="s">
        <v>209</v>
      </c>
      <c r="I246" s="6" t="s">
        <v>21</v>
      </c>
      <c r="J246" s="7" t="s">
        <v>28</v>
      </c>
      <c r="K246" s="7" t="s">
        <v>29</v>
      </c>
      <c r="L246" s="6" t="s">
        <v>30</v>
      </c>
      <c r="M246" s="6">
        <v>1</v>
      </c>
      <c r="N246" s="6"/>
      <c r="O246" s="6"/>
      <c r="P246" s="6"/>
      <c r="Q246" s="6"/>
      <c r="R246" s="6" t="s">
        <v>25</v>
      </c>
    </row>
    <row r="247" spans="1:18" x14ac:dyDescent="0.3">
      <c r="A247" s="5">
        <v>46120</v>
      </c>
      <c r="B247" t="s">
        <v>19</v>
      </c>
      <c r="C247">
        <v>3</v>
      </c>
      <c r="D247">
        <v>2</v>
      </c>
      <c r="E247" t="s">
        <v>42</v>
      </c>
      <c r="F247">
        <v>5</v>
      </c>
      <c r="G247">
        <f t="shared" si="2"/>
        <v>20</v>
      </c>
      <c r="H247" t="s">
        <v>210</v>
      </c>
      <c r="I247" s="6" t="s">
        <v>43</v>
      </c>
      <c r="J247" s="7" t="s">
        <v>44</v>
      </c>
      <c r="K247" s="7" t="s">
        <v>45</v>
      </c>
      <c r="L247" s="6" t="s">
        <v>46</v>
      </c>
      <c r="M247" s="6"/>
      <c r="N247" s="6"/>
      <c r="O247" s="6">
        <v>1</v>
      </c>
      <c r="P247" s="6"/>
      <c r="Q247" s="6"/>
      <c r="R247" s="6" t="s">
        <v>25</v>
      </c>
    </row>
    <row r="248" spans="1:18" x14ac:dyDescent="0.3">
      <c r="A248" s="5">
        <v>46120</v>
      </c>
      <c r="B248" t="s">
        <v>19</v>
      </c>
      <c r="C248">
        <v>3</v>
      </c>
      <c r="D248">
        <v>2</v>
      </c>
      <c r="E248" t="s">
        <v>90</v>
      </c>
      <c r="F248">
        <v>2</v>
      </c>
      <c r="G248">
        <f t="shared" si="2"/>
        <v>8</v>
      </c>
      <c r="H248" t="s">
        <v>210</v>
      </c>
      <c r="I248" s="6" t="s">
        <v>43</v>
      </c>
      <c r="J248" s="7" t="s">
        <v>91</v>
      </c>
      <c r="K248" s="7" t="s">
        <v>92</v>
      </c>
      <c r="L248" s="6" t="s">
        <v>93</v>
      </c>
      <c r="M248" s="6"/>
      <c r="N248" s="6"/>
      <c r="O248" s="6">
        <v>1</v>
      </c>
      <c r="P248" s="6"/>
      <c r="Q248" s="6"/>
      <c r="R248" s="6" t="s">
        <v>57</v>
      </c>
    </row>
    <row r="249" spans="1:18" x14ac:dyDescent="0.3">
      <c r="A249" s="5">
        <v>46120</v>
      </c>
      <c r="B249" t="s">
        <v>19</v>
      </c>
      <c r="C249">
        <v>3</v>
      </c>
      <c r="D249">
        <v>2</v>
      </c>
      <c r="E249" t="s">
        <v>47</v>
      </c>
      <c r="F249">
        <v>0.5</v>
      </c>
      <c r="G249">
        <f t="shared" si="2"/>
        <v>2</v>
      </c>
      <c r="H249" t="s">
        <v>225</v>
      </c>
      <c r="I249" t="s">
        <v>48</v>
      </c>
      <c r="J249" t="s">
        <v>49</v>
      </c>
      <c r="K249" t="s">
        <v>50</v>
      </c>
      <c r="L249" t="s">
        <v>51</v>
      </c>
      <c r="Q249">
        <v>1</v>
      </c>
      <c r="R249" t="s">
        <v>25</v>
      </c>
    </row>
    <row r="250" spans="1:18" x14ac:dyDescent="0.3">
      <c r="A250" s="5">
        <v>46120</v>
      </c>
      <c r="B250" t="s">
        <v>19</v>
      </c>
      <c r="C250">
        <v>3</v>
      </c>
      <c r="D250">
        <v>2</v>
      </c>
      <c r="E250" t="s">
        <v>138</v>
      </c>
      <c r="F250">
        <v>1</v>
      </c>
      <c r="G250">
        <f t="shared" si="2"/>
        <v>4</v>
      </c>
      <c r="I250" t="s">
        <v>48</v>
      </c>
      <c r="J250" t="s">
        <v>138</v>
      </c>
      <c r="K250" t="s">
        <v>139</v>
      </c>
      <c r="L250" t="s">
        <v>82</v>
      </c>
      <c r="Q250">
        <v>1</v>
      </c>
      <c r="R250" t="s">
        <v>25</v>
      </c>
    </row>
    <row r="251" spans="1:18" x14ac:dyDescent="0.3">
      <c r="A251" s="5">
        <v>46120</v>
      </c>
      <c r="B251" t="s">
        <v>19</v>
      </c>
      <c r="C251">
        <v>3</v>
      </c>
      <c r="D251">
        <v>2</v>
      </c>
      <c r="E251" t="s">
        <v>107</v>
      </c>
      <c r="F251">
        <v>1</v>
      </c>
      <c r="G251">
        <f t="shared" si="2"/>
        <v>4</v>
      </c>
      <c r="H251" t="s">
        <v>209</v>
      </c>
      <c r="I251" s="6" t="s">
        <v>21</v>
      </c>
      <c r="J251" s="7" t="s">
        <v>108</v>
      </c>
      <c r="K251" s="7" t="s">
        <v>109</v>
      </c>
      <c r="L251" s="6" t="s">
        <v>110</v>
      </c>
      <c r="M251" s="6">
        <v>1</v>
      </c>
      <c r="N251" s="6"/>
      <c r="O251" s="6"/>
      <c r="P251" s="6"/>
      <c r="Q251" s="6"/>
      <c r="R251" s="6" t="s">
        <v>25</v>
      </c>
    </row>
    <row r="252" spans="1:18" x14ac:dyDescent="0.3">
      <c r="A252" s="5">
        <v>46120</v>
      </c>
      <c r="B252" t="s">
        <v>19</v>
      </c>
      <c r="C252">
        <v>3</v>
      </c>
      <c r="D252">
        <v>2</v>
      </c>
      <c r="E252" t="s">
        <v>31</v>
      </c>
      <c r="F252">
        <v>0.25</v>
      </c>
      <c r="G252">
        <f t="shared" si="2"/>
        <v>1</v>
      </c>
      <c r="H252" t="s">
        <v>209</v>
      </c>
      <c r="I252" s="6" t="s">
        <v>21</v>
      </c>
      <c r="J252" s="7" t="s">
        <v>32</v>
      </c>
      <c r="K252" s="7" t="s">
        <v>33</v>
      </c>
      <c r="L252" s="6" t="s">
        <v>34</v>
      </c>
      <c r="M252" s="6">
        <v>1</v>
      </c>
      <c r="N252" s="6"/>
      <c r="O252" s="6"/>
      <c r="P252" s="6"/>
      <c r="Q252" s="6"/>
      <c r="R252" s="6" t="s">
        <v>25</v>
      </c>
    </row>
    <row r="253" spans="1:18" x14ac:dyDescent="0.3">
      <c r="A253" s="5">
        <v>46120</v>
      </c>
      <c r="B253" t="s">
        <v>19</v>
      </c>
      <c r="C253">
        <v>3</v>
      </c>
      <c r="D253">
        <v>2</v>
      </c>
      <c r="E253" t="s">
        <v>77</v>
      </c>
      <c r="F253">
        <v>3</v>
      </c>
      <c r="G253">
        <f t="shared" si="2"/>
        <v>12</v>
      </c>
      <c r="H253" t="s">
        <v>208</v>
      </c>
      <c r="I253" s="6" t="s">
        <v>21</v>
      </c>
      <c r="J253" s="7" t="s">
        <v>78</v>
      </c>
      <c r="K253" s="7" t="s">
        <v>79</v>
      </c>
      <c r="L253" s="6" t="s">
        <v>71</v>
      </c>
      <c r="M253" s="6">
        <v>1</v>
      </c>
      <c r="N253" s="6"/>
      <c r="O253" s="6"/>
      <c r="P253" s="6"/>
      <c r="Q253" s="6"/>
      <c r="R253" s="6" t="s">
        <v>25</v>
      </c>
    </row>
    <row r="254" spans="1:18" x14ac:dyDescent="0.3">
      <c r="A254" s="5">
        <v>46120</v>
      </c>
      <c r="B254" t="s">
        <v>19</v>
      </c>
      <c r="C254">
        <v>3</v>
      </c>
      <c r="D254">
        <v>2</v>
      </c>
      <c r="E254" t="s">
        <v>151</v>
      </c>
      <c r="F254">
        <v>0.25</v>
      </c>
      <c r="G254">
        <f t="shared" si="2"/>
        <v>1</v>
      </c>
      <c r="H254" t="s">
        <v>208</v>
      </c>
      <c r="I254" t="s">
        <v>21</v>
      </c>
      <c r="J254" t="s">
        <v>32</v>
      </c>
      <c r="K254" t="s">
        <v>152</v>
      </c>
      <c r="L254" t="s">
        <v>38</v>
      </c>
      <c r="M254">
        <v>1</v>
      </c>
      <c r="R254" t="s">
        <v>25</v>
      </c>
    </row>
    <row r="255" spans="1:18" x14ac:dyDescent="0.3">
      <c r="A255" s="5">
        <v>46120</v>
      </c>
      <c r="B255" t="s">
        <v>19</v>
      </c>
      <c r="C255">
        <v>3</v>
      </c>
      <c r="D255">
        <v>2</v>
      </c>
      <c r="E255" t="s">
        <v>183</v>
      </c>
      <c r="F255">
        <v>0.5</v>
      </c>
      <c r="G255">
        <f t="shared" si="2"/>
        <v>2</v>
      </c>
      <c r="H255" t="s">
        <v>211</v>
      </c>
      <c r="I255" s="6" t="s">
        <v>21</v>
      </c>
      <c r="J255" s="7" t="s">
        <v>183</v>
      </c>
      <c r="K255" s="7" t="s">
        <v>184</v>
      </c>
      <c r="L255" s="6" t="s">
        <v>185</v>
      </c>
      <c r="M255" s="6">
        <v>1</v>
      </c>
      <c r="N255" s="6"/>
      <c r="O255" s="6"/>
      <c r="P255" s="6"/>
      <c r="Q255" s="6"/>
      <c r="R255" s="6" t="s">
        <v>25</v>
      </c>
    </row>
    <row r="256" spans="1:18" x14ac:dyDescent="0.3">
      <c r="A256" s="5">
        <v>46120</v>
      </c>
      <c r="B256" t="s">
        <v>19</v>
      </c>
      <c r="C256">
        <v>3</v>
      </c>
      <c r="D256">
        <v>2</v>
      </c>
      <c r="E256" t="s">
        <v>80</v>
      </c>
      <c r="F256">
        <v>0.25</v>
      </c>
      <c r="G256">
        <f t="shared" si="2"/>
        <v>1</v>
      </c>
      <c r="I256" s="6" t="s">
        <v>64</v>
      </c>
      <c r="J256" s="7" t="s">
        <v>65</v>
      </c>
      <c r="K256" s="7" t="s">
        <v>81</v>
      </c>
      <c r="L256" s="6" t="s">
        <v>82</v>
      </c>
      <c r="M256" s="6"/>
      <c r="N256" s="6"/>
      <c r="O256" s="6"/>
      <c r="P256" s="6">
        <v>1</v>
      </c>
      <c r="Q256" s="6"/>
      <c r="R256" s="6" t="s">
        <v>25</v>
      </c>
    </row>
    <row r="257" spans="1:18" x14ac:dyDescent="0.3">
      <c r="A257" s="5">
        <v>46120</v>
      </c>
      <c r="B257" t="s">
        <v>19</v>
      </c>
      <c r="C257">
        <v>3</v>
      </c>
      <c r="D257">
        <v>2</v>
      </c>
      <c r="E257" t="s">
        <v>35</v>
      </c>
      <c r="F257">
        <v>2</v>
      </c>
      <c r="G257">
        <f t="shared" si="2"/>
        <v>8</v>
      </c>
      <c r="H257" t="s">
        <v>208</v>
      </c>
      <c r="I257" s="6" t="s">
        <v>21</v>
      </c>
      <c r="J257" s="6" t="s">
        <v>36</v>
      </c>
      <c r="K257" s="6" t="s">
        <v>37</v>
      </c>
      <c r="L257" s="6" t="s">
        <v>38</v>
      </c>
      <c r="M257" s="6">
        <v>1</v>
      </c>
      <c r="N257" s="6"/>
      <c r="O257" s="6"/>
      <c r="P257" s="6"/>
      <c r="Q257" s="6"/>
      <c r="R257" s="6" t="s">
        <v>25</v>
      </c>
    </row>
    <row r="258" spans="1:18" x14ac:dyDescent="0.3">
      <c r="A258" s="5">
        <v>46120</v>
      </c>
      <c r="B258" t="s">
        <v>19</v>
      </c>
      <c r="C258">
        <v>3</v>
      </c>
      <c r="D258">
        <v>2</v>
      </c>
      <c r="E258" t="s">
        <v>76</v>
      </c>
      <c r="F258">
        <v>2.75</v>
      </c>
      <c r="G258">
        <f t="shared" si="2"/>
        <v>11</v>
      </c>
      <c r="H258" t="s">
        <v>239</v>
      </c>
    </row>
    <row r="259" spans="1:18" x14ac:dyDescent="0.3">
      <c r="A259" s="5">
        <v>46120</v>
      </c>
      <c r="B259" t="s">
        <v>19</v>
      </c>
      <c r="C259">
        <v>3</v>
      </c>
      <c r="D259">
        <v>3</v>
      </c>
      <c r="E259" t="s">
        <v>77</v>
      </c>
      <c r="F259">
        <v>5</v>
      </c>
      <c r="G259">
        <f t="shared" si="2"/>
        <v>20</v>
      </c>
      <c r="H259" t="s">
        <v>208</v>
      </c>
      <c r="I259" s="6" t="s">
        <v>21</v>
      </c>
      <c r="J259" s="7" t="s">
        <v>78</v>
      </c>
      <c r="K259" s="7" t="s">
        <v>79</v>
      </c>
      <c r="L259" s="6" t="s">
        <v>71</v>
      </c>
      <c r="M259" s="6">
        <v>1</v>
      </c>
      <c r="N259" s="6"/>
      <c r="O259" s="6"/>
      <c r="P259" s="6"/>
      <c r="Q259" s="6"/>
      <c r="R259" s="6" t="s">
        <v>25</v>
      </c>
    </row>
    <row r="260" spans="1:18" x14ac:dyDescent="0.3">
      <c r="A260" s="5">
        <v>46120</v>
      </c>
      <c r="B260" t="s">
        <v>19</v>
      </c>
      <c r="C260">
        <v>3</v>
      </c>
      <c r="D260">
        <v>3</v>
      </c>
      <c r="E260" t="s">
        <v>27</v>
      </c>
      <c r="F260">
        <v>5</v>
      </c>
      <c r="G260">
        <f t="shared" si="2"/>
        <v>20</v>
      </c>
      <c r="H260" t="s">
        <v>209</v>
      </c>
      <c r="I260" s="6" t="s">
        <v>21</v>
      </c>
      <c r="J260" s="7" t="s">
        <v>28</v>
      </c>
      <c r="K260" s="7" t="s">
        <v>29</v>
      </c>
      <c r="L260" s="6" t="s">
        <v>30</v>
      </c>
      <c r="M260" s="6">
        <v>1</v>
      </c>
      <c r="N260" s="6"/>
      <c r="O260" s="6"/>
      <c r="P260" s="6"/>
      <c r="Q260" s="6"/>
      <c r="R260" s="6" t="s">
        <v>25</v>
      </c>
    </row>
    <row r="261" spans="1:18" x14ac:dyDescent="0.3">
      <c r="A261" s="5">
        <v>46120</v>
      </c>
      <c r="B261" t="s">
        <v>19</v>
      </c>
      <c r="C261">
        <v>3</v>
      </c>
      <c r="D261">
        <v>3</v>
      </c>
      <c r="E261" t="s">
        <v>39</v>
      </c>
      <c r="F261">
        <v>3</v>
      </c>
      <c r="G261">
        <f t="shared" si="2"/>
        <v>12</v>
      </c>
      <c r="H261" t="s">
        <v>209</v>
      </c>
      <c r="I261" s="6" t="s">
        <v>21</v>
      </c>
      <c r="J261" s="7" t="s">
        <v>39</v>
      </c>
      <c r="K261" s="7" t="s">
        <v>40</v>
      </c>
      <c r="L261" s="6" t="s">
        <v>41</v>
      </c>
      <c r="M261" s="6">
        <v>1</v>
      </c>
      <c r="N261" s="6"/>
      <c r="O261" s="6"/>
      <c r="P261" s="6"/>
      <c r="Q261" s="6"/>
      <c r="R261" s="6" t="s">
        <v>25</v>
      </c>
    </row>
    <row r="262" spans="1:18" x14ac:dyDescent="0.3">
      <c r="A262" s="5">
        <v>46120</v>
      </c>
      <c r="B262" t="s">
        <v>19</v>
      </c>
      <c r="C262">
        <v>3</v>
      </c>
      <c r="D262">
        <v>3</v>
      </c>
      <c r="E262" t="s">
        <v>20</v>
      </c>
      <c r="F262">
        <v>4</v>
      </c>
      <c r="G262">
        <f t="shared" si="2"/>
        <v>16</v>
      </c>
      <c r="H262" t="s">
        <v>208</v>
      </c>
      <c r="I262" s="6" t="s">
        <v>21</v>
      </c>
      <c r="J262" s="7" t="s">
        <v>22</v>
      </c>
      <c r="K262" s="7" t="s">
        <v>23</v>
      </c>
      <c r="L262" s="6" t="s">
        <v>24</v>
      </c>
      <c r="M262" s="6">
        <v>1</v>
      </c>
      <c r="N262" s="6">
        <v>0</v>
      </c>
      <c r="O262" s="6">
        <v>0</v>
      </c>
      <c r="P262" s="6">
        <v>0</v>
      </c>
      <c r="Q262" s="6"/>
      <c r="R262" s="6" t="s">
        <v>25</v>
      </c>
    </row>
    <row r="263" spans="1:18" x14ac:dyDescent="0.3">
      <c r="A263" s="5">
        <v>46120</v>
      </c>
      <c r="B263" t="s">
        <v>19</v>
      </c>
      <c r="C263">
        <v>3</v>
      </c>
      <c r="D263">
        <v>3</v>
      </c>
      <c r="E263" t="s">
        <v>35</v>
      </c>
      <c r="F263">
        <v>0.25</v>
      </c>
      <c r="G263">
        <f t="shared" si="2"/>
        <v>1</v>
      </c>
      <c r="H263" t="s">
        <v>208</v>
      </c>
      <c r="I263" s="6" t="s">
        <v>21</v>
      </c>
      <c r="J263" s="6" t="s">
        <v>36</v>
      </c>
      <c r="K263" s="6" t="s">
        <v>37</v>
      </c>
      <c r="L263" s="6" t="s">
        <v>38</v>
      </c>
      <c r="M263" s="6">
        <v>1</v>
      </c>
      <c r="N263" s="6"/>
      <c r="O263" s="6"/>
      <c r="P263" s="6"/>
      <c r="Q263" s="6"/>
      <c r="R263" s="6" t="s">
        <v>25</v>
      </c>
    </row>
    <row r="264" spans="1:18" x14ac:dyDescent="0.3">
      <c r="A264" s="5">
        <v>46120</v>
      </c>
      <c r="B264" t="s">
        <v>19</v>
      </c>
      <c r="C264">
        <v>3</v>
      </c>
      <c r="D264">
        <v>3</v>
      </c>
      <c r="E264" t="s">
        <v>42</v>
      </c>
      <c r="F264">
        <v>4.5</v>
      </c>
      <c r="G264">
        <f t="shared" si="2"/>
        <v>18</v>
      </c>
      <c r="H264" t="s">
        <v>210</v>
      </c>
      <c r="I264" s="6" t="s">
        <v>43</v>
      </c>
      <c r="J264" s="7" t="s">
        <v>44</v>
      </c>
      <c r="K264" s="7" t="s">
        <v>45</v>
      </c>
      <c r="L264" s="6" t="s">
        <v>46</v>
      </c>
      <c r="M264" s="6"/>
      <c r="N264" s="6"/>
      <c r="O264" s="6">
        <v>1</v>
      </c>
      <c r="P264" s="6"/>
      <c r="Q264" s="6"/>
      <c r="R264" s="6" t="s">
        <v>25</v>
      </c>
    </row>
    <row r="265" spans="1:18" x14ac:dyDescent="0.3">
      <c r="A265" s="5">
        <v>46120</v>
      </c>
      <c r="B265" t="s">
        <v>19</v>
      </c>
      <c r="C265">
        <v>3</v>
      </c>
      <c r="D265">
        <v>3</v>
      </c>
      <c r="E265" t="s">
        <v>80</v>
      </c>
      <c r="F265">
        <v>0.5</v>
      </c>
      <c r="G265">
        <f t="shared" si="2"/>
        <v>2</v>
      </c>
      <c r="I265" s="6" t="s">
        <v>64</v>
      </c>
      <c r="J265" s="7" t="s">
        <v>65</v>
      </c>
      <c r="K265" s="7" t="s">
        <v>81</v>
      </c>
      <c r="L265" s="6" t="s">
        <v>82</v>
      </c>
      <c r="M265" s="6"/>
      <c r="N265" s="6"/>
      <c r="O265" s="6"/>
      <c r="P265" s="6">
        <v>1</v>
      </c>
      <c r="Q265" s="6"/>
      <c r="R265" s="6" t="s">
        <v>25</v>
      </c>
    </row>
    <row r="266" spans="1:18" x14ac:dyDescent="0.3">
      <c r="A266" s="5">
        <v>46120</v>
      </c>
      <c r="B266" t="s">
        <v>19</v>
      </c>
      <c r="C266">
        <v>3</v>
      </c>
      <c r="D266">
        <v>3</v>
      </c>
      <c r="E266" t="s">
        <v>76</v>
      </c>
      <c r="F266">
        <v>2.75</v>
      </c>
      <c r="G266">
        <f t="shared" si="2"/>
        <v>11</v>
      </c>
      <c r="H266" t="s">
        <v>239</v>
      </c>
    </row>
    <row r="267" spans="1:18" x14ac:dyDescent="0.3">
      <c r="A267" s="5">
        <v>46120</v>
      </c>
      <c r="B267" t="s">
        <v>19</v>
      </c>
      <c r="C267">
        <v>3</v>
      </c>
      <c r="D267">
        <v>4</v>
      </c>
      <c r="E267" t="s">
        <v>31</v>
      </c>
      <c r="F267">
        <v>5</v>
      </c>
      <c r="G267">
        <f t="shared" si="2"/>
        <v>20</v>
      </c>
      <c r="H267" t="s">
        <v>209</v>
      </c>
      <c r="I267" s="6" t="s">
        <v>21</v>
      </c>
      <c r="J267" s="7" t="s">
        <v>32</v>
      </c>
      <c r="K267" s="7" t="s">
        <v>33</v>
      </c>
      <c r="L267" s="6" t="s">
        <v>34</v>
      </c>
      <c r="M267" s="6">
        <v>1</v>
      </c>
      <c r="N267" s="6"/>
      <c r="O267" s="6"/>
      <c r="P267" s="6"/>
      <c r="Q267" s="6"/>
      <c r="R267" s="6" t="s">
        <v>25</v>
      </c>
    </row>
    <row r="268" spans="1:18" x14ac:dyDescent="0.3">
      <c r="A268" s="5">
        <v>46120</v>
      </c>
      <c r="B268" t="s">
        <v>19</v>
      </c>
      <c r="C268">
        <v>3</v>
      </c>
      <c r="D268">
        <v>4</v>
      </c>
      <c r="E268" t="s">
        <v>27</v>
      </c>
      <c r="F268">
        <v>3</v>
      </c>
      <c r="G268">
        <f t="shared" si="2"/>
        <v>12</v>
      </c>
      <c r="H268" t="s">
        <v>209</v>
      </c>
      <c r="I268" s="6" t="s">
        <v>21</v>
      </c>
      <c r="J268" s="7" t="s">
        <v>28</v>
      </c>
      <c r="K268" s="7" t="s">
        <v>29</v>
      </c>
      <c r="L268" s="6" t="s">
        <v>30</v>
      </c>
      <c r="M268" s="6">
        <v>1</v>
      </c>
      <c r="N268" s="6"/>
      <c r="O268" s="6"/>
      <c r="P268" s="6"/>
      <c r="Q268" s="6"/>
      <c r="R268" s="6" t="s">
        <v>25</v>
      </c>
    </row>
    <row r="269" spans="1:18" x14ac:dyDescent="0.3">
      <c r="A269" s="5">
        <v>46120</v>
      </c>
      <c r="B269" t="s">
        <v>19</v>
      </c>
      <c r="C269">
        <v>3</v>
      </c>
      <c r="D269">
        <v>4</v>
      </c>
      <c r="E269" t="s">
        <v>77</v>
      </c>
      <c r="F269">
        <v>5</v>
      </c>
      <c r="G269">
        <f t="shared" si="2"/>
        <v>20</v>
      </c>
      <c r="H269" t="s">
        <v>208</v>
      </c>
      <c r="I269" s="6" t="s">
        <v>21</v>
      </c>
      <c r="J269" s="7" t="s">
        <v>78</v>
      </c>
      <c r="K269" s="7" t="s">
        <v>79</v>
      </c>
      <c r="L269" s="6" t="s">
        <v>71</v>
      </c>
      <c r="M269" s="6">
        <v>1</v>
      </c>
      <c r="N269" s="6"/>
      <c r="O269" s="6"/>
      <c r="P269" s="6"/>
      <c r="Q269" s="6"/>
      <c r="R269" s="6" t="s">
        <v>25</v>
      </c>
    </row>
    <row r="270" spans="1:18" x14ac:dyDescent="0.3">
      <c r="A270" s="5">
        <v>46120</v>
      </c>
      <c r="B270" t="s">
        <v>19</v>
      </c>
      <c r="C270">
        <v>3</v>
      </c>
      <c r="D270">
        <v>4</v>
      </c>
      <c r="E270" t="s">
        <v>42</v>
      </c>
      <c r="F270">
        <v>5</v>
      </c>
      <c r="G270">
        <f t="shared" si="2"/>
        <v>20</v>
      </c>
      <c r="H270" t="s">
        <v>210</v>
      </c>
      <c r="I270" s="6" t="s">
        <v>43</v>
      </c>
      <c r="J270" s="7" t="s">
        <v>44</v>
      </c>
      <c r="K270" s="7" t="s">
        <v>45</v>
      </c>
      <c r="L270" s="6" t="s">
        <v>46</v>
      </c>
      <c r="M270" s="6"/>
      <c r="N270" s="6"/>
      <c r="O270" s="6">
        <v>1</v>
      </c>
      <c r="P270" s="6"/>
      <c r="Q270" s="6"/>
      <c r="R270" s="6" t="s">
        <v>25</v>
      </c>
    </row>
    <row r="271" spans="1:18" x14ac:dyDescent="0.3">
      <c r="A271" s="5">
        <v>46120</v>
      </c>
      <c r="B271" t="s">
        <v>19</v>
      </c>
      <c r="C271">
        <v>3</v>
      </c>
      <c r="D271">
        <v>4</v>
      </c>
      <c r="E271" t="s">
        <v>20</v>
      </c>
      <c r="F271">
        <v>2</v>
      </c>
      <c r="G271">
        <f t="shared" si="2"/>
        <v>8</v>
      </c>
      <c r="H271" t="s">
        <v>208</v>
      </c>
      <c r="I271" s="6" t="s">
        <v>21</v>
      </c>
      <c r="J271" s="7" t="s">
        <v>22</v>
      </c>
      <c r="K271" s="7" t="s">
        <v>23</v>
      </c>
      <c r="L271" s="6" t="s">
        <v>24</v>
      </c>
      <c r="M271" s="6">
        <v>1</v>
      </c>
      <c r="N271" s="6">
        <v>0</v>
      </c>
      <c r="O271" s="6">
        <v>0</v>
      </c>
      <c r="P271" s="6">
        <v>0</v>
      </c>
      <c r="Q271" s="6"/>
      <c r="R271" s="6" t="s">
        <v>25</v>
      </c>
    </row>
    <row r="272" spans="1:18" x14ac:dyDescent="0.3">
      <c r="A272" s="5">
        <v>46120</v>
      </c>
      <c r="B272" t="s">
        <v>19</v>
      </c>
      <c r="C272">
        <v>3</v>
      </c>
      <c r="D272">
        <v>4</v>
      </c>
      <c r="E272" t="s">
        <v>90</v>
      </c>
      <c r="F272">
        <v>0.25</v>
      </c>
      <c r="G272">
        <f t="shared" si="2"/>
        <v>1</v>
      </c>
      <c r="H272" t="s">
        <v>210</v>
      </c>
      <c r="I272" s="6" t="s">
        <v>43</v>
      </c>
      <c r="J272" s="7" t="s">
        <v>91</v>
      </c>
      <c r="K272" s="7" t="s">
        <v>92</v>
      </c>
      <c r="L272" s="6" t="s">
        <v>93</v>
      </c>
      <c r="M272" s="6"/>
      <c r="N272" s="6"/>
      <c r="O272" s="6">
        <v>1</v>
      </c>
      <c r="P272" s="6"/>
      <c r="Q272" s="6"/>
      <c r="R272" s="6" t="s">
        <v>57</v>
      </c>
    </row>
    <row r="273" spans="1:18" x14ac:dyDescent="0.3">
      <c r="A273" s="5">
        <v>46120</v>
      </c>
      <c r="B273" t="s">
        <v>19</v>
      </c>
      <c r="C273">
        <v>3</v>
      </c>
      <c r="D273">
        <v>4</v>
      </c>
      <c r="E273" t="s">
        <v>107</v>
      </c>
      <c r="F273">
        <v>1</v>
      </c>
      <c r="G273">
        <f t="shared" si="2"/>
        <v>4</v>
      </c>
      <c r="H273" t="s">
        <v>209</v>
      </c>
      <c r="I273" s="6" t="s">
        <v>21</v>
      </c>
      <c r="J273" s="7" t="s">
        <v>108</v>
      </c>
      <c r="K273" s="7" t="s">
        <v>109</v>
      </c>
      <c r="L273" s="6" t="s">
        <v>110</v>
      </c>
      <c r="M273" s="6">
        <v>1</v>
      </c>
      <c r="N273" s="6"/>
      <c r="O273" s="6"/>
      <c r="P273" s="6"/>
      <c r="Q273" s="6"/>
      <c r="R273" s="6" t="s">
        <v>25</v>
      </c>
    </row>
    <row r="274" spans="1:18" x14ac:dyDescent="0.3">
      <c r="A274" s="5">
        <v>46120</v>
      </c>
      <c r="B274" t="s">
        <v>19</v>
      </c>
      <c r="C274">
        <v>3</v>
      </c>
      <c r="D274">
        <v>4</v>
      </c>
      <c r="E274" t="s">
        <v>179</v>
      </c>
      <c r="F274">
        <v>1</v>
      </c>
      <c r="G274">
        <f t="shared" si="2"/>
        <v>4</v>
      </c>
      <c r="H274" t="s">
        <v>209</v>
      </c>
      <c r="I274" s="6" t="s">
        <v>21</v>
      </c>
      <c r="J274" s="7" t="s">
        <v>108</v>
      </c>
      <c r="K274" s="7" t="s">
        <v>180</v>
      </c>
      <c r="L274" s="6" t="s">
        <v>181</v>
      </c>
      <c r="M274" s="6"/>
      <c r="N274" s="6"/>
      <c r="O274" s="6"/>
      <c r="P274" s="6"/>
      <c r="Q274" s="6"/>
      <c r="R274" s="6" t="s">
        <v>57</v>
      </c>
    </row>
    <row r="275" spans="1:18" x14ac:dyDescent="0.3">
      <c r="A275" s="5">
        <v>46120</v>
      </c>
      <c r="B275" t="s">
        <v>19</v>
      </c>
      <c r="C275">
        <v>3</v>
      </c>
      <c r="D275">
        <v>4</v>
      </c>
      <c r="E275" t="s">
        <v>76</v>
      </c>
      <c r="F275">
        <v>2.75</v>
      </c>
      <c r="G275">
        <f t="shared" si="2"/>
        <v>11</v>
      </c>
      <c r="H275" t="s">
        <v>239</v>
      </c>
    </row>
    <row r="276" spans="1:18" x14ac:dyDescent="0.3">
      <c r="A276" s="5">
        <v>46120</v>
      </c>
      <c r="B276" t="s">
        <v>19</v>
      </c>
      <c r="C276">
        <v>3</v>
      </c>
      <c r="D276">
        <v>5</v>
      </c>
      <c r="E276" t="s">
        <v>31</v>
      </c>
      <c r="F276">
        <v>5</v>
      </c>
      <c r="G276">
        <f t="shared" si="2"/>
        <v>20</v>
      </c>
      <c r="H276" t="s">
        <v>209</v>
      </c>
      <c r="I276" s="6" t="s">
        <v>21</v>
      </c>
      <c r="J276" s="7" t="s">
        <v>32</v>
      </c>
      <c r="K276" s="7" t="s">
        <v>33</v>
      </c>
      <c r="L276" s="6" t="s">
        <v>34</v>
      </c>
      <c r="M276" s="6">
        <v>1</v>
      </c>
      <c r="N276" s="6"/>
      <c r="O276" s="6"/>
      <c r="P276" s="6"/>
      <c r="Q276" s="6"/>
      <c r="R276" s="6" t="s">
        <v>25</v>
      </c>
    </row>
    <row r="277" spans="1:18" x14ac:dyDescent="0.3">
      <c r="A277" s="5">
        <v>46120</v>
      </c>
      <c r="B277" t="s">
        <v>19</v>
      </c>
      <c r="C277">
        <v>3</v>
      </c>
      <c r="D277">
        <v>5</v>
      </c>
      <c r="E277" t="s">
        <v>39</v>
      </c>
      <c r="F277">
        <v>4</v>
      </c>
      <c r="G277">
        <f t="shared" si="2"/>
        <v>16</v>
      </c>
      <c r="H277" t="s">
        <v>209</v>
      </c>
      <c r="I277" s="6" t="s">
        <v>21</v>
      </c>
      <c r="J277" s="7" t="s">
        <v>39</v>
      </c>
      <c r="K277" s="7" t="s">
        <v>40</v>
      </c>
      <c r="L277" s="6" t="s">
        <v>41</v>
      </c>
      <c r="M277" s="6">
        <v>1</v>
      </c>
      <c r="N277" s="6"/>
      <c r="O277" s="6"/>
      <c r="P277" s="6"/>
      <c r="Q277" s="6"/>
      <c r="R277" s="6" t="s">
        <v>25</v>
      </c>
    </row>
    <row r="278" spans="1:18" x14ac:dyDescent="0.3">
      <c r="A278" s="5">
        <v>46120</v>
      </c>
      <c r="B278" t="s">
        <v>19</v>
      </c>
      <c r="C278">
        <v>3</v>
      </c>
      <c r="D278">
        <v>5</v>
      </c>
      <c r="E278" t="s">
        <v>42</v>
      </c>
      <c r="F278">
        <v>5</v>
      </c>
      <c r="G278">
        <f t="shared" si="2"/>
        <v>20</v>
      </c>
      <c r="H278" t="s">
        <v>210</v>
      </c>
      <c r="I278" s="6" t="s">
        <v>43</v>
      </c>
      <c r="J278" s="7" t="s">
        <v>44</v>
      </c>
      <c r="K278" s="7" t="s">
        <v>45</v>
      </c>
      <c r="L278" s="6" t="s">
        <v>46</v>
      </c>
      <c r="M278" s="6"/>
      <c r="N278" s="6"/>
      <c r="O278" s="6">
        <v>1</v>
      </c>
      <c r="P278" s="6"/>
      <c r="Q278" s="6"/>
      <c r="R278" s="6" t="s">
        <v>25</v>
      </c>
    </row>
    <row r="279" spans="1:18" x14ac:dyDescent="0.3">
      <c r="A279" s="5">
        <v>46120</v>
      </c>
      <c r="B279" t="s">
        <v>19</v>
      </c>
      <c r="C279">
        <v>3</v>
      </c>
      <c r="D279">
        <v>5</v>
      </c>
      <c r="E279" t="s">
        <v>83</v>
      </c>
      <c r="F279">
        <v>4</v>
      </c>
      <c r="G279">
        <f t="shared" si="2"/>
        <v>16</v>
      </c>
      <c r="H279" t="s">
        <v>211</v>
      </c>
      <c r="I279" s="6" t="s">
        <v>21</v>
      </c>
      <c r="J279" s="7" t="s">
        <v>73</v>
      </c>
      <c r="K279" s="7" t="s">
        <v>84</v>
      </c>
      <c r="L279" s="6" t="s">
        <v>85</v>
      </c>
      <c r="M279" s="6">
        <v>1</v>
      </c>
      <c r="N279" s="6"/>
      <c r="O279" s="6"/>
      <c r="P279" s="6"/>
      <c r="Q279" s="6"/>
      <c r="R279" s="6" t="s">
        <v>25</v>
      </c>
    </row>
    <row r="280" spans="1:18" x14ac:dyDescent="0.3">
      <c r="A280" s="5">
        <v>46120</v>
      </c>
      <c r="B280" t="s">
        <v>19</v>
      </c>
      <c r="C280">
        <v>3</v>
      </c>
      <c r="D280">
        <v>5</v>
      </c>
      <c r="E280" t="s">
        <v>68</v>
      </c>
      <c r="F280">
        <v>0.25</v>
      </c>
      <c r="G280">
        <f t="shared" si="2"/>
        <v>1</v>
      </c>
      <c r="H280" t="s">
        <v>210</v>
      </c>
      <c r="I280" s="6" t="s">
        <v>69</v>
      </c>
      <c r="J280" s="7" t="s">
        <v>68</v>
      </c>
      <c r="K280" s="7" t="s">
        <v>70</v>
      </c>
      <c r="L280" s="6" t="s">
        <v>71</v>
      </c>
      <c r="M280" s="6"/>
      <c r="N280" s="6"/>
      <c r="O280" s="6"/>
      <c r="P280" s="6"/>
      <c r="Q280" s="6">
        <v>1</v>
      </c>
      <c r="R280" s="6" t="s">
        <v>25</v>
      </c>
    </row>
    <row r="281" spans="1:18" x14ac:dyDescent="0.3">
      <c r="A281" s="5">
        <v>46120</v>
      </c>
      <c r="B281" t="s">
        <v>19</v>
      </c>
      <c r="C281">
        <v>3</v>
      </c>
      <c r="D281">
        <v>5</v>
      </c>
      <c r="E281" t="s">
        <v>27</v>
      </c>
      <c r="F281">
        <v>3.5</v>
      </c>
      <c r="G281">
        <f t="shared" si="2"/>
        <v>14.000000000000002</v>
      </c>
      <c r="H281" t="s">
        <v>209</v>
      </c>
      <c r="I281" s="6" t="s">
        <v>21</v>
      </c>
      <c r="J281" s="7" t="s">
        <v>28</v>
      </c>
      <c r="K281" s="7" t="s">
        <v>29</v>
      </c>
      <c r="L281" s="6" t="s">
        <v>30</v>
      </c>
      <c r="M281" s="6">
        <v>1</v>
      </c>
      <c r="N281" s="6"/>
      <c r="O281" s="6"/>
      <c r="P281" s="6"/>
      <c r="Q281" s="6"/>
      <c r="R281" s="6" t="s">
        <v>25</v>
      </c>
    </row>
    <row r="282" spans="1:18" x14ac:dyDescent="0.3">
      <c r="A282" s="5">
        <v>46120</v>
      </c>
      <c r="B282" t="s">
        <v>19</v>
      </c>
      <c r="C282">
        <v>3</v>
      </c>
      <c r="D282">
        <v>5</v>
      </c>
      <c r="E282" t="s">
        <v>20</v>
      </c>
      <c r="F282">
        <v>1</v>
      </c>
      <c r="G282">
        <f t="shared" si="2"/>
        <v>4</v>
      </c>
      <c r="H282" t="s">
        <v>208</v>
      </c>
      <c r="I282" s="6" t="s">
        <v>21</v>
      </c>
      <c r="J282" s="7" t="s">
        <v>22</v>
      </c>
      <c r="K282" s="7" t="s">
        <v>23</v>
      </c>
      <c r="L282" s="6" t="s">
        <v>24</v>
      </c>
      <c r="M282" s="6">
        <v>1</v>
      </c>
      <c r="N282" s="6">
        <v>0</v>
      </c>
      <c r="O282" s="6">
        <v>0</v>
      </c>
      <c r="P282" s="6">
        <v>0</v>
      </c>
      <c r="Q282" s="6"/>
      <c r="R282" s="6" t="s">
        <v>25</v>
      </c>
    </row>
    <row r="283" spans="1:18" x14ac:dyDescent="0.3">
      <c r="A283" s="5">
        <v>46120</v>
      </c>
      <c r="B283" t="s">
        <v>19</v>
      </c>
      <c r="C283">
        <v>3</v>
      </c>
      <c r="D283">
        <v>5</v>
      </c>
      <c r="E283" t="s">
        <v>157</v>
      </c>
      <c r="F283">
        <v>0.5</v>
      </c>
      <c r="G283">
        <f t="shared" si="2"/>
        <v>2</v>
      </c>
      <c r="H283" t="s">
        <v>210</v>
      </c>
      <c r="I283" s="6" t="s">
        <v>48</v>
      </c>
      <c r="J283" s="7" t="s">
        <v>157</v>
      </c>
      <c r="K283" s="7" t="s">
        <v>158</v>
      </c>
      <c r="L283" s="6" t="s">
        <v>159</v>
      </c>
      <c r="M283" s="6"/>
      <c r="N283" s="6"/>
      <c r="O283" s="6"/>
      <c r="P283" s="6"/>
      <c r="Q283" s="6">
        <v>1</v>
      </c>
      <c r="R283" s="6" t="s">
        <v>25</v>
      </c>
    </row>
    <row r="284" spans="1:18" x14ac:dyDescent="0.3">
      <c r="A284" s="5">
        <v>46120</v>
      </c>
      <c r="B284" t="s">
        <v>19</v>
      </c>
      <c r="C284">
        <v>3</v>
      </c>
      <c r="D284">
        <v>5</v>
      </c>
      <c r="E284" t="s">
        <v>77</v>
      </c>
      <c r="F284">
        <v>0.25</v>
      </c>
      <c r="G284">
        <f t="shared" si="2"/>
        <v>1</v>
      </c>
      <c r="H284" t="s">
        <v>208</v>
      </c>
      <c r="I284" s="6" t="s">
        <v>21</v>
      </c>
      <c r="J284" s="7" t="s">
        <v>78</v>
      </c>
      <c r="K284" s="7" t="s">
        <v>79</v>
      </c>
      <c r="L284" s="6" t="s">
        <v>71</v>
      </c>
      <c r="M284" s="6">
        <v>1</v>
      </c>
      <c r="N284" s="6"/>
      <c r="O284" s="6"/>
      <c r="P284" s="6"/>
      <c r="Q284" s="6"/>
      <c r="R284" s="6" t="s">
        <v>25</v>
      </c>
    </row>
    <row r="285" spans="1:18" x14ac:dyDescent="0.3">
      <c r="A285" s="5">
        <v>46120</v>
      </c>
      <c r="B285" t="s">
        <v>19</v>
      </c>
      <c r="C285">
        <v>3</v>
      </c>
      <c r="D285">
        <v>5</v>
      </c>
      <c r="E285" t="s">
        <v>35</v>
      </c>
      <c r="F285">
        <v>0.25</v>
      </c>
      <c r="G285">
        <f t="shared" si="2"/>
        <v>1</v>
      </c>
      <c r="H285" t="s">
        <v>208</v>
      </c>
      <c r="I285" s="6" t="s">
        <v>21</v>
      </c>
      <c r="J285" s="6" t="s">
        <v>36</v>
      </c>
      <c r="K285" s="6" t="s">
        <v>37</v>
      </c>
      <c r="L285" s="6" t="s">
        <v>38</v>
      </c>
      <c r="M285" s="6">
        <v>1</v>
      </c>
      <c r="N285" s="6"/>
      <c r="O285" s="6"/>
      <c r="P285" s="6"/>
      <c r="Q285" s="6"/>
      <c r="R285" s="6" t="s">
        <v>25</v>
      </c>
    </row>
    <row r="286" spans="1:18" x14ac:dyDescent="0.3">
      <c r="A286" s="5">
        <v>46120</v>
      </c>
      <c r="B286" t="s">
        <v>19</v>
      </c>
      <c r="C286">
        <v>3</v>
      </c>
      <c r="D286">
        <v>5</v>
      </c>
      <c r="E286" t="s">
        <v>76</v>
      </c>
      <c r="F286">
        <v>1.25</v>
      </c>
      <c r="G286">
        <f t="shared" si="2"/>
        <v>5</v>
      </c>
      <c r="H286" t="s">
        <v>239</v>
      </c>
    </row>
    <row r="287" spans="1:18" x14ac:dyDescent="0.3">
      <c r="A287" s="5">
        <v>46120</v>
      </c>
      <c r="B287" t="s">
        <v>19</v>
      </c>
      <c r="C287">
        <v>3</v>
      </c>
      <c r="D287">
        <v>6</v>
      </c>
      <c r="E287" t="s">
        <v>157</v>
      </c>
      <c r="F287">
        <v>2</v>
      </c>
      <c r="G287">
        <f t="shared" si="2"/>
        <v>8</v>
      </c>
      <c r="H287" t="s">
        <v>210</v>
      </c>
      <c r="I287" s="6" t="s">
        <v>48</v>
      </c>
      <c r="J287" s="7" t="s">
        <v>157</v>
      </c>
      <c r="K287" s="7" t="s">
        <v>158</v>
      </c>
      <c r="L287" s="6" t="s">
        <v>159</v>
      </c>
      <c r="M287" s="6"/>
      <c r="N287" s="6"/>
      <c r="O287" s="6"/>
      <c r="P287" s="6"/>
      <c r="Q287" s="6">
        <v>1</v>
      </c>
      <c r="R287" s="6" t="s">
        <v>25</v>
      </c>
    </row>
    <row r="288" spans="1:18" x14ac:dyDescent="0.3">
      <c r="A288" s="5">
        <v>46120</v>
      </c>
      <c r="B288" t="s">
        <v>19</v>
      </c>
      <c r="C288">
        <v>3</v>
      </c>
      <c r="D288">
        <v>6</v>
      </c>
      <c r="E288" t="s">
        <v>42</v>
      </c>
      <c r="F288">
        <v>0.5</v>
      </c>
      <c r="G288">
        <f t="shared" si="2"/>
        <v>2</v>
      </c>
      <c r="H288" t="s">
        <v>210</v>
      </c>
      <c r="I288" s="6" t="s">
        <v>43</v>
      </c>
      <c r="J288" s="7" t="s">
        <v>44</v>
      </c>
      <c r="K288" s="7" t="s">
        <v>45</v>
      </c>
      <c r="L288" s="6" t="s">
        <v>46</v>
      </c>
      <c r="M288" s="6"/>
      <c r="N288" s="6"/>
      <c r="O288" s="6">
        <v>1</v>
      </c>
      <c r="P288" s="6"/>
      <c r="Q288" s="6"/>
      <c r="R288" s="6" t="s">
        <v>25</v>
      </c>
    </row>
    <row r="289" spans="1:18" x14ac:dyDescent="0.3">
      <c r="A289" s="5">
        <v>46120</v>
      </c>
      <c r="B289" t="s">
        <v>19</v>
      </c>
      <c r="C289">
        <v>3</v>
      </c>
      <c r="D289">
        <v>6</v>
      </c>
      <c r="E289" t="s">
        <v>39</v>
      </c>
      <c r="F289">
        <v>2.5</v>
      </c>
      <c r="G289">
        <f t="shared" si="2"/>
        <v>10</v>
      </c>
      <c r="H289" t="s">
        <v>209</v>
      </c>
      <c r="I289" s="6" t="s">
        <v>21</v>
      </c>
      <c r="J289" s="7" t="s">
        <v>39</v>
      </c>
      <c r="K289" s="7" t="s">
        <v>40</v>
      </c>
      <c r="L289" s="6" t="s">
        <v>41</v>
      </c>
      <c r="M289" s="6">
        <v>1</v>
      </c>
      <c r="N289" s="6"/>
      <c r="O289" s="6"/>
      <c r="P289" s="6"/>
      <c r="Q289" s="6"/>
      <c r="R289" s="6" t="s">
        <v>25</v>
      </c>
    </row>
    <row r="290" spans="1:18" x14ac:dyDescent="0.3">
      <c r="A290" s="5">
        <v>46120</v>
      </c>
      <c r="B290" t="s">
        <v>19</v>
      </c>
      <c r="C290">
        <v>3</v>
      </c>
      <c r="D290">
        <v>6</v>
      </c>
      <c r="E290" t="s">
        <v>20</v>
      </c>
      <c r="F290">
        <v>4.25</v>
      </c>
      <c r="G290">
        <f t="shared" si="2"/>
        <v>17</v>
      </c>
      <c r="H290" t="s">
        <v>208</v>
      </c>
      <c r="I290" s="6" t="s">
        <v>21</v>
      </c>
      <c r="J290" s="7" t="s">
        <v>22</v>
      </c>
      <c r="K290" s="7" t="s">
        <v>23</v>
      </c>
      <c r="L290" s="6" t="s">
        <v>24</v>
      </c>
      <c r="M290" s="6">
        <v>1</v>
      </c>
      <c r="N290" s="6">
        <v>0</v>
      </c>
      <c r="O290" s="6">
        <v>0</v>
      </c>
      <c r="P290" s="6">
        <v>0</v>
      </c>
      <c r="Q290" s="6"/>
      <c r="R290" s="6" t="s">
        <v>25</v>
      </c>
    </row>
    <row r="291" spans="1:18" x14ac:dyDescent="0.3">
      <c r="A291" s="5">
        <v>46120</v>
      </c>
      <c r="B291" t="s">
        <v>19</v>
      </c>
      <c r="C291">
        <v>3</v>
      </c>
      <c r="D291">
        <v>6</v>
      </c>
      <c r="E291" t="s">
        <v>83</v>
      </c>
      <c r="F291">
        <v>11</v>
      </c>
      <c r="G291">
        <f t="shared" si="2"/>
        <v>44</v>
      </c>
      <c r="H291" t="s">
        <v>211</v>
      </c>
      <c r="I291" s="6" t="s">
        <v>21</v>
      </c>
      <c r="J291" s="7" t="s">
        <v>73</v>
      </c>
      <c r="K291" s="7" t="s">
        <v>84</v>
      </c>
      <c r="L291" s="6" t="s">
        <v>85</v>
      </c>
      <c r="M291" s="6">
        <v>1</v>
      </c>
      <c r="N291" s="6"/>
      <c r="O291" s="6"/>
      <c r="P291" s="6"/>
      <c r="Q291" s="6"/>
      <c r="R291" s="6" t="s">
        <v>25</v>
      </c>
    </row>
    <row r="292" spans="1:18" x14ac:dyDescent="0.3">
      <c r="A292" s="5">
        <v>46120</v>
      </c>
      <c r="B292" t="s">
        <v>19</v>
      </c>
      <c r="C292">
        <v>3</v>
      </c>
      <c r="D292">
        <v>6</v>
      </c>
      <c r="E292" t="s">
        <v>179</v>
      </c>
      <c r="F292">
        <v>0.5</v>
      </c>
      <c r="G292">
        <f t="shared" si="2"/>
        <v>2</v>
      </c>
      <c r="H292" t="s">
        <v>209</v>
      </c>
      <c r="I292" s="6" t="s">
        <v>21</v>
      </c>
      <c r="J292" s="7" t="s">
        <v>108</v>
      </c>
      <c r="K292" s="7" t="s">
        <v>180</v>
      </c>
      <c r="L292" s="6" t="s">
        <v>181</v>
      </c>
      <c r="M292" s="6"/>
      <c r="N292" s="6"/>
      <c r="O292" s="6"/>
      <c r="P292" s="6"/>
      <c r="Q292" s="6"/>
      <c r="R292" s="6" t="s">
        <v>57</v>
      </c>
    </row>
    <row r="293" spans="1:18" x14ac:dyDescent="0.3">
      <c r="A293" s="5">
        <v>46120</v>
      </c>
      <c r="B293" t="s">
        <v>19</v>
      </c>
      <c r="C293">
        <v>3</v>
      </c>
      <c r="D293">
        <v>6</v>
      </c>
      <c r="E293" t="s">
        <v>52</v>
      </c>
      <c r="F293">
        <v>0.1</v>
      </c>
      <c r="G293">
        <f t="shared" si="2"/>
        <v>0.4</v>
      </c>
      <c r="H293" t="s">
        <v>210</v>
      </c>
      <c r="I293" s="6" t="s">
        <v>53</v>
      </c>
      <c r="J293" s="7" t="s">
        <v>54</v>
      </c>
      <c r="K293" s="7" t="s">
        <v>55</v>
      </c>
      <c r="L293" s="6" t="s">
        <v>56</v>
      </c>
      <c r="M293" s="6"/>
      <c r="N293" s="6"/>
      <c r="O293" s="6"/>
      <c r="P293" s="6">
        <v>1</v>
      </c>
      <c r="Q293" s="6"/>
      <c r="R293" s="6" t="s">
        <v>57</v>
      </c>
    </row>
    <row r="294" spans="1:18" x14ac:dyDescent="0.3">
      <c r="A294" s="5">
        <v>46120</v>
      </c>
      <c r="B294" t="s">
        <v>19</v>
      </c>
      <c r="C294">
        <v>3</v>
      </c>
      <c r="D294">
        <v>6</v>
      </c>
      <c r="E294" t="s">
        <v>68</v>
      </c>
      <c r="F294">
        <v>0.25</v>
      </c>
      <c r="G294">
        <f t="shared" si="2"/>
        <v>1</v>
      </c>
      <c r="H294" t="s">
        <v>210</v>
      </c>
      <c r="I294" s="6" t="s">
        <v>69</v>
      </c>
      <c r="J294" s="7" t="s">
        <v>68</v>
      </c>
      <c r="K294" s="7" t="s">
        <v>70</v>
      </c>
      <c r="L294" s="6" t="s">
        <v>71</v>
      </c>
      <c r="M294" s="6"/>
      <c r="N294" s="6"/>
      <c r="O294" s="6"/>
      <c r="P294" s="6"/>
      <c r="Q294" s="6">
        <v>1</v>
      </c>
      <c r="R294" s="6" t="s">
        <v>25</v>
      </c>
    </row>
    <row r="295" spans="1:18" x14ac:dyDescent="0.3">
      <c r="A295" s="5">
        <v>46120</v>
      </c>
      <c r="B295" t="s">
        <v>19</v>
      </c>
      <c r="C295">
        <v>3</v>
      </c>
      <c r="D295">
        <v>6</v>
      </c>
      <c r="E295" t="s">
        <v>80</v>
      </c>
      <c r="F295">
        <v>0.25</v>
      </c>
      <c r="G295">
        <f t="shared" si="2"/>
        <v>1</v>
      </c>
      <c r="I295" s="6" t="s">
        <v>64</v>
      </c>
      <c r="J295" s="7" t="s">
        <v>65</v>
      </c>
      <c r="K295" s="7" t="s">
        <v>81</v>
      </c>
      <c r="L295" s="6" t="s">
        <v>82</v>
      </c>
      <c r="M295" s="6"/>
      <c r="N295" s="6"/>
      <c r="O295" s="6"/>
      <c r="P295" s="6">
        <v>1</v>
      </c>
      <c r="Q295" s="6"/>
      <c r="R295" s="6" t="s">
        <v>25</v>
      </c>
    </row>
    <row r="296" spans="1:18" x14ac:dyDescent="0.3">
      <c r="A296" s="5">
        <v>46120</v>
      </c>
      <c r="B296" t="s">
        <v>19</v>
      </c>
      <c r="C296">
        <v>3</v>
      </c>
      <c r="D296">
        <v>6</v>
      </c>
      <c r="E296" t="s">
        <v>118</v>
      </c>
      <c r="F296">
        <v>0.25</v>
      </c>
      <c r="G296">
        <f t="shared" si="2"/>
        <v>1</v>
      </c>
      <c r="I296" t="s">
        <v>119</v>
      </c>
      <c r="P296">
        <v>1</v>
      </c>
    </row>
    <row r="297" spans="1:18" x14ac:dyDescent="0.3">
      <c r="A297" s="5">
        <v>46120</v>
      </c>
      <c r="B297" t="s">
        <v>19</v>
      </c>
      <c r="C297">
        <v>3</v>
      </c>
      <c r="D297">
        <v>6</v>
      </c>
      <c r="E297" t="s">
        <v>76</v>
      </c>
      <c r="F297">
        <v>3.4</v>
      </c>
      <c r="G297">
        <f t="shared" si="2"/>
        <v>13.600000000000001</v>
      </c>
      <c r="H297" t="s">
        <v>239</v>
      </c>
    </row>
    <row r="298" spans="1:18" x14ac:dyDescent="0.3">
      <c r="A298" s="5">
        <v>46120</v>
      </c>
      <c r="B298" t="s">
        <v>19</v>
      </c>
      <c r="C298">
        <v>3</v>
      </c>
      <c r="D298">
        <v>7</v>
      </c>
      <c r="E298" t="s">
        <v>39</v>
      </c>
      <c r="F298">
        <v>7</v>
      </c>
      <c r="G298">
        <f t="shared" si="2"/>
        <v>28.000000000000004</v>
      </c>
      <c r="H298" t="s">
        <v>209</v>
      </c>
      <c r="I298" s="6" t="s">
        <v>21</v>
      </c>
      <c r="J298" s="7" t="s">
        <v>39</v>
      </c>
      <c r="K298" s="7" t="s">
        <v>40</v>
      </c>
      <c r="L298" s="6" t="s">
        <v>41</v>
      </c>
      <c r="M298" s="6">
        <v>1</v>
      </c>
      <c r="N298" s="6"/>
      <c r="O298" s="6"/>
      <c r="P298" s="6"/>
      <c r="Q298" s="6"/>
      <c r="R298" s="6" t="s">
        <v>25</v>
      </c>
    </row>
    <row r="299" spans="1:18" x14ac:dyDescent="0.3">
      <c r="A299" s="5">
        <v>46120</v>
      </c>
      <c r="B299" t="s">
        <v>19</v>
      </c>
      <c r="C299">
        <v>3</v>
      </c>
      <c r="D299">
        <v>7</v>
      </c>
      <c r="E299" t="s">
        <v>27</v>
      </c>
      <c r="F299">
        <v>1.25</v>
      </c>
      <c r="G299">
        <f t="shared" si="2"/>
        <v>5</v>
      </c>
      <c r="H299" t="s">
        <v>209</v>
      </c>
      <c r="I299" s="6" t="s">
        <v>21</v>
      </c>
      <c r="J299" s="7" t="s">
        <v>28</v>
      </c>
      <c r="K299" s="7" t="s">
        <v>29</v>
      </c>
      <c r="L299" s="6" t="s">
        <v>30</v>
      </c>
      <c r="M299" s="6">
        <v>1</v>
      </c>
      <c r="N299" s="6"/>
      <c r="O299" s="6"/>
      <c r="P299" s="6"/>
      <c r="Q299" s="6"/>
      <c r="R299" s="6" t="s">
        <v>25</v>
      </c>
    </row>
    <row r="300" spans="1:18" x14ac:dyDescent="0.3">
      <c r="A300" s="5">
        <v>46120</v>
      </c>
      <c r="B300" t="s">
        <v>19</v>
      </c>
      <c r="C300">
        <v>3</v>
      </c>
      <c r="D300">
        <v>7</v>
      </c>
      <c r="E300" t="s">
        <v>111</v>
      </c>
      <c r="F300">
        <v>2</v>
      </c>
      <c r="G300">
        <f t="shared" si="2"/>
        <v>8</v>
      </c>
      <c r="H300" t="s">
        <v>209</v>
      </c>
      <c r="I300" s="6" t="s">
        <v>21</v>
      </c>
      <c r="J300" s="7" t="s">
        <v>112</v>
      </c>
      <c r="K300" s="7" t="s">
        <v>113</v>
      </c>
      <c r="L300" s="6"/>
      <c r="M300" s="6">
        <v>1</v>
      </c>
      <c r="N300" s="6"/>
      <c r="O300" s="6"/>
      <c r="P300" s="6"/>
      <c r="Q300" s="6"/>
      <c r="R300" s="6" t="s">
        <v>25</v>
      </c>
    </row>
    <row r="301" spans="1:18" x14ac:dyDescent="0.3">
      <c r="A301" s="5">
        <v>46120</v>
      </c>
      <c r="B301" t="s">
        <v>19</v>
      </c>
      <c r="C301">
        <v>3</v>
      </c>
      <c r="D301">
        <v>7</v>
      </c>
      <c r="E301" t="s">
        <v>42</v>
      </c>
      <c r="F301">
        <v>10</v>
      </c>
      <c r="G301">
        <f t="shared" si="2"/>
        <v>40</v>
      </c>
      <c r="H301" t="s">
        <v>210</v>
      </c>
      <c r="I301" s="6" t="s">
        <v>43</v>
      </c>
      <c r="J301" s="7" t="s">
        <v>44</v>
      </c>
      <c r="K301" s="7" t="s">
        <v>45</v>
      </c>
      <c r="L301" s="6" t="s">
        <v>46</v>
      </c>
      <c r="M301" s="6"/>
      <c r="N301" s="6"/>
      <c r="O301" s="6">
        <v>1</v>
      </c>
      <c r="P301" s="6"/>
      <c r="Q301" s="6"/>
      <c r="R301" s="6" t="s">
        <v>25</v>
      </c>
    </row>
    <row r="302" spans="1:18" x14ac:dyDescent="0.3">
      <c r="A302" s="5">
        <v>46120</v>
      </c>
      <c r="B302" t="s">
        <v>19</v>
      </c>
      <c r="C302">
        <v>3</v>
      </c>
      <c r="D302">
        <v>7</v>
      </c>
      <c r="E302" t="s">
        <v>120</v>
      </c>
      <c r="F302">
        <v>0.25</v>
      </c>
      <c r="G302">
        <f t="shared" si="2"/>
        <v>1</v>
      </c>
      <c r="I302" s="6" t="s">
        <v>121</v>
      </c>
      <c r="J302" s="7" t="s">
        <v>120</v>
      </c>
      <c r="K302" s="7" t="s">
        <v>122</v>
      </c>
      <c r="L302" s="6" t="s">
        <v>123</v>
      </c>
      <c r="M302" s="6"/>
      <c r="N302" s="6"/>
      <c r="O302" s="6"/>
      <c r="P302" s="6">
        <v>1</v>
      </c>
      <c r="Q302" s="6"/>
      <c r="R302" s="6" t="s">
        <v>25</v>
      </c>
    </row>
    <row r="303" spans="1:18" x14ac:dyDescent="0.3">
      <c r="A303" s="5">
        <v>46120</v>
      </c>
      <c r="B303" t="s">
        <v>19</v>
      </c>
      <c r="C303">
        <v>3</v>
      </c>
      <c r="D303">
        <v>7</v>
      </c>
      <c r="E303" t="s">
        <v>124</v>
      </c>
      <c r="F303">
        <v>0.25</v>
      </c>
      <c r="G303">
        <f t="shared" si="2"/>
        <v>1</v>
      </c>
      <c r="H303" t="s">
        <v>210</v>
      </c>
      <c r="I303" s="6" t="s">
        <v>48</v>
      </c>
      <c r="J303" s="7" t="s">
        <v>49</v>
      </c>
      <c r="K303" t="s">
        <v>106</v>
      </c>
      <c r="Q303">
        <v>1</v>
      </c>
    </row>
    <row r="304" spans="1:18" x14ac:dyDescent="0.3">
      <c r="A304" s="5">
        <v>46120</v>
      </c>
      <c r="B304" t="s">
        <v>19</v>
      </c>
      <c r="C304">
        <v>3</v>
      </c>
      <c r="D304">
        <v>7</v>
      </c>
      <c r="E304" t="s">
        <v>20</v>
      </c>
      <c r="F304">
        <v>1</v>
      </c>
      <c r="G304">
        <f t="shared" si="2"/>
        <v>4</v>
      </c>
      <c r="H304" t="s">
        <v>208</v>
      </c>
      <c r="I304" s="6" t="s">
        <v>21</v>
      </c>
      <c r="J304" s="7" t="s">
        <v>22</v>
      </c>
      <c r="K304" s="7" t="s">
        <v>23</v>
      </c>
      <c r="L304" s="6" t="s">
        <v>24</v>
      </c>
      <c r="M304" s="6">
        <v>1</v>
      </c>
      <c r="N304" s="6">
        <v>0</v>
      </c>
      <c r="O304" s="6">
        <v>0</v>
      </c>
      <c r="P304" s="6">
        <v>0</v>
      </c>
      <c r="Q304" s="6"/>
      <c r="R304" s="6" t="s">
        <v>25</v>
      </c>
    </row>
    <row r="305" spans="1:18" x14ac:dyDescent="0.3">
      <c r="A305" s="5">
        <v>46120</v>
      </c>
      <c r="B305" t="s">
        <v>19</v>
      </c>
      <c r="C305">
        <v>3</v>
      </c>
      <c r="D305">
        <v>7</v>
      </c>
      <c r="E305" t="s">
        <v>160</v>
      </c>
      <c r="F305">
        <v>0.25</v>
      </c>
      <c r="G305">
        <f t="shared" si="2"/>
        <v>1</v>
      </c>
      <c r="I305" s="6" t="s">
        <v>53</v>
      </c>
      <c r="J305" s="7" t="s">
        <v>161</v>
      </c>
      <c r="K305" s="7" t="s">
        <v>162</v>
      </c>
      <c r="L305" s="6" t="s">
        <v>163</v>
      </c>
      <c r="M305" s="6"/>
      <c r="N305" s="6"/>
      <c r="O305" s="6"/>
      <c r="P305" s="6">
        <v>1</v>
      </c>
      <c r="Q305" s="6"/>
      <c r="R305" s="6" t="s">
        <v>57</v>
      </c>
    </row>
    <row r="306" spans="1:18" x14ac:dyDescent="0.3">
      <c r="A306" s="5">
        <v>46120</v>
      </c>
      <c r="B306" t="s">
        <v>19</v>
      </c>
      <c r="C306">
        <v>3</v>
      </c>
      <c r="D306">
        <v>7</v>
      </c>
      <c r="E306" t="s">
        <v>107</v>
      </c>
      <c r="F306">
        <v>1</v>
      </c>
      <c r="G306">
        <f t="shared" si="2"/>
        <v>4</v>
      </c>
      <c r="H306" t="s">
        <v>209</v>
      </c>
      <c r="I306" s="6" t="s">
        <v>21</v>
      </c>
      <c r="J306" s="7" t="s">
        <v>108</v>
      </c>
      <c r="K306" s="7" t="s">
        <v>109</v>
      </c>
      <c r="L306" s="6" t="s">
        <v>110</v>
      </c>
      <c r="M306" s="6">
        <v>1</v>
      </c>
      <c r="N306" s="6"/>
      <c r="O306" s="6"/>
      <c r="P306" s="6"/>
      <c r="Q306" s="6"/>
      <c r="R306" s="6" t="s">
        <v>25</v>
      </c>
    </row>
    <row r="307" spans="1:18" x14ac:dyDescent="0.3">
      <c r="A307" s="5">
        <v>46120</v>
      </c>
      <c r="B307" t="s">
        <v>19</v>
      </c>
      <c r="C307">
        <v>3</v>
      </c>
      <c r="D307">
        <v>7</v>
      </c>
      <c r="E307" t="s">
        <v>76</v>
      </c>
      <c r="F307">
        <v>2</v>
      </c>
      <c r="G307">
        <f t="shared" si="2"/>
        <v>8</v>
      </c>
      <c r="H307" t="s">
        <v>239</v>
      </c>
    </row>
    <row r="308" spans="1:18" x14ac:dyDescent="0.3">
      <c r="A308" s="5">
        <v>46120</v>
      </c>
      <c r="B308" t="s">
        <v>19</v>
      </c>
      <c r="C308">
        <v>3</v>
      </c>
      <c r="D308">
        <v>8</v>
      </c>
      <c r="E308" t="s">
        <v>39</v>
      </c>
      <c r="F308">
        <v>5</v>
      </c>
      <c r="G308">
        <f t="shared" si="2"/>
        <v>20</v>
      </c>
      <c r="H308" t="s">
        <v>209</v>
      </c>
      <c r="I308" s="6" t="s">
        <v>21</v>
      </c>
      <c r="J308" s="7" t="s">
        <v>39</v>
      </c>
      <c r="K308" s="7" t="s">
        <v>40</v>
      </c>
      <c r="L308" s="6" t="s">
        <v>41</v>
      </c>
      <c r="M308" s="6">
        <v>1</v>
      </c>
      <c r="N308" s="6"/>
      <c r="O308" s="6"/>
      <c r="P308" s="6"/>
      <c r="Q308" s="6"/>
      <c r="R308" s="6" t="s">
        <v>25</v>
      </c>
    </row>
    <row r="309" spans="1:18" x14ac:dyDescent="0.3">
      <c r="A309" s="5">
        <v>46120</v>
      </c>
      <c r="B309" t="s">
        <v>19</v>
      </c>
      <c r="C309">
        <v>3</v>
      </c>
      <c r="D309">
        <v>8</v>
      </c>
      <c r="E309" t="s">
        <v>124</v>
      </c>
      <c r="F309">
        <v>1</v>
      </c>
      <c r="G309">
        <f t="shared" si="2"/>
        <v>4</v>
      </c>
      <c r="H309" t="s">
        <v>210</v>
      </c>
      <c r="I309" s="6" t="s">
        <v>48</v>
      </c>
      <c r="J309" s="7" t="s">
        <v>49</v>
      </c>
      <c r="K309" t="s">
        <v>106</v>
      </c>
      <c r="Q309">
        <v>1</v>
      </c>
    </row>
    <row r="310" spans="1:18" x14ac:dyDescent="0.3">
      <c r="A310" s="5">
        <v>46120</v>
      </c>
      <c r="B310" t="s">
        <v>19</v>
      </c>
      <c r="C310">
        <v>3</v>
      </c>
      <c r="D310">
        <v>8</v>
      </c>
      <c r="E310" t="s">
        <v>134</v>
      </c>
      <c r="F310">
        <v>0.25</v>
      </c>
      <c r="G310">
        <f t="shared" si="2"/>
        <v>1</v>
      </c>
      <c r="H310" t="s">
        <v>210</v>
      </c>
      <c r="I310" s="6" t="s">
        <v>135</v>
      </c>
      <c r="J310" s="7" t="s">
        <v>134</v>
      </c>
      <c r="K310" s="7" t="s">
        <v>136</v>
      </c>
      <c r="L310" s="6" t="s">
        <v>137</v>
      </c>
      <c r="M310" s="6"/>
      <c r="N310" s="6"/>
      <c r="O310" s="6"/>
      <c r="P310" s="6">
        <v>1</v>
      </c>
      <c r="Q310" s="6"/>
      <c r="R310" s="6" t="s">
        <v>25</v>
      </c>
    </row>
    <row r="311" spans="1:18" x14ac:dyDescent="0.3">
      <c r="A311" s="5">
        <v>46120</v>
      </c>
      <c r="B311" t="s">
        <v>19</v>
      </c>
      <c r="C311">
        <v>3</v>
      </c>
      <c r="D311">
        <v>8</v>
      </c>
      <c r="E311" t="s">
        <v>77</v>
      </c>
      <c r="F311">
        <v>2</v>
      </c>
      <c r="G311">
        <f t="shared" si="2"/>
        <v>8</v>
      </c>
      <c r="I311" s="6" t="s">
        <v>21</v>
      </c>
      <c r="J311" s="7" t="s">
        <v>78</v>
      </c>
      <c r="K311" s="7" t="s">
        <v>79</v>
      </c>
      <c r="L311" s="6" t="s">
        <v>71</v>
      </c>
      <c r="M311" s="6">
        <v>1</v>
      </c>
      <c r="N311" s="6"/>
      <c r="O311" s="6"/>
      <c r="P311" s="6"/>
      <c r="Q311" s="6"/>
      <c r="R311" s="6" t="s">
        <v>25</v>
      </c>
    </row>
    <row r="312" spans="1:18" x14ac:dyDescent="0.3">
      <c r="A312" s="5">
        <v>46120</v>
      </c>
      <c r="B312" t="s">
        <v>19</v>
      </c>
      <c r="C312">
        <v>3</v>
      </c>
      <c r="D312">
        <v>8</v>
      </c>
      <c r="E312" t="s">
        <v>35</v>
      </c>
      <c r="F312">
        <v>2</v>
      </c>
      <c r="G312">
        <f t="shared" si="2"/>
        <v>8</v>
      </c>
      <c r="H312" t="s">
        <v>208</v>
      </c>
      <c r="I312" s="6" t="s">
        <v>21</v>
      </c>
      <c r="J312" s="6" t="s">
        <v>36</v>
      </c>
      <c r="K312" s="6" t="s">
        <v>37</v>
      </c>
      <c r="L312" s="6" t="s">
        <v>38</v>
      </c>
      <c r="M312" s="6">
        <v>1</v>
      </c>
      <c r="N312" s="6"/>
      <c r="O312" s="6"/>
      <c r="P312" s="6"/>
      <c r="Q312" s="6"/>
      <c r="R312" s="6" t="s">
        <v>25</v>
      </c>
    </row>
    <row r="313" spans="1:18" x14ac:dyDescent="0.3">
      <c r="A313" s="5">
        <v>46120</v>
      </c>
      <c r="B313" t="s">
        <v>19</v>
      </c>
      <c r="C313">
        <v>3</v>
      </c>
      <c r="D313">
        <v>8</v>
      </c>
      <c r="E313" t="s">
        <v>86</v>
      </c>
      <c r="F313">
        <v>1.5</v>
      </c>
      <c r="G313">
        <f t="shared" si="2"/>
        <v>6</v>
      </c>
      <c r="I313" s="6" t="s">
        <v>21</v>
      </c>
      <c r="J313" s="7" t="s">
        <v>87</v>
      </c>
      <c r="K313" s="7" t="s">
        <v>88</v>
      </c>
      <c r="L313" s="6" t="s">
        <v>89</v>
      </c>
      <c r="M313" s="6">
        <v>1</v>
      </c>
      <c r="N313" s="6"/>
      <c r="O313" s="6"/>
      <c r="P313" s="6"/>
      <c r="Q313" s="6"/>
      <c r="R313" s="6" t="s">
        <v>25</v>
      </c>
    </row>
    <row r="314" spans="1:18" x14ac:dyDescent="0.3">
      <c r="A314" s="5">
        <v>46120</v>
      </c>
      <c r="B314" t="s">
        <v>19</v>
      </c>
      <c r="C314">
        <v>3</v>
      </c>
      <c r="D314">
        <v>8</v>
      </c>
      <c r="E314" t="s">
        <v>42</v>
      </c>
      <c r="F314">
        <v>10</v>
      </c>
      <c r="G314">
        <f t="shared" si="2"/>
        <v>40</v>
      </c>
      <c r="H314" t="s">
        <v>210</v>
      </c>
      <c r="I314" s="6" t="s">
        <v>43</v>
      </c>
      <c r="J314" s="7" t="s">
        <v>44</v>
      </c>
      <c r="K314" s="7" t="s">
        <v>45</v>
      </c>
      <c r="L314" s="6" t="s">
        <v>46</v>
      </c>
      <c r="M314" s="6"/>
      <c r="N314" s="6"/>
      <c r="O314" s="6">
        <v>1</v>
      </c>
      <c r="P314" s="6"/>
      <c r="Q314" s="6"/>
      <c r="R314" s="6" t="s">
        <v>25</v>
      </c>
    </row>
    <row r="315" spans="1:18" x14ac:dyDescent="0.3">
      <c r="A315" s="5">
        <v>46120</v>
      </c>
      <c r="B315" t="s">
        <v>19</v>
      </c>
      <c r="C315">
        <v>3</v>
      </c>
      <c r="D315">
        <v>8</v>
      </c>
      <c r="E315" t="s">
        <v>99</v>
      </c>
      <c r="F315">
        <v>0.25</v>
      </c>
      <c r="G315">
        <f t="shared" si="2"/>
        <v>1</v>
      </c>
      <c r="H315" t="s">
        <v>12</v>
      </c>
      <c r="I315" s="6" t="s">
        <v>95</v>
      </c>
      <c r="J315" s="7" t="s">
        <v>96</v>
      </c>
      <c r="K315" s="7" t="s">
        <v>100</v>
      </c>
      <c r="L315" s="6" t="s">
        <v>101</v>
      </c>
      <c r="M315" s="6"/>
      <c r="N315" s="6">
        <v>1</v>
      </c>
      <c r="O315" s="6"/>
      <c r="P315" s="6"/>
      <c r="Q315" s="6"/>
      <c r="R315" s="6" t="s">
        <v>25</v>
      </c>
    </row>
    <row r="316" spans="1:18" x14ac:dyDescent="0.3">
      <c r="A316" s="5">
        <v>46120</v>
      </c>
      <c r="B316" t="s">
        <v>19</v>
      </c>
      <c r="C316">
        <v>3</v>
      </c>
      <c r="D316">
        <v>8</v>
      </c>
      <c r="E316" t="s">
        <v>76</v>
      </c>
      <c r="F316">
        <v>3</v>
      </c>
      <c r="G316">
        <f t="shared" si="2"/>
        <v>12</v>
      </c>
      <c r="H316" t="s">
        <v>239</v>
      </c>
    </row>
    <row r="317" spans="1:18" x14ac:dyDescent="0.3">
      <c r="A317" s="5">
        <v>46120</v>
      </c>
      <c r="B317" t="s">
        <v>19</v>
      </c>
      <c r="C317">
        <v>3</v>
      </c>
      <c r="D317">
        <v>9</v>
      </c>
      <c r="E317" t="s">
        <v>107</v>
      </c>
      <c r="F317">
        <v>3</v>
      </c>
      <c r="G317">
        <f t="shared" si="2"/>
        <v>12</v>
      </c>
      <c r="H317" t="s">
        <v>209</v>
      </c>
      <c r="I317" s="6" t="s">
        <v>21</v>
      </c>
      <c r="J317" s="7" t="s">
        <v>108</v>
      </c>
      <c r="K317" s="7" t="s">
        <v>109</v>
      </c>
      <c r="L317" s="6" t="s">
        <v>110</v>
      </c>
      <c r="M317" s="6">
        <v>1</v>
      </c>
      <c r="N317" s="6"/>
      <c r="O317" s="6"/>
      <c r="P317" s="6"/>
      <c r="Q317" s="6"/>
      <c r="R317" s="6" t="s">
        <v>25</v>
      </c>
    </row>
    <row r="318" spans="1:18" x14ac:dyDescent="0.3">
      <c r="A318" s="5">
        <v>46120</v>
      </c>
      <c r="B318" t="s">
        <v>19</v>
      </c>
      <c r="C318">
        <v>3</v>
      </c>
      <c r="D318">
        <v>9</v>
      </c>
      <c r="E318" t="s">
        <v>27</v>
      </c>
      <c r="F318">
        <v>1</v>
      </c>
      <c r="G318">
        <f t="shared" si="2"/>
        <v>4</v>
      </c>
      <c r="H318" t="s">
        <v>209</v>
      </c>
      <c r="I318" s="6" t="s">
        <v>21</v>
      </c>
      <c r="J318" s="7" t="s">
        <v>28</v>
      </c>
      <c r="K318" s="7" t="s">
        <v>29</v>
      </c>
      <c r="L318" s="6" t="s">
        <v>30</v>
      </c>
      <c r="M318" s="6">
        <v>1</v>
      </c>
      <c r="N318" s="6"/>
      <c r="O318" s="6"/>
      <c r="P318" s="6"/>
      <c r="Q318" s="6"/>
      <c r="R318" s="6" t="s">
        <v>25</v>
      </c>
    </row>
    <row r="319" spans="1:18" x14ac:dyDescent="0.3">
      <c r="A319" s="5">
        <v>46120</v>
      </c>
      <c r="B319" t="s">
        <v>19</v>
      </c>
      <c r="C319">
        <v>3</v>
      </c>
      <c r="D319">
        <v>9</v>
      </c>
      <c r="E319" t="s">
        <v>42</v>
      </c>
      <c r="F319">
        <v>11.5</v>
      </c>
      <c r="G319">
        <f t="shared" si="2"/>
        <v>46</v>
      </c>
      <c r="H319" t="s">
        <v>210</v>
      </c>
      <c r="I319" s="6" t="s">
        <v>43</v>
      </c>
      <c r="J319" s="7" t="s">
        <v>44</v>
      </c>
      <c r="K319" s="7" t="s">
        <v>45</v>
      </c>
      <c r="L319" s="6" t="s">
        <v>46</v>
      </c>
      <c r="M319" s="6"/>
      <c r="N319" s="6"/>
      <c r="O319" s="6">
        <v>1</v>
      </c>
      <c r="P319" s="6"/>
      <c r="Q319" s="6"/>
      <c r="R319" s="6" t="s">
        <v>25</v>
      </c>
    </row>
    <row r="320" spans="1:18" x14ac:dyDescent="0.3">
      <c r="A320" s="5">
        <v>46120</v>
      </c>
      <c r="B320" t="s">
        <v>19</v>
      </c>
      <c r="C320">
        <v>3</v>
      </c>
      <c r="D320">
        <v>9</v>
      </c>
      <c r="E320" t="s">
        <v>179</v>
      </c>
      <c r="F320">
        <v>2</v>
      </c>
      <c r="G320">
        <f t="shared" si="2"/>
        <v>8</v>
      </c>
      <c r="H320" t="s">
        <v>209</v>
      </c>
      <c r="I320" s="6" t="s">
        <v>21</v>
      </c>
      <c r="J320" s="7" t="s">
        <v>108</v>
      </c>
      <c r="K320" s="7" t="s">
        <v>180</v>
      </c>
      <c r="L320" s="6" t="s">
        <v>181</v>
      </c>
      <c r="M320" s="6"/>
      <c r="N320" s="6"/>
      <c r="O320" s="6"/>
      <c r="P320" s="6"/>
      <c r="Q320" s="6"/>
      <c r="R320" s="6" t="s">
        <v>57</v>
      </c>
    </row>
    <row r="321" spans="1:18" x14ac:dyDescent="0.3">
      <c r="A321" s="5">
        <v>46120</v>
      </c>
      <c r="B321" t="s">
        <v>19</v>
      </c>
      <c r="C321">
        <v>3</v>
      </c>
      <c r="D321">
        <v>9</v>
      </c>
      <c r="E321" t="s">
        <v>157</v>
      </c>
      <c r="F321">
        <v>4</v>
      </c>
      <c r="G321">
        <f t="shared" si="2"/>
        <v>16</v>
      </c>
      <c r="H321" t="s">
        <v>210</v>
      </c>
      <c r="I321" s="6" t="s">
        <v>48</v>
      </c>
      <c r="J321" s="7" t="s">
        <v>157</v>
      </c>
      <c r="K321" s="7" t="s">
        <v>158</v>
      </c>
      <c r="L321" s="6" t="s">
        <v>159</v>
      </c>
      <c r="M321" s="6"/>
      <c r="N321" s="6"/>
      <c r="O321" s="6"/>
      <c r="P321" s="6"/>
      <c r="Q321" s="6">
        <v>1</v>
      </c>
      <c r="R321" s="6" t="s">
        <v>25</v>
      </c>
    </row>
    <row r="322" spans="1:18" x14ac:dyDescent="0.3">
      <c r="A322" s="5">
        <v>46120</v>
      </c>
      <c r="B322" t="s">
        <v>19</v>
      </c>
      <c r="C322">
        <v>3</v>
      </c>
      <c r="D322">
        <v>9</v>
      </c>
      <c r="E322" t="s">
        <v>111</v>
      </c>
      <c r="F322">
        <v>3</v>
      </c>
      <c r="G322">
        <f t="shared" si="2"/>
        <v>12</v>
      </c>
      <c r="H322" t="s">
        <v>209</v>
      </c>
      <c r="I322" s="6" t="s">
        <v>21</v>
      </c>
      <c r="J322" s="7" t="s">
        <v>112</v>
      </c>
      <c r="K322" s="7" t="s">
        <v>113</v>
      </c>
      <c r="L322" s="6"/>
      <c r="M322" s="6">
        <v>1</v>
      </c>
      <c r="N322" s="6"/>
      <c r="O322" s="6"/>
      <c r="P322" s="6"/>
      <c r="Q322" s="6"/>
      <c r="R322" s="6" t="s">
        <v>25</v>
      </c>
    </row>
    <row r="323" spans="1:18" x14ac:dyDescent="0.3">
      <c r="A323" s="5">
        <v>46120</v>
      </c>
      <c r="B323" t="s">
        <v>19</v>
      </c>
      <c r="C323">
        <v>3</v>
      </c>
      <c r="D323">
        <v>9</v>
      </c>
      <c r="E323" t="s">
        <v>76</v>
      </c>
      <c r="F323">
        <v>0.5</v>
      </c>
      <c r="G323">
        <f t="shared" si="2"/>
        <v>2</v>
      </c>
      <c r="H323" t="s">
        <v>239</v>
      </c>
    </row>
    <row r="324" spans="1:18" x14ac:dyDescent="0.3">
      <c r="A324" s="5">
        <v>46120</v>
      </c>
      <c r="B324" t="s">
        <v>19</v>
      </c>
      <c r="C324">
        <v>3</v>
      </c>
      <c r="D324">
        <v>10</v>
      </c>
      <c r="E324" t="s">
        <v>111</v>
      </c>
      <c r="F324">
        <v>8</v>
      </c>
      <c r="G324">
        <f t="shared" si="2"/>
        <v>32</v>
      </c>
      <c r="H324" t="s">
        <v>209</v>
      </c>
      <c r="I324" s="6" t="s">
        <v>21</v>
      </c>
      <c r="J324" s="7" t="s">
        <v>112</v>
      </c>
      <c r="K324" s="7" t="s">
        <v>113</v>
      </c>
      <c r="L324" s="6"/>
      <c r="M324" s="6">
        <v>1</v>
      </c>
      <c r="N324" s="6"/>
      <c r="O324" s="6"/>
      <c r="P324" s="6"/>
      <c r="Q324" s="6"/>
      <c r="R324" s="6" t="s">
        <v>25</v>
      </c>
    </row>
    <row r="325" spans="1:18" x14ac:dyDescent="0.3">
      <c r="A325" s="5">
        <v>46120</v>
      </c>
      <c r="B325" t="s">
        <v>19</v>
      </c>
      <c r="C325">
        <v>3</v>
      </c>
      <c r="D325">
        <v>10</v>
      </c>
      <c r="E325" t="s">
        <v>39</v>
      </c>
      <c r="F325">
        <v>8</v>
      </c>
      <c r="G325">
        <f t="shared" si="2"/>
        <v>32</v>
      </c>
      <c r="H325" t="s">
        <v>209</v>
      </c>
      <c r="I325" s="6" t="s">
        <v>21</v>
      </c>
      <c r="J325" s="7" t="s">
        <v>39</v>
      </c>
      <c r="K325" s="7" t="s">
        <v>40</v>
      </c>
      <c r="L325" s="6" t="s">
        <v>41</v>
      </c>
      <c r="M325" s="6">
        <v>1</v>
      </c>
      <c r="N325" s="6"/>
      <c r="O325" s="6"/>
      <c r="P325" s="6"/>
      <c r="Q325" s="6"/>
      <c r="R325" s="6" t="s">
        <v>25</v>
      </c>
    </row>
    <row r="326" spans="1:18" x14ac:dyDescent="0.3">
      <c r="A326" s="5">
        <v>46120</v>
      </c>
      <c r="B326" t="s">
        <v>19</v>
      </c>
      <c r="C326">
        <v>3</v>
      </c>
      <c r="D326">
        <v>10</v>
      </c>
      <c r="E326" t="s">
        <v>20</v>
      </c>
      <c r="F326">
        <v>1</v>
      </c>
      <c r="G326">
        <f t="shared" si="2"/>
        <v>4</v>
      </c>
      <c r="H326" t="s">
        <v>208</v>
      </c>
      <c r="I326" s="6" t="s">
        <v>21</v>
      </c>
      <c r="J326" s="7" t="s">
        <v>22</v>
      </c>
      <c r="K326" s="7" t="s">
        <v>23</v>
      </c>
      <c r="L326" s="6" t="s">
        <v>24</v>
      </c>
      <c r="M326" s="6">
        <v>1</v>
      </c>
      <c r="N326" s="6">
        <v>0</v>
      </c>
      <c r="O326" s="6">
        <v>0</v>
      </c>
      <c r="P326" s="6">
        <v>0</v>
      </c>
      <c r="Q326" s="6"/>
      <c r="R326" s="6" t="s">
        <v>25</v>
      </c>
    </row>
    <row r="327" spans="1:18" x14ac:dyDescent="0.3">
      <c r="A327" s="5">
        <v>46120</v>
      </c>
      <c r="B327" t="s">
        <v>19</v>
      </c>
      <c r="C327">
        <v>3</v>
      </c>
      <c r="D327">
        <v>10</v>
      </c>
      <c r="E327" t="s">
        <v>42</v>
      </c>
      <c r="F327">
        <v>3</v>
      </c>
      <c r="G327">
        <f t="shared" si="2"/>
        <v>12</v>
      </c>
      <c r="H327" t="s">
        <v>210</v>
      </c>
      <c r="I327" s="6" t="s">
        <v>43</v>
      </c>
      <c r="J327" s="7" t="s">
        <v>44</v>
      </c>
      <c r="K327" s="7" t="s">
        <v>45</v>
      </c>
      <c r="L327" s="6" t="s">
        <v>46</v>
      </c>
      <c r="M327" s="6"/>
      <c r="N327" s="6"/>
      <c r="O327" s="6">
        <v>1</v>
      </c>
      <c r="P327" s="6"/>
      <c r="Q327" s="6"/>
      <c r="R327" s="6" t="s">
        <v>25</v>
      </c>
    </row>
    <row r="328" spans="1:18" x14ac:dyDescent="0.3">
      <c r="A328" s="5">
        <v>46120</v>
      </c>
      <c r="B328" t="s">
        <v>19</v>
      </c>
      <c r="C328">
        <v>3</v>
      </c>
      <c r="D328">
        <v>10</v>
      </c>
      <c r="E328" t="s">
        <v>120</v>
      </c>
      <c r="F328">
        <v>0.5</v>
      </c>
      <c r="G328">
        <f t="shared" si="2"/>
        <v>2</v>
      </c>
      <c r="I328" s="6" t="s">
        <v>121</v>
      </c>
      <c r="J328" s="7" t="s">
        <v>120</v>
      </c>
      <c r="K328" s="7" t="s">
        <v>122</v>
      </c>
      <c r="L328" s="6" t="s">
        <v>123</v>
      </c>
      <c r="M328" s="6"/>
      <c r="N328" s="6"/>
      <c r="O328" s="6"/>
      <c r="P328" s="6">
        <v>1</v>
      </c>
      <c r="Q328" s="6"/>
      <c r="R328" s="6" t="s">
        <v>25</v>
      </c>
    </row>
    <row r="329" spans="1:18" x14ac:dyDescent="0.3">
      <c r="A329" s="5">
        <v>46120</v>
      </c>
      <c r="B329" t="s">
        <v>19</v>
      </c>
      <c r="C329">
        <v>3</v>
      </c>
      <c r="D329">
        <v>10</v>
      </c>
      <c r="E329" t="s">
        <v>118</v>
      </c>
      <c r="F329">
        <v>0.25</v>
      </c>
      <c r="G329">
        <f t="shared" si="2"/>
        <v>1</v>
      </c>
      <c r="I329" t="s">
        <v>119</v>
      </c>
      <c r="P329">
        <v>1</v>
      </c>
    </row>
    <row r="330" spans="1:18" x14ac:dyDescent="0.3">
      <c r="A330" s="5">
        <v>46120</v>
      </c>
      <c r="B330" t="s">
        <v>19</v>
      </c>
      <c r="C330">
        <v>3</v>
      </c>
      <c r="D330">
        <v>10</v>
      </c>
      <c r="E330" t="s">
        <v>80</v>
      </c>
      <c r="F330">
        <v>0.5</v>
      </c>
      <c r="G330">
        <f t="shared" si="2"/>
        <v>2</v>
      </c>
      <c r="I330" s="6" t="s">
        <v>64</v>
      </c>
      <c r="J330" s="7" t="s">
        <v>65</v>
      </c>
      <c r="K330" s="7" t="s">
        <v>81</v>
      </c>
      <c r="L330" s="6" t="s">
        <v>82</v>
      </c>
      <c r="M330" s="6"/>
      <c r="N330" s="6"/>
      <c r="O330" s="6"/>
      <c r="P330" s="6">
        <v>1</v>
      </c>
      <c r="Q330" s="6"/>
      <c r="R330" s="6" t="s">
        <v>25</v>
      </c>
    </row>
    <row r="331" spans="1:18" x14ac:dyDescent="0.3">
      <c r="A331" s="5">
        <v>46120</v>
      </c>
      <c r="B331" t="s">
        <v>19</v>
      </c>
      <c r="C331">
        <v>3</v>
      </c>
      <c r="D331">
        <v>10</v>
      </c>
      <c r="E331" t="s">
        <v>27</v>
      </c>
      <c r="F331">
        <v>1</v>
      </c>
      <c r="G331">
        <f t="shared" si="2"/>
        <v>4</v>
      </c>
      <c r="H331" t="s">
        <v>209</v>
      </c>
      <c r="I331" s="6" t="s">
        <v>21</v>
      </c>
      <c r="J331" s="7" t="s">
        <v>28</v>
      </c>
      <c r="K331" s="7" t="s">
        <v>29</v>
      </c>
      <c r="L331" s="6" t="s">
        <v>30</v>
      </c>
      <c r="M331" s="6">
        <v>1</v>
      </c>
      <c r="N331" s="6"/>
      <c r="O331" s="6"/>
      <c r="P331" s="6"/>
      <c r="Q331" s="6"/>
      <c r="R331" s="6" t="s">
        <v>25</v>
      </c>
    </row>
    <row r="332" spans="1:18" x14ac:dyDescent="0.3">
      <c r="A332" s="5">
        <v>46120</v>
      </c>
      <c r="B332" t="s">
        <v>19</v>
      </c>
      <c r="C332">
        <v>3</v>
      </c>
      <c r="D332">
        <v>10</v>
      </c>
      <c r="E332" t="s">
        <v>76</v>
      </c>
      <c r="F332">
        <v>2.75</v>
      </c>
      <c r="G332">
        <f t="shared" si="2"/>
        <v>11</v>
      </c>
      <c r="H332" t="s">
        <v>239</v>
      </c>
    </row>
    <row r="333" spans="1:18" x14ac:dyDescent="0.3">
      <c r="A333" s="5"/>
      <c r="I333" s="6"/>
      <c r="J333" s="7"/>
      <c r="K333" s="7"/>
      <c r="L333" s="6"/>
      <c r="M333" s="6"/>
      <c r="N333" s="6"/>
      <c r="O333" s="6"/>
      <c r="P333" s="6"/>
      <c r="Q333" s="6"/>
      <c r="R333" s="6"/>
    </row>
    <row r="334" spans="1:18" x14ac:dyDescent="0.3">
      <c r="A334" s="5"/>
    </row>
    <row r="335" spans="1:18" x14ac:dyDescent="0.3">
      <c r="A33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AF763-B060-4F15-B7D2-F2A4CB5F604E}">
  <dimension ref="B1:O21"/>
  <sheetViews>
    <sheetView workbookViewId="0">
      <selection activeCell="M17" sqref="M17"/>
    </sheetView>
  </sheetViews>
  <sheetFormatPr defaultRowHeight="14.4" x14ac:dyDescent="0.3"/>
  <cols>
    <col min="10" max="10" width="13.33203125" customWidth="1"/>
    <col min="11" max="11" width="15.88671875" customWidth="1"/>
    <col min="12" max="12" width="19.109375" customWidth="1"/>
    <col min="13" max="13" width="26.88671875" customWidth="1"/>
  </cols>
  <sheetData>
    <row r="1" spans="2:15" x14ac:dyDescent="0.3"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14</v>
      </c>
      <c r="I1" t="s">
        <v>198</v>
      </c>
      <c r="J1" t="s">
        <v>203</v>
      </c>
      <c r="K1" t="s">
        <v>199</v>
      </c>
      <c r="L1" t="s">
        <v>200</v>
      </c>
      <c r="M1" t="s">
        <v>14</v>
      </c>
      <c r="N1" t="s">
        <v>12</v>
      </c>
      <c r="O1" t="s">
        <v>15</v>
      </c>
    </row>
    <row r="2" spans="2:15" x14ac:dyDescent="0.3">
      <c r="B2">
        <v>1</v>
      </c>
      <c r="C2">
        <v>1</v>
      </c>
      <c r="E2" t="s">
        <v>20</v>
      </c>
      <c r="J2" t="s">
        <v>72</v>
      </c>
      <c r="K2" t="s">
        <v>202</v>
      </c>
      <c r="L2" t="s">
        <v>201</v>
      </c>
      <c r="M2" t="s">
        <v>44</v>
      </c>
      <c r="N2" s="7" t="s">
        <v>96</v>
      </c>
      <c r="O2" t="s">
        <v>224</v>
      </c>
    </row>
    <row r="3" spans="2:15" x14ac:dyDescent="0.3">
      <c r="B3">
        <v>2</v>
      </c>
      <c r="J3" t="s">
        <v>235</v>
      </c>
      <c r="K3" t="s">
        <v>35</v>
      </c>
      <c r="L3" t="s">
        <v>27</v>
      </c>
      <c r="M3" t="s">
        <v>48</v>
      </c>
      <c r="N3" t="s">
        <v>237</v>
      </c>
    </row>
    <row r="4" spans="2:15" x14ac:dyDescent="0.3">
      <c r="B4">
        <v>3</v>
      </c>
      <c r="K4" s="7" t="s">
        <v>78</v>
      </c>
      <c r="L4" t="s">
        <v>31</v>
      </c>
      <c r="M4" s="7" t="s">
        <v>215</v>
      </c>
    </row>
    <row r="5" spans="2:15" x14ac:dyDescent="0.3">
      <c r="B5">
        <v>4</v>
      </c>
      <c r="K5" t="s">
        <v>212</v>
      </c>
      <c r="L5" s="7" t="s">
        <v>222</v>
      </c>
      <c r="M5" t="s">
        <v>173</v>
      </c>
    </row>
    <row r="6" spans="2:15" x14ac:dyDescent="0.3">
      <c r="B6">
        <v>5</v>
      </c>
      <c r="K6" s="7" t="s">
        <v>86</v>
      </c>
      <c r="L6" s="7" t="s">
        <v>227</v>
      </c>
      <c r="M6" s="7" t="s">
        <v>213</v>
      </c>
      <c r="N6" s="7"/>
    </row>
    <row r="7" spans="2:15" x14ac:dyDescent="0.3">
      <c r="B7">
        <v>6</v>
      </c>
      <c r="K7" t="s">
        <v>223</v>
      </c>
      <c r="L7" t="s">
        <v>230</v>
      </c>
      <c r="M7" s="7" t="s">
        <v>214</v>
      </c>
      <c r="N7" s="7"/>
    </row>
    <row r="8" spans="2:15" x14ac:dyDescent="0.3">
      <c r="B8">
        <v>7</v>
      </c>
      <c r="K8" t="s">
        <v>236</v>
      </c>
      <c r="M8" s="7" t="s">
        <v>216</v>
      </c>
      <c r="N8" s="7"/>
    </row>
    <row r="9" spans="2:15" x14ac:dyDescent="0.3">
      <c r="B9">
        <v>8</v>
      </c>
      <c r="M9" s="7" t="s">
        <v>217</v>
      </c>
      <c r="N9" s="7"/>
    </row>
    <row r="10" spans="2:15" x14ac:dyDescent="0.3">
      <c r="B10">
        <v>9</v>
      </c>
      <c r="M10" s="7" t="s">
        <v>218</v>
      </c>
      <c r="N10" s="7"/>
    </row>
    <row r="11" spans="2:15" x14ac:dyDescent="0.3">
      <c r="B11">
        <v>10</v>
      </c>
      <c r="M11" s="7" t="s">
        <v>219</v>
      </c>
      <c r="N11" s="7"/>
    </row>
    <row r="12" spans="2:15" x14ac:dyDescent="0.3">
      <c r="B12">
        <v>1</v>
      </c>
      <c r="C12">
        <v>1</v>
      </c>
      <c r="E12" t="s">
        <v>206</v>
      </c>
      <c r="F12" t="s">
        <v>204</v>
      </c>
      <c r="G12" t="s">
        <v>205</v>
      </c>
      <c r="M12" s="7" t="s">
        <v>220</v>
      </c>
      <c r="N12" s="7"/>
    </row>
    <row r="13" spans="2:15" x14ac:dyDescent="0.3">
      <c r="C13">
        <v>2</v>
      </c>
      <c r="M13" s="7" t="s">
        <v>221</v>
      </c>
      <c r="N13" s="7"/>
    </row>
    <row r="14" spans="2:15" x14ac:dyDescent="0.3">
      <c r="C14">
        <v>3</v>
      </c>
      <c r="M14" t="s">
        <v>226</v>
      </c>
    </row>
    <row r="15" spans="2:15" x14ac:dyDescent="0.3">
      <c r="C15">
        <v>4</v>
      </c>
      <c r="M15" s="7" t="s">
        <v>228</v>
      </c>
    </row>
    <row r="16" spans="2:15" x14ac:dyDescent="0.3">
      <c r="M16" s="7" t="s">
        <v>229</v>
      </c>
    </row>
    <row r="17" spans="12:14" x14ac:dyDescent="0.3">
      <c r="M17" t="s">
        <v>231</v>
      </c>
    </row>
    <row r="18" spans="12:14" x14ac:dyDescent="0.3">
      <c r="L18" s="7"/>
      <c r="M18" s="7" t="s">
        <v>232</v>
      </c>
    </row>
    <row r="19" spans="12:14" x14ac:dyDescent="0.3">
      <c r="M19" s="7" t="s">
        <v>233</v>
      </c>
      <c r="N19" s="7"/>
    </row>
    <row r="20" spans="12:14" x14ac:dyDescent="0.3">
      <c r="M20" s="7" t="s">
        <v>234</v>
      </c>
    </row>
    <row r="21" spans="12:14" x14ac:dyDescent="0.3">
      <c r="M21" s="7" t="s">
        <v>238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93D18-A363-45DA-8789-4889A5E255EB}">
  <dimension ref="A1:U11"/>
  <sheetViews>
    <sheetView workbookViewId="0">
      <selection activeCell="J4" sqref="J4"/>
    </sheetView>
  </sheetViews>
  <sheetFormatPr defaultRowHeight="14.4" x14ac:dyDescent="0.3"/>
  <sheetData>
    <row r="1" spans="1:21" ht="28.8" x14ac:dyDescent="0.3">
      <c r="A1" s="1" t="s">
        <v>242</v>
      </c>
      <c r="B1" s="1" t="s">
        <v>243</v>
      </c>
      <c r="C1" s="1" t="s">
        <v>241</v>
      </c>
      <c r="D1" s="2" t="s">
        <v>244</v>
      </c>
      <c r="E1" s="1" t="s">
        <v>245</v>
      </c>
      <c r="F1" s="1" t="s">
        <v>246</v>
      </c>
      <c r="G1" s="3" t="s">
        <v>247</v>
      </c>
      <c r="H1" s="3" t="s">
        <v>240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1" t="s">
        <v>5</v>
      </c>
      <c r="T1" s="1" t="s">
        <v>17</v>
      </c>
      <c r="U1" s="4" t="s">
        <v>18</v>
      </c>
    </row>
    <row r="2" spans="1:21" x14ac:dyDescent="0.3">
      <c r="A2" s="5">
        <v>46120</v>
      </c>
      <c r="B2" t="s">
        <v>19</v>
      </c>
      <c r="C2">
        <v>2</v>
      </c>
      <c r="D2">
        <v>1</v>
      </c>
      <c r="E2" t="s">
        <v>39</v>
      </c>
      <c r="F2">
        <v>6</v>
      </c>
      <c r="G2">
        <v>24</v>
      </c>
      <c r="H2" t="s">
        <v>209</v>
      </c>
      <c r="I2" s="6" t="s">
        <v>21</v>
      </c>
      <c r="J2" s="7" t="s">
        <v>39</v>
      </c>
      <c r="K2" s="7" t="s">
        <v>40</v>
      </c>
      <c r="L2" s="6" t="s">
        <v>41</v>
      </c>
      <c r="M2" s="6">
        <v>1</v>
      </c>
      <c r="N2" s="6"/>
      <c r="O2" s="6"/>
      <c r="P2" s="6"/>
      <c r="Q2" s="6"/>
      <c r="R2" s="6" t="s">
        <v>25</v>
      </c>
    </row>
    <row r="3" spans="1:21" x14ac:dyDescent="0.3">
      <c r="A3" s="5">
        <v>46120</v>
      </c>
      <c r="B3" t="s">
        <v>19</v>
      </c>
      <c r="C3">
        <v>2</v>
      </c>
      <c r="D3">
        <v>1</v>
      </c>
      <c r="E3" t="s">
        <v>31</v>
      </c>
      <c r="F3">
        <v>2</v>
      </c>
      <c r="G3">
        <v>8</v>
      </c>
      <c r="H3" t="s">
        <v>209</v>
      </c>
      <c r="I3" s="6" t="s">
        <v>21</v>
      </c>
      <c r="J3" s="7" t="s">
        <v>32</v>
      </c>
      <c r="K3" s="7" t="s">
        <v>33</v>
      </c>
      <c r="L3" s="6" t="s">
        <v>34</v>
      </c>
      <c r="M3" s="6">
        <v>1</v>
      </c>
      <c r="N3" s="6"/>
      <c r="O3" s="6"/>
      <c r="P3" s="6"/>
      <c r="Q3" s="6"/>
      <c r="R3" s="6" t="s">
        <v>25</v>
      </c>
    </row>
    <row r="4" spans="1:21" x14ac:dyDescent="0.3">
      <c r="A4" s="5">
        <v>46120</v>
      </c>
      <c r="B4" t="s">
        <v>19</v>
      </c>
      <c r="C4">
        <v>2</v>
      </c>
      <c r="D4">
        <v>1</v>
      </c>
      <c r="E4" t="s">
        <v>107</v>
      </c>
      <c r="F4">
        <v>2</v>
      </c>
      <c r="G4">
        <v>8</v>
      </c>
      <c r="H4" t="s">
        <v>209</v>
      </c>
      <c r="I4" s="6" t="s">
        <v>21</v>
      </c>
      <c r="J4" s="7" t="s">
        <v>108</v>
      </c>
      <c r="K4" s="7" t="s">
        <v>109</v>
      </c>
      <c r="L4" s="6" t="s">
        <v>110</v>
      </c>
      <c r="M4" s="6">
        <v>1</v>
      </c>
      <c r="N4" s="6"/>
      <c r="O4" s="6"/>
      <c r="P4" s="6"/>
      <c r="Q4" s="6"/>
      <c r="R4" s="6" t="s">
        <v>25</v>
      </c>
    </row>
    <row r="5" spans="1:21" x14ac:dyDescent="0.3">
      <c r="A5" s="5">
        <v>46120</v>
      </c>
      <c r="B5" t="s">
        <v>19</v>
      </c>
      <c r="C5">
        <v>2</v>
      </c>
      <c r="D5">
        <v>1</v>
      </c>
      <c r="E5" t="s">
        <v>42</v>
      </c>
      <c r="F5">
        <v>3</v>
      </c>
      <c r="G5">
        <v>12</v>
      </c>
      <c r="H5" t="s">
        <v>210</v>
      </c>
      <c r="I5" s="6" t="s">
        <v>43</v>
      </c>
      <c r="J5" s="7" t="s">
        <v>44</v>
      </c>
      <c r="K5" s="7" t="s">
        <v>45</v>
      </c>
      <c r="L5" s="6" t="s">
        <v>46</v>
      </c>
      <c r="M5" s="6"/>
      <c r="N5" s="6"/>
      <c r="O5" s="6">
        <v>1</v>
      </c>
      <c r="P5" s="6"/>
      <c r="Q5" s="6"/>
      <c r="R5" s="6" t="s">
        <v>25</v>
      </c>
    </row>
    <row r="6" spans="1:21" x14ac:dyDescent="0.3">
      <c r="A6" s="5">
        <v>46120</v>
      </c>
      <c r="B6" t="s">
        <v>19</v>
      </c>
      <c r="C6">
        <v>2</v>
      </c>
      <c r="D6">
        <v>1</v>
      </c>
      <c r="E6" t="s">
        <v>20</v>
      </c>
      <c r="F6">
        <v>3</v>
      </c>
      <c r="G6">
        <v>12</v>
      </c>
      <c r="H6" t="s">
        <v>208</v>
      </c>
      <c r="I6" s="6" t="s">
        <v>21</v>
      </c>
      <c r="J6" s="7" t="s">
        <v>22</v>
      </c>
      <c r="K6" s="7" t="s">
        <v>23</v>
      </c>
      <c r="L6" s="6" t="s">
        <v>24</v>
      </c>
      <c r="M6" s="6">
        <v>1</v>
      </c>
      <c r="N6" s="6">
        <v>0</v>
      </c>
      <c r="O6" s="6">
        <v>0</v>
      </c>
      <c r="P6" s="6">
        <v>0</v>
      </c>
      <c r="Q6" s="6"/>
      <c r="R6" s="6" t="s">
        <v>25</v>
      </c>
    </row>
    <row r="7" spans="1:21" x14ac:dyDescent="0.3">
      <c r="A7" s="5">
        <v>46120</v>
      </c>
      <c r="B7" t="s">
        <v>19</v>
      </c>
      <c r="C7">
        <v>2</v>
      </c>
      <c r="D7">
        <v>1</v>
      </c>
      <c r="E7" t="s">
        <v>77</v>
      </c>
      <c r="F7">
        <v>2</v>
      </c>
      <c r="G7">
        <v>8</v>
      </c>
      <c r="H7" t="s">
        <v>208</v>
      </c>
      <c r="I7" s="6" t="s">
        <v>21</v>
      </c>
      <c r="J7" s="7" t="s">
        <v>78</v>
      </c>
      <c r="K7" s="7" t="s">
        <v>79</v>
      </c>
      <c r="L7" s="6" t="s">
        <v>71</v>
      </c>
      <c r="M7" s="6">
        <v>1</v>
      </c>
      <c r="N7" s="6"/>
      <c r="O7" s="6"/>
      <c r="P7" s="6"/>
      <c r="Q7" s="6"/>
      <c r="R7" s="6" t="s">
        <v>25</v>
      </c>
    </row>
    <row r="8" spans="1:21" x14ac:dyDescent="0.3">
      <c r="A8" s="5">
        <v>46120</v>
      </c>
      <c r="B8" t="s">
        <v>19</v>
      </c>
      <c r="C8">
        <v>2</v>
      </c>
      <c r="D8">
        <v>1</v>
      </c>
      <c r="E8" t="s">
        <v>35</v>
      </c>
      <c r="F8">
        <v>1</v>
      </c>
      <c r="G8">
        <v>4</v>
      </c>
      <c r="H8" t="s">
        <v>208</v>
      </c>
      <c r="I8" s="6" t="s">
        <v>21</v>
      </c>
      <c r="J8" s="6" t="s">
        <v>36</v>
      </c>
      <c r="K8" s="6" t="s">
        <v>37</v>
      </c>
      <c r="L8" s="6" t="s">
        <v>38</v>
      </c>
      <c r="M8" s="6">
        <v>1</v>
      </c>
      <c r="N8" s="6"/>
      <c r="O8" s="6"/>
      <c r="P8" s="6"/>
      <c r="Q8" s="6"/>
      <c r="R8" s="6" t="s">
        <v>25</v>
      </c>
    </row>
    <row r="9" spans="1:21" x14ac:dyDescent="0.3">
      <c r="A9" s="5">
        <v>46120</v>
      </c>
      <c r="B9" t="s">
        <v>19</v>
      </c>
      <c r="C9">
        <v>2</v>
      </c>
      <c r="D9">
        <v>1</v>
      </c>
      <c r="E9" t="s">
        <v>160</v>
      </c>
      <c r="F9">
        <v>0.25</v>
      </c>
      <c r="G9">
        <v>1</v>
      </c>
      <c r="H9" t="s">
        <v>210</v>
      </c>
      <c r="I9" s="6" t="s">
        <v>53</v>
      </c>
      <c r="J9" s="7" t="s">
        <v>161</v>
      </c>
      <c r="K9" s="7" t="s">
        <v>162</v>
      </c>
      <c r="L9" s="6" t="s">
        <v>163</v>
      </c>
      <c r="M9" s="6"/>
      <c r="N9" s="6"/>
      <c r="O9" s="6"/>
      <c r="P9" s="6">
        <v>1</v>
      </c>
      <c r="Q9" s="6"/>
      <c r="R9" s="6" t="s">
        <v>57</v>
      </c>
    </row>
    <row r="10" spans="1:21" x14ac:dyDescent="0.3">
      <c r="A10" s="5">
        <v>46120</v>
      </c>
      <c r="B10" t="s">
        <v>19</v>
      </c>
      <c r="C10">
        <v>2</v>
      </c>
      <c r="D10">
        <v>1</v>
      </c>
      <c r="E10" t="s">
        <v>52</v>
      </c>
      <c r="F10">
        <v>0.25</v>
      </c>
      <c r="G10">
        <v>1</v>
      </c>
      <c r="H10" t="s">
        <v>210</v>
      </c>
      <c r="I10" s="6" t="s">
        <v>53</v>
      </c>
      <c r="J10" s="7" t="s">
        <v>54</v>
      </c>
      <c r="K10" s="7" t="s">
        <v>55</v>
      </c>
      <c r="L10" s="6" t="s">
        <v>56</v>
      </c>
      <c r="M10" s="6"/>
      <c r="N10" s="6"/>
      <c r="O10" s="6"/>
      <c r="P10" s="6">
        <v>1</v>
      </c>
      <c r="Q10" s="6"/>
      <c r="R10" s="6" t="s">
        <v>57</v>
      </c>
    </row>
    <row r="11" spans="1:21" x14ac:dyDescent="0.3">
      <c r="A11" s="5">
        <v>46120</v>
      </c>
      <c r="B11" t="s">
        <v>19</v>
      </c>
      <c r="C11">
        <v>2</v>
      </c>
      <c r="D11">
        <v>1</v>
      </c>
      <c r="E11" t="s">
        <v>76</v>
      </c>
      <c r="F11">
        <v>5.5</v>
      </c>
      <c r="G11">
        <v>22</v>
      </c>
      <c r="H11" t="s">
        <v>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09CDF-1315-42E7-8F44-0C7AAD273F43}">
  <dimension ref="A1:U16"/>
  <sheetViews>
    <sheetView workbookViewId="0">
      <selection activeCell="F15" sqref="F15"/>
    </sheetView>
  </sheetViews>
  <sheetFormatPr defaultRowHeight="14.4" x14ac:dyDescent="0.3"/>
  <cols>
    <col min="6" max="6" width="15.44140625" customWidth="1"/>
  </cols>
  <sheetData>
    <row r="1" spans="1:21" ht="19.5" customHeight="1" x14ac:dyDescent="0.3">
      <c r="A1" s="1" t="s">
        <v>242</v>
      </c>
      <c r="B1" s="1" t="s">
        <v>243</v>
      </c>
      <c r="C1" s="1" t="s">
        <v>241</v>
      </c>
      <c r="D1" s="2" t="s">
        <v>244</v>
      </c>
      <c r="E1" s="1" t="s">
        <v>245</v>
      </c>
      <c r="F1" s="1" t="s">
        <v>246</v>
      </c>
      <c r="G1" s="3" t="s">
        <v>247</v>
      </c>
      <c r="H1" s="3" t="s">
        <v>240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1" t="s">
        <v>5</v>
      </c>
      <c r="T1" s="1" t="s">
        <v>17</v>
      </c>
      <c r="U1" s="4" t="s">
        <v>18</v>
      </c>
    </row>
    <row r="2" spans="1:21" x14ac:dyDescent="0.3">
      <c r="A2" s="5">
        <v>46120</v>
      </c>
      <c r="B2" t="s">
        <v>19</v>
      </c>
      <c r="C2">
        <v>2</v>
      </c>
      <c r="D2">
        <v>2</v>
      </c>
      <c r="E2" t="s">
        <v>27</v>
      </c>
      <c r="F2">
        <v>11</v>
      </c>
      <c r="G2">
        <v>44</v>
      </c>
      <c r="H2" t="s">
        <v>209</v>
      </c>
      <c r="I2" s="6" t="s">
        <v>21</v>
      </c>
      <c r="J2" s="7" t="s">
        <v>28</v>
      </c>
      <c r="K2" s="7" t="s">
        <v>29</v>
      </c>
      <c r="L2" s="6" t="s">
        <v>30</v>
      </c>
      <c r="M2" s="6">
        <v>1</v>
      </c>
      <c r="N2" s="6"/>
      <c r="O2" s="6"/>
      <c r="P2" s="6"/>
      <c r="Q2" s="6"/>
      <c r="R2" s="6" t="s">
        <v>25</v>
      </c>
      <c r="U2" t="s">
        <v>186</v>
      </c>
    </row>
    <row r="3" spans="1:21" x14ac:dyDescent="0.3">
      <c r="A3" s="5">
        <v>46120</v>
      </c>
      <c r="B3" t="s">
        <v>19</v>
      </c>
      <c r="C3">
        <v>2</v>
      </c>
      <c r="D3">
        <v>2</v>
      </c>
      <c r="E3" t="s">
        <v>39</v>
      </c>
      <c r="F3">
        <v>2</v>
      </c>
      <c r="G3">
        <v>8</v>
      </c>
      <c r="H3" t="s">
        <v>209</v>
      </c>
      <c r="I3" s="6" t="s">
        <v>21</v>
      </c>
      <c r="J3" s="7" t="s">
        <v>39</v>
      </c>
      <c r="K3" s="7" t="s">
        <v>40</v>
      </c>
      <c r="L3" s="6" t="s">
        <v>41</v>
      </c>
      <c r="M3" s="6">
        <v>1</v>
      </c>
      <c r="N3" s="6"/>
      <c r="O3" s="6"/>
      <c r="P3" s="6"/>
      <c r="Q3" s="6"/>
      <c r="R3" s="6" t="s">
        <v>25</v>
      </c>
    </row>
    <row r="4" spans="1:21" x14ac:dyDescent="0.3">
      <c r="A4" s="5">
        <v>46120</v>
      </c>
      <c r="B4" t="s">
        <v>19</v>
      </c>
      <c r="C4">
        <v>2</v>
      </c>
      <c r="D4">
        <v>2</v>
      </c>
      <c r="E4" t="s">
        <v>187</v>
      </c>
      <c r="F4">
        <v>0.5</v>
      </c>
      <c r="G4">
        <v>2</v>
      </c>
      <c r="H4" t="s">
        <v>208</v>
      </c>
      <c r="I4" s="6" t="s">
        <v>21</v>
      </c>
      <c r="J4" s="7" t="s">
        <v>36</v>
      </c>
      <c r="K4" s="7" t="s">
        <v>188</v>
      </c>
      <c r="L4" s="6" t="s">
        <v>189</v>
      </c>
      <c r="M4" s="6">
        <v>1</v>
      </c>
      <c r="N4" s="6"/>
      <c r="O4" s="6"/>
      <c r="P4" s="6"/>
      <c r="Q4" s="6"/>
      <c r="R4" s="6" t="s">
        <v>57</v>
      </c>
    </row>
    <row r="5" spans="1:21" x14ac:dyDescent="0.3">
      <c r="A5" s="5">
        <v>46120</v>
      </c>
      <c r="B5" t="s">
        <v>19</v>
      </c>
      <c r="C5">
        <v>2</v>
      </c>
      <c r="D5">
        <v>2</v>
      </c>
      <c r="E5" t="s">
        <v>20</v>
      </c>
      <c r="F5">
        <v>2</v>
      </c>
      <c r="G5">
        <v>8</v>
      </c>
      <c r="H5" t="s">
        <v>208</v>
      </c>
      <c r="I5" s="6" t="s">
        <v>21</v>
      </c>
      <c r="J5" s="7" t="s">
        <v>22</v>
      </c>
      <c r="K5" s="7" t="s">
        <v>23</v>
      </c>
      <c r="L5" s="6" t="s">
        <v>24</v>
      </c>
      <c r="M5" s="6">
        <v>1</v>
      </c>
      <c r="N5" s="6">
        <v>0</v>
      </c>
      <c r="O5" s="6">
        <v>0</v>
      </c>
      <c r="P5" s="6">
        <v>0</v>
      </c>
      <c r="Q5" s="6"/>
      <c r="R5" s="6" t="s">
        <v>25</v>
      </c>
    </row>
    <row r="6" spans="1:21" x14ac:dyDescent="0.3">
      <c r="A6" s="5">
        <v>46120</v>
      </c>
      <c r="B6" t="s">
        <v>19</v>
      </c>
      <c r="C6">
        <v>2</v>
      </c>
      <c r="D6">
        <v>2</v>
      </c>
      <c r="E6" t="s">
        <v>107</v>
      </c>
      <c r="F6">
        <v>0.5</v>
      </c>
      <c r="G6">
        <v>2</v>
      </c>
      <c r="H6" t="s">
        <v>209</v>
      </c>
      <c r="I6" s="6" t="s">
        <v>21</v>
      </c>
      <c r="J6" s="7" t="s">
        <v>108</v>
      </c>
      <c r="K6" s="7" t="s">
        <v>109</v>
      </c>
      <c r="L6" s="6" t="s">
        <v>110</v>
      </c>
      <c r="M6" s="6">
        <v>1</v>
      </c>
      <c r="N6" s="6"/>
      <c r="O6" s="6"/>
      <c r="P6" s="6"/>
      <c r="Q6" s="6"/>
      <c r="R6" s="6" t="s">
        <v>25</v>
      </c>
    </row>
    <row r="7" spans="1:21" x14ac:dyDescent="0.3">
      <c r="A7" s="5">
        <v>46120</v>
      </c>
      <c r="B7" t="s">
        <v>19</v>
      </c>
      <c r="C7">
        <v>2</v>
      </c>
      <c r="D7">
        <v>2</v>
      </c>
      <c r="E7" t="s">
        <v>35</v>
      </c>
      <c r="F7">
        <v>1</v>
      </c>
      <c r="G7">
        <v>4</v>
      </c>
      <c r="H7" t="s">
        <v>208</v>
      </c>
      <c r="I7" s="6" t="s">
        <v>21</v>
      </c>
      <c r="J7" s="6" t="s">
        <v>36</v>
      </c>
      <c r="K7" s="6" t="s">
        <v>37</v>
      </c>
      <c r="L7" s="6" t="s">
        <v>38</v>
      </c>
      <c r="M7" s="6">
        <v>1</v>
      </c>
      <c r="N7" s="6"/>
      <c r="O7" s="6"/>
      <c r="P7" s="6"/>
      <c r="Q7" s="6"/>
      <c r="R7" s="6" t="s">
        <v>25</v>
      </c>
    </row>
    <row r="8" spans="1:21" x14ac:dyDescent="0.3">
      <c r="A8" s="5">
        <v>46120</v>
      </c>
      <c r="B8" t="s">
        <v>19</v>
      </c>
      <c r="C8">
        <v>2</v>
      </c>
      <c r="D8">
        <v>2</v>
      </c>
      <c r="E8" t="s">
        <v>42</v>
      </c>
      <c r="F8">
        <v>4</v>
      </c>
      <c r="G8">
        <v>16</v>
      </c>
      <c r="H8" t="s">
        <v>210</v>
      </c>
      <c r="I8" s="6" t="s">
        <v>43</v>
      </c>
      <c r="J8" s="7" t="s">
        <v>44</v>
      </c>
      <c r="K8" s="7" t="s">
        <v>45</v>
      </c>
      <c r="L8" s="6" t="s">
        <v>46</v>
      </c>
      <c r="M8" s="6"/>
      <c r="N8" s="6"/>
      <c r="O8" s="6">
        <v>1</v>
      </c>
      <c r="P8" s="6"/>
      <c r="Q8" s="6"/>
      <c r="R8" s="6" t="s">
        <v>25</v>
      </c>
    </row>
    <row r="9" spans="1:21" x14ac:dyDescent="0.3">
      <c r="A9" s="5">
        <v>46120</v>
      </c>
      <c r="B9" t="s">
        <v>19</v>
      </c>
      <c r="C9">
        <v>2</v>
      </c>
      <c r="D9">
        <v>2</v>
      </c>
      <c r="E9" t="s">
        <v>151</v>
      </c>
      <c r="F9">
        <v>1</v>
      </c>
      <c r="G9">
        <v>4</v>
      </c>
      <c r="H9" t="s">
        <v>208</v>
      </c>
      <c r="I9" t="s">
        <v>21</v>
      </c>
      <c r="J9" t="s">
        <v>32</v>
      </c>
      <c r="K9" t="s">
        <v>152</v>
      </c>
      <c r="L9" t="s">
        <v>38</v>
      </c>
      <c r="M9">
        <v>1</v>
      </c>
      <c r="R9" t="s">
        <v>25</v>
      </c>
    </row>
    <row r="10" spans="1:21" x14ac:dyDescent="0.3">
      <c r="A10" s="5">
        <v>46120</v>
      </c>
      <c r="B10" t="s">
        <v>19</v>
      </c>
      <c r="C10">
        <v>2</v>
      </c>
      <c r="D10">
        <v>2</v>
      </c>
      <c r="E10" t="s">
        <v>160</v>
      </c>
      <c r="F10">
        <v>1</v>
      </c>
      <c r="G10">
        <v>4</v>
      </c>
      <c r="H10" t="s">
        <v>210</v>
      </c>
      <c r="I10" s="6" t="s">
        <v>53</v>
      </c>
      <c r="J10" s="7" t="s">
        <v>161</v>
      </c>
      <c r="K10" s="7" t="s">
        <v>162</v>
      </c>
      <c r="L10" s="6" t="s">
        <v>163</v>
      </c>
      <c r="M10" s="6"/>
      <c r="N10" s="6"/>
      <c r="O10" s="6"/>
      <c r="P10" s="6">
        <v>1</v>
      </c>
      <c r="Q10" s="6"/>
      <c r="R10" s="6" t="s">
        <v>57</v>
      </c>
    </row>
    <row r="11" spans="1:21" x14ac:dyDescent="0.3">
      <c r="A11" s="5">
        <v>46120</v>
      </c>
      <c r="B11" t="s">
        <v>19</v>
      </c>
      <c r="C11">
        <v>2</v>
      </c>
      <c r="D11">
        <v>2</v>
      </c>
      <c r="E11" t="s">
        <v>94</v>
      </c>
      <c r="F11">
        <v>0.1</v>
      </c>
      <c r="G11">
        <v>0.4</v>
      </c>
      <c r="H11" t="s">
        <v>12</v>
      </c>
      <c r="I11" s="6" t="s">
        <v>95</v>
      </c>
      <c r="J11" s="7" t="s">
        <v>96</v>
      </c>
      <c r="K11" s="7" t="s">
        <v>97</v>
      </c>
      <c r="L11" s="6" t="s">
        <v>98</v>
      </c>
      <c r="M11" s="6"/>
      <c r="N11" s="6">
        <v>1</v>
      </c>
      <c r="O11" s="6"/>
      <c r="P11" s="6"/>
      <c r="Q11" s="6"/>
      <c r="R11" s="6" t="s">
        <v>25</v>
      </c>
    </row>
    <row r="12" spans="1:21" x14ac:dyDescent="0.3">
      <c r="A12" s="5">
        <v>46120</v>
      </c>
      <c r="B12" t="s">
        <v>19</v>
      </c>
      <c r="C12">
        <v>2</v>
      </c>
      <c r="D12">
        <v>2</v>
      </c>
      <c r="E12" t="s">
        <v>52</v>
      </c>
      <c r="F12">
        <v>0.25</v>
      </c>
      <c r="G12">
        <v>1</v>
      </c>
      <c r="H12" t="s">
        <v>210</v>
      </c>
      <c r="I12" s="6" t="s">
        <v>53</v>
      </c>
      <c r="J12" s="7" t="s">
        <v>54</v>
      </c>
      <c r="K12" s="7" t="s">
        <v>55</v>
      </c>
      <c r="L12" s="6" t="s">
        <v>56</v>
      </c>
      <c r="M12" s="6"/>
      <c r="N12" s="6"/>
      <c r="O12" s="6"/>
      <c r="P12" s="6">
        <v>1</v>
      </c>
      <c r="Q12" s="6"/>
      <c r="R12" s="6" t="s">
        <v>57</v>
      </c>
    </row>
    <row r="13" spans="1:21" x14ac:dyDescent="0.3">
      <c r="A13" s="5">
        <v>46120</v>
      </c>
      <c r="B13" t="s">
        <v>19</v>
      </c>
      <c r="C13">
        <v>2</v>
      </c>
      <c r="D13">
        <v>2</v>
      </c>
      <c r="E13" t="s">
        <v>90</v>
      </c>
      <c r="F13">
        <v>0.25</v>
      </c>
      <c r="G13">
        <v>1</v>
      </c>
      <c r="H13" t="s">
        <v>210</v>
      </c>
      <c r="I13" s="6" t="s">
        <v>43</v>
      </c>
      <c r="J13" s="7" t="s">
        <v>91</v>
      </c>
      <c r="K13" s="7" t="s">
        <v>92</v>
      </c>
      <c r="L13" s="6" t="s">
        <v>93</v>
      </c>
      <c r="M13" s="6"/>
      <c r="N13" s="6"/>
      <c r="O13" s="6">
        <v>1</v>
      </c>
      <c r="P13" s="6"/>
      <c r="Q13" s="6"/>
      <c r="R13" s="6" t="s">
        <v>57</v>
      </c>
    </row>
    <row r="14" spans="1:21" x14ac:dyDescent="0.3">
      <c r="A14" s="5">
        <v>46120</v>
      </c>
      <c r="B14" t="s">
        <v>19</v>
      </c>
      <c r="C14">
        <v>2</v>
      </c>
      <c r="D14">
        <v>2</v>
      </c>
      <c r="E14" t="s">
        <v>77</v>
      </c>
      <c r="F14">
        <v>1</v>
      </c>
      <c r="G14">
        <v>4</v>
      </c>
      <c r="H14" t="s">
        <v>208</v>
      </c>
      <c r="I14" s="6" t="s">
        <v>21</v>
      </c>
      <c r="J14" s="7" t="s">
        <v>78</v>
      </c>
      <c r="K14" s="7" t="s">
        <v>79</v>
      </c>
      <c r="L14" s="6" t="s">
        <v>71</v>
      </c>
      <c r="M14" s="6">
        <v>1</v>
      </c>
      <c r="N14" s="6"/>
      <c r="O14" s="6"/>
      <c r="P14" s="6"/>
      <c r="Q14" s="6"/>
      <c r="R14" s="6" t="s">
        <v>25</v>
      </c>
    </row>
    <row r="15" spans="1:21" x14ac:dyDescent="0.3">
      <c r="A15" s="5">
        <v>46120</v>
      </c>
      <c r="B15" t="s">
        <v>19</v>
      </c>
      <c r="C15">
        <v>2</v>
      </c>
      <c r="D15">
        <v>2</v>
      </c>
      <c r="E15" t="s">
        <v>167</v>
      </c>
      <c r="F15">
        <v>0.4</v>
      </c>
      <c r="G15">
        <v>1.6</v>
      </c>
      <c r="H15" t="s">
        <v>209</v>
      </c>
      <c r="I15" s="6" t="s">
        <v>21</v>
      </c>
      <c r="J15" s="7" t="s">
        <v>167</v>
      </c>
      <c r="K15" s="7" t="s">
        <v>168</v>
      </c>
      <c r="L15" s="6" t="s">
        <v>169</v>
      </c>
      <c r="M15" s="6">
        <v>1</v>
      </c>
      <c r="N15" s="6"/>
      <c r="O15" s="6"/>
      <c r="P15" s="6"/>
      <c r="Q15" s="6"/>
      <c r="R15" s="6" t="s">
        <v>25</v>
      </c>
    </row>
    <row r="16" spans="1:21" x14ac:dyDescent="0.3">
      <c r="A16" s="5">
        <v>46120</v>
      </c>
      <c r="B16" t="s">
        <v>19</v>
      </c>
      <c r="C16">
        <v>2</v>
      </c>
      <c r="D16">
        <v>2</v>
      </c>
      <c r="E16" t="s">
        <v>76</v>
      </c>
      <c r="F16">
        <v>0</v>
      </c>
      <c r="G16">
        <v>0</v>
      </c>
      <c r="H16" t="s">
        <v>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B0DD-710A-48C1-A942-DFDF5C694276}">
  <dimension ref="A1:U14"/>
  <sheetViews>
    <sheetView workbookViewId="0">
      <selection activeCell="E17" sqref="E17"/>
    </sheetView>
  </sheetViews>
  <sheetFormatPr defaultRowHeight="14.4" x14ac:dyDescent="0.3"/>
  <sheetData>
    <row r="1" spans="1:21" ht="28.8" x14ac:dyDescent="0.3">
      <c r="A1" s="1" t="s">
        <v>242</v>
      </c>
      <c r="B1" s="1" t="s">
        <v>243</v>
      </c>
      <c r="C1" s="1" t="s">
        <v>241</v>
      </c>
      <c r="D1" s="2" t="s">
        <v>244</v>
      </c>
      <c r="E1" s="1" t="s">
        <v>245</v>
      </c>
      <c r="F1" s="1" t="s">
        <v>246</v>
      </c>
      <c r="G1" s="3" t="s">
        <v>247</v>
      </c>
      <c r="H1" s="3" t="s">
        <v>240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1" t="s">
        <v>5</v>
      </c>
      <c r="T1" s="1" t="s">
        <v>17</v>
      </c>
      <c r="U1" s="4" t="s">
        <v>18</v>
      </c>
    </row>
    <row r="2" spans="1:21" x14ac:dyDescent="0.3">
      <c r="A2" s="5">
        <v>46120</v>
      </c>
      <c r="B2" t="s">
        <v>19</v>
      </c>
      <c r="C2">
        <v>2</v>
      </c>
      <c r="D2">
        <v>3</v>
      </c>
      <c r="E2" t="s">
        <v>27</v>
      </c>
      <c r="F2">
        <v>9.25</v>
      </c>
      <c r="G2">
        <v>37</v>
      </c>
      <c r="H2" t="s">
        <v>209</v>
      </c>
      <c r="I2" s="6" t="s">
        <v>21</v>
      </c>
      <c r="J2" s="7" t="s">
        <v>28</v>
      </c>
      <c r="K2" s="7" t="s">
        <v>29</v>
      </c>
      <c r="L2" s="6" t="s">
        <v>30</v>
      </c>
      <c r="M2" s="6">
        <v>1</v>
      </c>
      <c r="N2" s="6"/>
      <c r="O2" s="6"/>
      <c r="P2" s="6"/>
      <c r="Q2" s="6"/>
      <c r="R2" s="6" t="s">
        <v>25</v>
      </c>
    </row>
    <row r="3" spans="1:21" x14ac:dyDescent="0.3">
      <c r="A3" s="5">
        <v>46120</v>
      </c>
      <c r="B3" t="s">
        <v>19</v>
      </c>
      <c r="C3">
        <v>2</v>
      </c>
      <c r="D3">
        <v>3</v>
      </c>
      <c r="E3" t="s">
        <v>39</v>
      </c>
      <c r="F3">
        <v>2</v>
      </c>
      <c r="G3">
        <v>8</v>
      </c>
      <c r="H3" t="s">
        <v>209</v>
      </c>
      <c r="I3" s="6" t="s">
        <v>21</v>
      </c>
      <c r="J3" s="7" t="s">
        <v>39</v>
      </c>
      <c r="K3" s="7" t="s">
        <v>40</v>
      </c>
      <c r="L3" s="6" t="s">
        <v>41</v>
      </c>
      <c r="M3" s="6">
        <v>1</v>
      </c>
      <c r="N3" s="6"/>
      <c r="O3" s="6"/>
      <c r="P3" s="6"/>
      <c r="Q3" s="6"/>
      <c r="R3" s="6" t="s">
        <v>25</v>
      </c>
    </row>
    <row r="4" spans="1:21" x14ac:dyDescent="0.3">
      <c r="A4" s="5">
        <v>46120</v>
      </c>
      <c r="B4" t="s">
        <v>19</v>
      </c>
      <c r="C4">
        <v>2</v>
      </c>
      <c r="D4">
        <v>3</v>
      </c>
      <c r="E4" t="s">
        <v>77</v>
      </c>
      <c r="F4">
        <v>1</v>
      </c>
      <c r="G4">
        <v>4</v>
      </c>
      <c r="H4" t="s">
        <v>208</v>
      </c>
      <c r="I4" s="6" t="s">
        <v>21</v>
      </c>
      <c r="J4" s="7" t="s">
        <v>78</v>
      </c>
      <c r="K4" s="7" t="s">
        <v>79</v>
      </c>
      <c r="L4" s="6" t="s">
        <v>71</v>
      </c>
      <c r="M4" s="6">
        <v>1</v>
      </c>
      <c r="N4" s="6"/>
      <c r="O4" s="6"/>
      <c r="P4" s="6"/>
      <c r="Q4" s="6"/>
      <c r="R4" s="6" t="s">
        <v>25</v>
      </c>
    </row>
    <row r="5" spans="1:21" x14ac:dyDescent="0.3">
      <c r="A5" s="5">
        <v>46120</v>
      </c>
      <c r="B5" t="s">
        <v>19</v>
      </c>
      <c r="C5">
        <v>2</v>
      </c>
      <c r="D5">
        <v>3</v>
      </c>
      <c r="E5" t="s">
        <v>42</v>
      </c>
      <c r="F5">
        <v>5</v>
      </c>
      <c r="G5">
        <v>20</v>
      </c>
      <c r="H5" t="s">
        <v>210</v>
      </c>
      <c r="I5" s="6" t="s">
        <v>43</v>
      </c>
      <c r="J5" s="7" t="s">
        <v>44</v>
      </c>
      <c r="K5" s="7" t="s">
        <v>45</v>
      </c>
      <c r="L5" s="6" t="s">
        <v>46</v>
      </c>
      <c r="M5" s="6"/>
      <c r="N5" s="6"/>
      <c r="O5" s="6">
        <v>1</v>
      </c>
      <c r="P5" s="6"/>
      <c r="Q5" s="6"/>
      <c r="R5" s="6" t="s">
        <v>25</v>
      </c>
    </row>
    <row r="6" spans="1:21" x14ac:dyDescent="0.3">
      <c r="A6" s="5">
        <v>46120</v>
      </c>
      <c r="B6" t="s">
        <v>19</v>
      </c>
      <c r="C6">
        <v>2</v>
      </c>
      <c r="D6">
        <v>3</v>
      </c>
      <c r="E6" t="s">
        <v>134</v>
      </c>
      <c r="F6">
        <v>0.25</v>
      </c>
      <c r="G6">
        <v>1</v>
      </c>
      <c r="H6" t="s">
        <v>210</v>
      </c>
      <c r="I6" s="6" t="s">
        <v>135</v>
      </c>
      <c r="J6" s="7" t="s">
        <v>134</v>
      </c>
      <c r="K6" s="7" t="s">
        <v>136</v>
      </c>
      <c r="L6" s="6" t="s">
        <v>137</v>
      </c>
      <c r="M6" s="6"/>
      <c r="N6" s="6"/>
      <c r="O6" s="6"/>
      <c r="P6" s="6">
        <v>1</v>
      </c>
      <c r="Q6" s="6"/>
      <c r="R6" s="6" t="s">
        <v>25</v>
      </c>
    </row>
    <row r="7" spans="1:21" x14ac:dyDescent="0.3">
      <c r="A7" s="5">
        <v>46120</v>
      </c>
      <c r="B7" t="s">
        <v>19</v>
      </c>
      <c r="C7">
        <v>2</v>
      </c>
      <c r="D7">
        <v>3</v>
      </c>
      <c r="E7" t="s">
        <v>35</v>
      </c>
      <c r="F7">
        <v>1</v>
      </c>
      <c r="G7">
        <v>4</v>
      </c>
      <c r="H7" t="s">
        <v>208</v>
      </c>
      <c r="I7" s="6" t="s">
        <v>21</v>
      </c>
      <c r="J7" s="6" t="s">
        <v>36</v>
      </c>
      <c r="K7" s="6" t="s">
        <v>37</v>
      </c>
      <c r="L7" s="6" t="s">
        <v>38</v>
      </c>
      <c r="M7" s="6">
        <v>1</v>
      </c>
      <c r="N7" s="6"/>
      <c r="O7" s="6"/>
      <c r="P7" s="6"/>
      <c r="Q7" s="6"/>
      <c r="R7" s="6" t="s">
        <v>25</v>
      </c>
    </row>
    <row r="8" spans="1:21" x14ac:dyDescent="0.3">
      <c r="A8" s="5">
        <v>46120</v>
      </c>
      <c r="B8" t="s">
        <v>19</v>
      </c>
      <c r="C8">
        <v>2</v>
      </c>
      <c r="D8">
        <v>3</v>
      </c>
      <c r="E8" t="s">
        <v>31</v>
      </c>
      <c r="F8">
        <v>1</v>
      </c>
      <c r="G8">
        <v>4</v>
      </c>
      <c r="H8" t="s">
        <v>209</v>
      </c>
      <c r="I8" s="6" t="s">
        <v>21</v>
      </c>
      <c r="J8" s="7" t="s">
        <v>32</v>
      </c>
      <c r="K8" s="7" t="s">
        <v>33</v>
      </c>
      <c r="L8" s="6" t="s">
        <v>34</v>
      </c>
      <c r="M8" s="6">
        <v>1</v>
      </c>
      <c r="N8" s="6"/>
      <c r="O8" s="6"/>
      <c r="P8" s="6"/>
      <c r="Q8" s="6"/>
      <c r="R8" s="6" t="s">
        <v>25</v>
      </c>
    </row>
    <row r="9" spans="1:21" x14ac:dyDescent="0.3">
      <c r="A9" s="5">
        <v>46120</v>
      </c>
      <c r="B9" t="s">
        <v>19</v>
      </c>
      <c r="C9">
        <v>2</v>
      </c>
      <c r="D9">
        <v>3</v>
      </c>
      <c r="E9" t="s">
        <v>111</v>
      </c>
      <c r="F9">
        <v>1</v>
      </c>
      <c r="G9">
        <v>4</v>
      </c>
      <c r="H9" t="s">
        <v>209</v>
      </c>
      <c r="I9" s="6" t="s">
        <v>21</v>
      </c>
      <c r="J9" s="7" t="s">
        <v>112</v>
      </c>
      <c r="K9" s="7" t="s">
        <v>113</v>
      </c>
      <c r="L9" s="6"/>
      <c r="M9" s="6">
        <v>1</v>
      </c>
      <c r="N9" s="6"/>
      <c r="O9" s="6"/>
      <c r="P9" s="6"/>
      <c r="Q9" s="6"/>
      <c r="R9" s="6" t="s">
        <v>25</v>
      </c>
    </row>
    <row r="10" spans="1:21" x14ac:dyDescent="0.3">
      <c r="A10" s="5">
        <v>46120</v>
      </c>
      <c r="B10" t="s">
        <v>19</v>
      </c>
      <c r="C10">
        <v>2</v>
      </c>
      <c r="D10">
        <v>3</v>
      </c>
      <c r="E10" t="s">
        <v>63</v>
      </c>
      <c r="F10">
        <v>0.5</v>
      </c>
      <c r="G10">
        <v>2</v>
      </c>
      <c r="H10" t="s">
        <v>210</v>
      </c>
      <c r="I10" s="6" t="s">
        <v>64</v>
      </c>
      <c r="J10" s="7" t="s">
        <v>65</v>
      </c>
      <c r="K10" s="7" t="s">
        <v>66</v>
      </c>
      <c r="L10" s="6" t="s">
        <v>67</v>
      </c>
      <c r="M10" s="6"/>
      <c r="N10" s="6"/>
      <c r="O10" s="6"/>
      <c r="P10" s="6">
        <v>1</v>
      </c>
      <c r="Q10" s="6"/>
      <c r="R10" s="6" t="s">
        <v>25</v>
      </c>
    </row>
    <row r="11" spans="1:21" x14ac:dyDescent="0.3">
      <c r="A11" s="5">
        <v>46120</v>
      </c>
      <c r="B11" t="s">
        <v>19</v>
      </c>
      <c r="C11">
        <v>2</v>
      </c>
      <c r="D11">
        <v>3</v>
      </c>
      <c r="E11" t="s">
        <v>151</v>
      </c>
      <c r="F11">
        <v>0.5</v>
      </c>
      <c r="G11">
        <v>2</v>
      </c>
      <c r="H11" t="s">
        <v>208</v>
      </c>
      <c r="I11" t="s">
        <v>21</v>
      </c>
      <c r="J11" t="s">
        <v>32</v>
      </c>
      <c r="K11" t="s">
        <v>152</v>
      </c>
      <c r="L11" t="s">
        <v>38</v>
      </c>
      <c r="M11">
        <v>1</v>
      </c>
      <c r="R11" t="s">
        <v>25</v>
      </c>
    </row>
    <row r="12" spans="1:21" x14ac:dyDescent="0.3">
      <c r="A12" s="5">
        <v>46120</v>
      </c>
      <c r="B12" t="s">
        <v>19</v>
      </c>
      <c r="C12">
        <v>2</v>
      </c>
      <c r="D12">
        <v>3</v>
      </c>
      <c r="E12" t="s">
        <v>68</v>
      </c>
      <c r="F12">
        <v>0.25</v>
      </c>
      <c r="G12">
        <v>1</v>
      </c>
      <c r="H12" t="s">
        <v>210</v>
      </c>
      <c r="I12" s="6" t="s">
        <v>69</v>
      </c>
      <c r="J12" s="7" t="s">
        <v>68</v>
      </c>
      <c r="K12" s="7" t="s">
        <v>70</v>
      </c>
      <c r="L12" s="6" t="s">
        <v>71</v>
      </c>
      <c r="M12" s="6"/>
      <c r="N12" s="6"/>
      <c r="O12" s="6"/>
      <c r="P12" s="6"/>
      <c r="Q12" s="6">
        <v>1</v>
      </c>
      <c r="R12" s="6" t="s">
        <v>25</v>
      </c>
    </row>
    <row r="13" spans="1:21" x14ac:dyDescent="0.3">
      <c r="A13" s="5">
        <v>46120</v>
      </c>
      <c r="B13" t="s">
        <v>19</v>
      </c>
      <c r="C13">
        <v>2</v>
      </c>
      <c r="D13">
        <v>3</v>
      </c>
      <c r="E13" t="s">
        <v>52</v>
      </c>
      <c r="F13">
        <v>0.25</v>
      </c>
      <c r="G13">
        <v>1</v>
      </c>
      <c r="H13" t="s">
        <v>210</v>
      </c>
      <c r="I13" s="6" t="s">
        <v>53</v>
      </c>
      <c r="J13" s="7" t="s">
        <v>54</v>
      </c>
      <c r="K13" s="7" t="s">
        <v>55</v>
      </c>
      <c r="L13" s="6" t="s">
        <v>56</v>
      </c>
      <c r="M13" s="6"/>
      <c r="N13" s="6"/>
      <c r="O13" s="6"/>
      <c r="P13" s="6">
        <v>1</v>
      </c>
      <c r="Q13" s="6"/>
      <c r="R13" s="6" t="s">
        <v>57</v>
      </c>
    </row>
    <row r="14" spans="1:21" x14ac:dyDescent="0.3">
      <c r="A14" s="5">
        <v>46120</v>
      </c>
      <c r="B14" t="s">
        <v>19</v>
      </c>
      <c r="C14">
        <v>2</v>
      </c>
      <c r="D14">
        <v>3</v>
      </c>
      <c r="E14" t="s">
        <v>76</v>
      </c>
      <c r="F14">
        <v>3</v>
      </c>
      <c r="G14">
        <v>12</v>
      </c>
      <c r="H14" t="s">
        <v>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E2CD3-96F9-4211-996F-6BE63534A94E}">
  <dimension ref="A1:U12"/>
  <sheetViews>
    <sheetView workbookViewId="0">
      <selection activeCell="F16" sqref="F16"/>
    </sheetView>
  </sheetViews>
  <sheetFormatPr defaultRowHeight="14.4" x14ac:dyDescent="0.3"/>
  <sheetData>
    <row r="1" spans="1:21" ht="28.8" x14ac:dyDescent="0.3">
      <c r="A1" s="1" t="s">
        <v>242</v>
      </c>
      <c r="B1" s="1" t="s">
        <v>243</v>
      </c>
      <c r="C1" s="1" t="s">
        <v>241</v>
      </c>
      <c r="D1" s="2" t="s">
        <v>244</v>
      </c>
      <c r="E1" s="1" t="s">
        <v>245</v>
      </c>
      <c r="F1" s="1" t="s">
        <v>246</v>
      </c>
      <c r="G1" s="3" t="s">
        <v>247</v>
      </c>
      <c r="H1" s="3" t="s">
        <v>240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1" t="s">
        <v>5</v>
      </c>
      <c r="T1" s="1" t="s">
        <v>17</v>
      </c>
      <c r="U1" s="4" t="s">
        <v>18</v>
      </c>
    </row>
    <row r="2" spans="1:21" x14ac:dyDescent="0.3">
      <c r="A2" s="5">
        <v>46120</v>
      </c>
      <c r="B2" t="s">
        <v>19</v>
      </c>
      <c r="C2">
        <v>2</v>
      </c>
      <c r="D2">
        <v>4</v>
      </c>
      <c r="E2" t="s">
        <v>39</v>
      </c>
      <c r="F2">
        <v>8</v>
      </c>
      <c r="G2">
        <v>32</v>
      </c>
      <c r="H2" t="s">
        <v>209</v>
      </c>
      <c r="I2" s="6" t="s">
        <v>21</v>
      </c>
      <c r="J2" s="7" t="s">
        <v>39</v>
      </c>
      <c r="K2" s="7" t="s">
        <v>40</v>
      </c>
      <c r="L2" s="6" t="s">
        <v>41</v>
      </c>
      <c r="M2" s="6">
        <v>1</v>
      </c>
      <c r="N2" s="6"/>
      <c r="O2" s="6"/>
      <c r="P2" s="6"/>
      <c r="Q2" s="6"/>
      <c r="R2" s="6" t="s">
        <v>25</v>
      </c>
      <c r="U2" t="s">
        <v>182</v>
      </c>
    </row>
    <row r="3" spans="1:21" x14ac:dyDescent="0.3">
      <c r="A3" s="5">
        <v>46120</v>
      </c>
      <c r="B3" t="s">
        <v>19</v>
      </c>
      <c r="C3">
        <v>2</v>
      </c>
      <c r="D3">
        <v>4</v>
      </c>
      <c r="E3" t="s">
        <v>31</v>
      </c>
      <c r="F3">
        <v>5</v>
      </c>
      <c r="G3">
        <v>20</v>
      </c>
      <c r="H3" t="s">
        <v>209</v>
      </c>
      <c r="I3" s="6" t="s">
        <v>21</v>
      </c>
      <c r="J3" s="7" t="s">
        <v>32</v>
      </c>
      <c r="K3" s="7" t="s">
        <v>33</v>
      </c>
      <c r="L3" s="6" t="s">
        <v>34</v>
      </c>
      <c r="M3" s="6">
        <v>1</v>
      </c>
      <c r="N3" s="6"/>
      <c r="O3" s="6"/>
      <c r="P3" s="6"/>
      <c r="Q3" s="6"/>
      <c r="R3" s="6" t="s">
        <v>25</v>
      </c>
    </row>
    <row r="4" spans="1:21" x14ac:dyDescent="0.3">
      <c r="A4" s="5">
        <v>46120</v>
      </c>
      <c r="B4" t="s">
        <v>19</v>
      </c>
      <c r="C4">
        <v>2</v>
      </c>
      <c r="D4">
        <v>4</v>
      </c>
      <c r="E4" t="s">
        <v>58</v>
      </c>
      <c r="F4">
        <v>1</v>
      </c>
      <c r="G4">
        <v>4</v>
      </c>
      <c r="H4" t="s">
        <v>210</v>
      </c>
      <c r="I4" s="6" t="s">
        <v>59</v>
      </c>
      <c r="J4" s="7" t="s">
        <v>60</v>
      </c>
      <c r="K4" s="7" t="s">
        <v>61</v>
      </c>
      <c r="L4" s="6" t="s">
        <v>62</v>
      </c>
      <c r="M4" s="6"/>
      <c r="N4" s="6"/>
      <c r="O4" s="6"/>
      <c r="P4" s="6">
        <v>1</v>
      </c>
      <c r="Q4" s="6"/>
      <c r="R4" s="6" t="s">
        <v>25</v>
      </c>
    </row>
    <row r="5" spans="1:21" x14ac:dyDescent="0.3">
      <c r="A5" s="5">
        <v>46120</v>
      </c>
      <c r="B5" t="s">
        <v>19</v>
      </c>
      <c r="C5">
        <v>2</v>
      </c>
      <c r="D5">
        <v>4</v>
      </c>
      <c r="E5" t="s">
        <v>35</v>
      </c>
      <c r="F5">
        <v>0.5</v>
      </c>
      <c r="G5">
        <v>2</v>
      </c>
      <c r="H5" t="s">
        <v>208</v>
      </c>
      <c r="I5" s="6" t="s">
        <v>21</v>
      </c>
      <c r="J5" s="6" t="s">
        <v>36</v>
      </c>
      <c r="K5" s="6" t="s">
        <v>37</v>
      </c>
      <c r="L5" s="6" t="s">
        <v>38</v>
      </c>
      <c r="M5" s="6">
        <v>1</v>
      </c>
      <c r="N5" s="6"/>
      <c r="O5" s="6"/>
      <c r="P5" s="6"/>
      <c r="Q5" s="6"/>
      <c r="R5" s="6" t="s">
        <v>25</v>
      </c>
    </row>
    <row r="6" spans="1:21" x14ac:dyDescent="0.3">
      <c r="A6" s="5">
        <v>46120</v>
      </c>
      <c r="B6" t="s">
        <v>19</v>
      </c>
      <c r="C6">
        <v>2</v>
      </c>
      <c r="D6">
        <v>4</v>
      </c>
      <c r="E6" t="s">
        <v>27</v>
      </c>
      <c r="F6">
        <v>4</v>
      </c>
      <c r="G6">
        <v>16</v>
      </c>
      <c r="H6" t="s">
        <v>209</v>
      </c>
      <c r="I6" s="6" t="s">
        <v>21</v>
      </c>
      <c r="J6" s="7" t="s">
        <v>28</v>
      </c>
      <c r="K6" s="7" t="s">
        <v>29</v>
      </c>
      <c r="L6" s="6" t="s">
        <v>30</v>
      </c>
      <c r="M6" s="6">
        <v>1</v>
      </c>
      <c r="N6" s="6"/>
      <c r="O6" s="6"/>
      <c r="P6" s="6"/>
      <c r="Q6" s="6"/>
      <c r="R6" s="6" t="s">
        <v>25</v>
      </c>
    </row>
    <row r="7" spans="1:21" x14ac:dyDescent="0.3">
      <c r="A7" s="5">
        <v>46120</v>
      </c>
      <c r="B7" t="s">
        <v>19</v>
      </c>
      <c r="C7">
        <v>2</v>
      </c>
      <c r="D7">
        <v>4</v>
      </c>
      <c r="E7" t="s">
        <v>183</v>
      </c>
      <c r="F7">
        <v>0.5</v>
      </c>
      <c r="G7">
        <v>2</v>
      </c>
      <c r="H7" t="s">
        <v>211</v>
      </c>
      <c r="I7" s="6" t="s">
        <v>21</v>
      </c>
      <c r="J7" s="7" t="s">
        <v>183</v>
      </c>
      <c r="K7" s="7" t="s">
        <v>184</v>
      </c>
      <c r="L7" s="6" t="s">
        <v>185</v>
      </c>
      <c r="M7" s="6">
        <v>1</v>
      </c>
      <c r="N7" s="6"/>
      <c r="O7" s="6"/>
      <c r="P7" s="6"/>
      <c r="Q7" s="6"/>
      <c r="R7" s="6" t="s">
        <v>25</v>
      </c>
    </row>
    <row r="8" spans="1:21" x14ac:dyDescent="0.3">
      <c r="A8" s="5">
        <v>46120</v>
      </c>
      <c r="B8" t="s">
        <v>19</v>
      </c>
      <c r="C8">
        <v>2</v>
      </c>
      <c r="D8">
        <v>4</v>
      </c>
      <c r="E8" t="s">
        <v>42</v>
      </c>
      <c r="F8">
        <v>2</v>
      </c>
      <c r="G8">
        <v>8</v>
      </c>
      <c r="H8" t="s">
        <v>210</v>
      </c>
      <c r="I8" s="6" t="s">
        <v>43</v>
      </c>
      <c r="J8" s="7" t="s">
        <v>44</v>
      </c>
      <c r="K8" s="7" t="s">
        <v>45</v>
      </c>
      <c r="L8" s="6" t="s">
        <v>46</v>
      </c>
      <c r="M8" s="6"/>
      <c r="N8" s="6"/>
      <c r="O8" s="6">
        <v>1</v>
      </c>
      <c r="P8" s="6"/>
      <c r="Q8" s="6"/>
      <c r="R8" s="6" t="s">
        <v>25</v>
      </c>
    </row>
    <row r="9" spans="1:21" x14ac:dyDescent="0.3">
      <c r="A9" s="5">
        <v>46120</v>
      </c>
      <c r="B9" t="s">
        <v>19</v>
      </c>
      <c r="C9">
        <v>2</v>
      </c>
      <c r="D9">
        <v>4</v>
      </c>
      <c r="E9" t="s">
        <v>111</v>
      </c>
      <c r="F9">
        <v>0.25</v>
      </c>
      <c r="G9">
        <v>1</v>
      </c>
      <c r="H9" t="s">
        <v>209</v>
      </c>
      <c r="I9" s="6" t="s">
        <v>21</v>
      </c>
      <c r="J9" s="7" t="s">
        <v>112</v>
      </c>
      <c r="K9" s="7" t="s">
        <v>113</v>
      </c>
      <c r="L9" s="6"/>
      <c r="M9" s="6">
        <v>1</v>
      </c>
      <c r="N9" s="6"/>
      <c r="O9" s="6"/>
      <c r="P9" s="6"/>
      <c r="Q9" s="6"/>
      <c r="R9" s="6" t="s">
        <v>25</v>
      </c>
    </row>
    <row r="10" spans="1:21" x14ac:dyDescent="0.3">
      <c r="A10" s="5">
        <v>46120</v>
      </c>
      <c r="B10" t="s">
        <v>19</v>
      </c>
      <c r="C10">
        <v>2</v>
      </c>
      <c r="D10">
        <v>4</v>
      </c>
      <c r="E10" t="s">
        <v>99</v>
      </c>
      <c r="F10">
        <v>0.25</v>
      </c>
      <c r="G10">
        <v>1</v>
      </c>
      <c r="H10" t="s">
        <v>12</v>
      </c>
      <c r="I10" s="6" t="s">
        <v>95</v>
      </c>
      <c r="J10" s="7" t="s">
        <v>96</v>
      </c>
      <c r="K10" s="7" t="s">
        <v>100</v>
      </c>
      <c r="L10" s="6" t="s">
        <v>101</v>
      </c>
      <c r="M10" s="6"/>
      <c r="N10" s="6">
        <v>1</v>
      </c>
      <c r="O10" s="6"/>
      <c r="P10" s="6"/>
      <c r="Q10" s="6"/>
      <c r="R10" s="6" t="s">
        <v>25</v>
      </c>
    </row>
    <row r="11" spans="1:21" x14ac:dyDescent="0.3">
      <c r="A11" s="5">
        <v>46120</v>
      </c>
      <c r="B11" t="s">
        <v>19</v>
      </c>
      <c r="C11">
        <v>2</v>
      </c>
      <c r="D11">
        <v>4</v>
      </c>
      <c r="E11" t="s">
        <v>52</v>
      </c>
      <c r="F11">
        <v>0.1</v>
      </c>
      <c r="G11">
        <v>0.4</v>
      </c>
      <c r="H11" t="s">
        <v>210</v>
      </c>
      <c r="I11" s="6" t="s">
        <v>53</v>
      </c>
      <c r="J11" s="7" t="s">
        <v>54</v>
      </c>
      <c r="K11" s="7" t="s">
        <v>55</v>
      </c>
      <c r="L11" s="6" t="s">
        <v>56</v>
      </c>
      <c r="M11" s="6"/>
      <c r="N11" s="6"/>
      <c r="O11" s="6"/>
      <c r="P11" s="6">
        <v>1</v>
      </c>
      <c r="Q11" s="6"/>
      <c r="R11" s="6" t="s">
        <v>57</v>
      </c>
    </row>
    <row r="12" spans="1:21" x14ac:dyDescent="0.3">
      <c r="A12" s="5">
        <v>46120</v>
      </c>
      <c r="B12" t="s">
        <v>19</v>
      </c>
      <c r="C12">
        <v>2</v>
      </c>
      <c r="D12">
        <v>4</v>
      </c>
      <c r="E12" t="s">
        <v>76</v>
      </c>
      <c r="F12">
        <v>3.4</v>
      </c>
      <c r="G12">
        <v>13.600000000000001</v>
      </c>
      <c r="H12" t="s">
        <v>239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EF806-B1EC-46A4-BC1F-0DCFD643143D}">
  <dimension ref="A1:U11"/>
  <sheetViews>
    <sheetView workbookViewId="0">
      <selection sqref="A1:U1"/>
    </sheetView>
  </sheetViews>
  <sheetFormatPr defaultRowHeight="14.4" x14ac:dyDescent="0.3"/>
  <sheetData>
    <row r="1" spans="1:21" ht="28.8" x14ac:dyDescent="0.3">
      <c r="A1" s="1" t="s">
        <v>242</v>
      </c>
      <c r="B1" s="1" t="s">
        <v>243</v>
      </c>
      <c r="C1" s="1" t="s">
        <v>241</v>
      </c>
      <c r="D1" s="2" t="s">
        <v>244</v>
      </c>
      <c r="E1" s="1" t="s">
        <v>245</v>
      </c>
      <c r="F1" s="1" t="s">
        <v>246</v>
      </c>
      <c r="G1" s="3" t="s">
        <v>247</v>
      </c>
      <c r="H1" s="3" t="s">
        <v>240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1" t="s">
        <v>5</v>
      </c>
      <c r="T1" s="1" t="s">
        <v>17</v>
      </c>
      <c r="U1" s="4" t="s">
        <v>18</v>
      </c>
    </row>
    <row r="2" spans="1:21" x14ac:dyDescent="0.3">
      <c r="A2" s="5">
        <v>46120</v>
      </c>
      <c r="B2" t="s">
        <v>19</v>
      </c>
      <c r="C2">
        <v>2</v>
      </c>
      <c r="D2">
        <v>5</v>
      </c>
      <c r="E2" t="s">
        <v>20</v>
      </c>
      <c r="F2">
        <v>1</v>
      </c>
      <c r="G2">
        <v>4</v>
      </c>
      <c r="H2" t="s">
        <v>208</v>
      </c>
      <c r="I2" s="6" t="s">
        <v>21</v>
      </c>
      <c r="J2" s="7" t="s">
        <v>22</v>
      </c>
      <c r="K2" s="7" t="s">
        <v>23</v>
      </c>
      <c r="L2" s="6" t="s">
        <v>24</v>
      </c>
      <c r="M2" s="6">
        <v>1</v>
      </c>
      <c r="N2" s="6">
        <v>0</v>
      </c>
      <c r="O2" s="6">
        <v>0</v>
      </c>
      <c r="P2" s="6">
        <v>0</v>
      </c>
      <c r="Q2" s="6"/>
      <c r="R2" s="6" t="s">
        <v>25</v>
      </c>
    </row>
    <row r="3" spans="1:21" x14ac:dyDescent="0.3">
      <c r="A3" s="5">
        <v>46120</v>
      </c>
      <c r="B3" t="s">
        <v>19</v>
      </c>
      <c r="C3">
        <v>2</v>
      </c>
      <c r="D3">
        <v>5</v>
      </c>
      <c r="E3" t="s">
        <v>114</v>
      </c>
      <c r="F3">
        <v>1</v>
      </c>
      <c r="G3">
        <v>4</v>
      </c>
      <c r="H3" t="s">
        <v>210</v>
      </c>
      <c r="I3" s="6" t="s">
        <v>48</v>
      </c>
      <c r="J3" s="7" t="s">
        <v>115</v>
      </c>
      <c r="K3" s="7" t="s">
        <v>116</v>
      </c>
      <c r="L3" s="6" t="s">
        <v>117</v>
      </c>
      <c r="M3" s="6"/>
      <c r="N3" s="6"/>
      <c r="O3" s="6"/>
      <c r="P3" s="6"/>
      <c r="Q3" s="6">
        <v>1</v>
      </c>
      <c r="R3" s="6" t="s">
        <v>25</v>
      </c>
    </row>
    <row r="4" spans="1:21" x14ac:dyDescent="0.3">
      <c r="A4" s="5">
        <v>46120</v>
      </c>
      <c r="B4" t="s">
        <v>19</v>
      </c>
      <c r="C4">
        <v>2</v>
      </c>
      <c r="D4">
        <v>5</v>
      </c>
      <c r="E4" t="s">
        <v>77</v>
      </c>
      <c r="F4">
        <v>3</v>
      </c>
      <c r="G4">
        <v>12</v>
      </c>
      <c r="H4" t="s">
        <v>208</v>
      </c>
      <c r="I4" s="6" t="s">
        <v>21</v>
      </c>
      <c r="J4" s="7" t="s">
        <v>78</v>
      </c>
      <c r="K4" s="7" t="s">
        <v>79</v>
      </c>
      <c r="L4" s="6" t="s">
        <v>71</v>
      </c>
      <c r="M4" s="6">
        <v>1</v>
      </c>
      <c r="N4" s="6"/>
      <c r="O4" s="6"/>
      <c r="P4" s="6"/>
      <c r="Q4" s="6"/>
      <c r="R4" s="6" t="s">
        <v>25</v>
      </c>
    </row>
    <row r="5" spans="1:21" x14ac:dyDescent="0.3">
      <c r="A5" s="5">
        <v>46120</v>
      </c>
      <c r="B5" t="s">
        <v>19</v>
      </c>
      <c r="C5">
        <v>2</v>
      </c>
      <c r="D5">
        <v>5</v>
      </c>
      <c r="E5" t="s">
        <v>42</v>
      </c>
      <c r="F5">
        <v>12</v>
      </c>
      <c r="G5">
        <v>48</v>
      </c>
      <c r="H5" t="s">
        <v>210</v>
      </c>
      <c r="I5" s="6" t="s">
        <v>43</v>
      </c>
      <c r="J5" s="7" t="s">
        <v>44</v>
      </c>
      <c r="K5" s="7" t="s">
        <v>45</v>
      </c>
      <c r="L5" s="6" t="s">
        <v>46</v>
      </c>
      <c r="M5" s="6"/>
      <c r="N5" s="6"/>
      <c r="O5" s="6">
        <v>1</v>
      </c>
      <c r="P5" s="6"/>
      <c r="Q5" s="6"/>
      <c r="R5" s="6" t="s">
        <v>25</v>
      </c>
    </row>
    <row r="6" spans="1:21" x14ac:dyDescent="0.3">
      <c r="A6" s="5">
        <v>46120</v>
      </c>
      <c r="B6" t="s">
        <v>19</v>
      </c>
      <c r="C6">
        <v>2</v>
      </c>
      <c r="D6">
        <v>5</v>
      </c>
      <c r="E6" t="s">
        <v>27</v>
      </c>
      <c r="F6">
        <v>2</v>
      </c>
      <c r="G6">
        <v>8</v>
      </c>
      <c r="H6" t="s">
        <v>209</v>
      </c>
      <c r="I6" s="6" t="s">
        <v>21</v>
      </c>
      <c r="J6" s="7" t="s">
        <v>28</v>
      </c>
      <c r="K6" s="7" t="s">
        <v>29</v>
      </c>
      <c r="L6" s="6" t="s">
        <v>30</v>
      </c>
      <c r="M6" s="6">
        <v>1</v>
      </c>
      <c r="N6" s="6"/>
      <c r="O6" s="6"/>
      <c r="P6" s="6"/>
      <c r="Q6" s="6"/>
      <c r="R6" s="6" t="s">
        <v>25</v>
      </c>
    </row>
    <row r="7" spans="1:21" x14ac:dyDescent="0.3">
      <c r="A7" s="5">
        <v>46120</v>
      </c>
      <c r="B7" t="s">
        <v>19</v>
      </c>
      <c r="C7">
        <v>2</v>
      </c>
      <c r="D7">
        <v>5</v>
      </c>
      <c r="E7" t="s">
        <v>86</v>
      </c>
      <c r="F7">
        <v>1</v>
      </c>
      <c r="G7">
        <v>4</v>
      </c>
      <c r="H7" t="s">
        <v>208</v>
      </c>
      <c r="I7" s="6" t="s">
        <v>21</v>
      </c>
      <c r="J7" s="7" t="s">
        <v>87</v>
      </c>
      <c r="K7" s="7" t="s">
        <v>88</v>
      </c>
      <c r="L7" s="6" t="s">
        <v>89</v>
      </c>
      <c r="M7" s="6">
        <v>1</v>
      </c>
      <c r="N7" s="6"/>
      <c r="O7" s="6"/>
      <c r="P7" s="6"/>
      <c r="Q7" s="6"/>
      <c r="R7" s="6" t="s">
        <v>25</v>
      </c>
    </row>
    <row r="8" spans="1:21" x14ac:dyDescent="0.3">
      <c r="A8" s="5">
        <v>46120</v>
      </c>
      <c r="B8" t="s">
        <v>19</v>
      </c>
      <c r="C8">
        <v>2</v>
      </c>
      <c r="D8">
        <v>5</v>
      </c>
      <c r="E8" t="s">
        <v>83</v>
      </c>
      <c r="F8">
        <v>2</v>
      </c>
      <c r="G8">
        <v>8</v>
      </c>
      <c r="H8" t="s">
        <v>211</v>
      </c>
      <c r="I8" s="6" t="s">
        <v>21</v>
      </c>
      <c r="J8" s="7" t="s">
        <v>73</v>
      </c>
      <c r="K8" s="7" t="s">
        <v>84</v>
      </c>
      <c r="L8" s="6" t="s">
        <v>85</v>
      </c>
      <c r="M8" s="6">
        <v>1</v>
      </c>
      <c r="N8" s="6"/>
      <c r="O8" s="6"/>
      <c r="P8" s="6"/>
      <c r="Q8" s="6"/>
      <c r="R8" s="6" t="s">
        <v>25</v>
      </c>
    </row>
    <row r="9" spans="1:21" x14ac:dyDescent="0.3">
      <c r="A9" s="5">
        <v>46120</v>
      </c>
      <c r="B9" t="s">
        <v>19</v>
      </c>
      <c r="C9">
        <v>2</v>
      </c>
      <c r="D9">
        <v>5</v>
      </c>
      <c r="E9" t="s">
        <v>90</v>
      </c>
      <c r="F9">
        <v>1</v>
      </c>
      <c r="G9">
        <v>4</v>
      </c>
      <c r="H9" t="s">
        <v>210</v>
      </c>
      <c r="I9" s="6" t="s">
        <v>43</v>
      </c>
      <c r="J9" s="7" t="s">
        <v>91</v>
      </c>
      <c r="K9" s="7" t="s">
        <v>92</v>
      </c>
      <c r="L9" s="6" t="s">
        <v>93</v>
      </c>
      <c r="M9" s="6"/>
      <c r="N9" s="6"/>
      <c r="O9" s="6">
        <v>1</v>
      </c>
      <c r="P9" s="6"/>
      <c r="Q9" s="6"/>
      <c r="R9" s="6" t="s">
        <v>57</v>
      </c>
    </row>
    <row r="10" spans="1:21" x14ac:dyDescent="0.3">
      <c r="A10" s="5">
        <v>46120</v>
      </c>
      <c r="B10" t="s">
        <v>19</v>
      </c>
      <c r="C10">
        <v>2</v>
      </c>
      <c r="D10">
        <v>5</v>
      </c>
      <c r="E10" t="s">
        <v>179</v>
      </c>
      <c r="F10">
        <v>1</v>
      </c>
      <c r="G10">
        <v>4</v>
      </c>
      <c r="H10" t="s">
        <v>209</v>
      </c>
      <c r="I10" s="6" t="s">
        <v>21</v>
      </c>
      <c r="J10" s="7" t="s">
        <v>108</v>
      </c>
      <c r="K10" s="7" t="s">
        <v>180</v>
      </c>
      <c r="L10" s="6" t="s">
        <v>181</v>
      </c>
      <c r="M10" s="6"/>
      <c r="N10" s="6"/>
      <c r="O10" s="6"/>
      <c r="P10" s="6"/>
      <c r="Q10" s="6"/>
      <c r="R10" s="6" t="s">
        <v>57</v>
      </c>
    </row>
    <row r="11" spans="1:21" x14ac:dyDescent="0.3">
      <c r="A11" s="5">
        <v>46120</v>
      </c>
      <c r="B11" t="s">
        <v>19</v>
      </c>
      <c r="C11">
        <v>2</v>
      </c>
      <c r="D11">
        <v>5</v>
      </c>
      <c r="E11" t="s">
        <v>76</v>
      </c>
      <c r="F11">
        <v>1</v>
      </c>
      <c r="G11">
        <v>4</v>
      </c>
      <c r="H11" t="s">
        <v>239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FD73B-20B3-4074-969A-084B773D458F}">
  <dimension ref="A1:S10"/>
  <sheetViews>
    <sheetView workbookViewId="0">
      <selection activeCell="H9" sqref="H9:H10"/>
    </sheetView>
  </sheetViews>
  <sheetFormatPr defaultRowHeight="14.4" x14ac:dyDescent="0.3"/>
  <sheetData>
    <row r="1" spans="1:19" ht="43.2" x14ac:dyDescent="0.3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3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1" t="s">
        <v>5</v>
      </c>
      <c r="R1" s="1" t="s">
        <v>17</v>
      </c>
      <c r="S1" s="4" t="s">
        <v>18</v>
      </c>
    </row>
    <row r="2" spans="1:19" x14ac:dyDescent="0.3">
      <c r="A2" t="s">
        <v>19</v>
      </c>
      <c r="B2">
        <v>1</v>
      </c>
      <c r="C2">
        <v>2</v>
      </c>
      <c r="D2" t="s">
        <v>31</v>
      </c>
      <c r="E2">
        <v>2.5</v>
      </c>
      <c r="F2">
        <v>10</v>
      </c>
      <c r="G2" s="6" t="s">
        <v>21</v>
      </c>
      <c r="H2" s="7" t="s">
        <v>32</v>
      </c>
      <c r="I2" s="7" t="s">
        <v>33</v>
      </c>
      <c r="J2" s="6" t="s">
        <v>34</v>
      </c>
      <c r="K2" s="6">
        <v>1</v>
      </c>
      <c r="L2" s="6"/>
      <c r="M2" s="6"/>
      <c r="N2" s="6"/>
      <c r="O2" s="6"/>
      <c r="P2" s="6" t="s">
        <v>25</v>
      </c>
    </row>
    <row r="3" spans="1:19" x14ac:dyDescent="0.3">
      <c r="A3" t="s">
        <v>19</v>
      </c>
      <c r="B3">
        <v>1</v>
      </c>
      <c r="C3">
        <v>2</v>
      </c>
      <c r="D3" t="s">
        <v>42</v>
      </c>
      <c r="E3">
        <v>7.5</v>
      </c>
      <c r="F3">
        <v>30</v>
      </c>
      <c r="G3" s="6" t="s">
        <v>43</v>
      </c>
      <c r="H3" s="7" t="s">
        <v>44</v>
      </c>
      <c r="I3" s="7" t="s">
        <v>45</v>
      </c>
      <c r="J3" s="6" t="s">
        <v>46</v>
      </c>
      <c r="K3" s="6"/>
      <c r="L3" s="6"/>
      <c r="M3" s="6">
        <v>1</v>
      </c>
      <c r="N3" s="6"/>
      <c r="O3" s="6"/>
      <c r="P3" s="6" t="s">
        <v>25</v>
      </c>
    </row>
    <row r="4" spans="1:19" x14ac:dyDescent="0.3">
      <c r="A4" t="s">
        <v>19</v>
      </c>
      <c r="B4">
        <v>1</v>
      </c>
      <c r="C4">
        <v>2</v>
      </c>
      <c r="D4" t="s">
        <v>52</v>
      </c>
      <c r="E4">
        <v>1</v>
      </c>
      <c r="F4">
        <v>4</v>
      </c>
      <c r="G4" s="6" t="s">
        <v>53</v>
      </c>
      <c r="H4" s="7" t="s">
        <v>54</v>
      </c>
      <c r="I4" s="7" t="s">
        <v>55</v>
      </c>
      <c r="J4" s="6" t="s">
        <v>56</v>
      </c>
      <c r="K4" s="6"/>
      <c r="L4" s="6"/>
      <c r="M4" s="6"/>
      <c r="N4" s="6">
        <v>1</v>
      </c>
      <c r="O4" s="6"/>
      <c r="P4" s="6" t="s">
        <v>57</v>
      </c>
    </row>
    <row r="5" spans="1:19" x14ac:dyDescent="0.3">
      <c r="A5" t="s">
        <v>19</v>
      </c>
      <c r="B5">
        <v>1</v>
      </c>
      <c r="C5">
        <v>2</v>
      </c>
      <c r="D5" t="s">
        <v>20</v>
      </c>
      <c r="E5">
        <v>4</v>
      </c>
      <c r="F5">
        <v>16</v>
      </c>
      <c r="G5" s="6" t="s">
        <v>21</v>
      </c>
      <c r="H5" s="7" t="s">
        <v>22</v>
      </c>
      <c r="I5" s="7" t="s">
        <v>23</v>
      </c>
      <c r="J5" s="6" t="s">
        <v>24</v>
      </c>
      <c r="K5" s="6">
        <v>1</v>
      </c>
      <c r="L5" s="6">
        <v>0</v>
      </c>
      <c r="M5" s="6">
        <v>0</v>
      </c>
      <c r="N5" s="6">
        <v>0</v>
      </c>
      <c r="O5" s="6"/>
      <c r="P5" s="6" t="s">
        <v>25</v>
      </c>
    </row>
    <row r="6" spans="1:19" x14ac:dyDescent="0.3">
      <c r="A6" t="s">
        <v>19</v>
      </c>
      <c r="B6">
        <v>1</v>
      </c>
      <c r="C6">
        <v>2</v>
      </c>
      <c r="D6" t="s">
        <v>27</v>
      </c>
      <c r="E6">
        <v>1.5</v>
      </c>
      <c r="F6">
        <v>6</v>
      </c>
      <c r="G6" s="6" t="s">
        <v>21</v>
      </c>
      <c r="H6" s="7" t="s">
        <v>28</v>
      </c>
      <c r="I6" s="7" t="s">
        <v>29</v>
      </c>
      <c r="J6" s="6" t="s">
        <v>30</v>
      </c>
      <c r="K6" s="6">
        <v>1</v>
      </c>
      <c r="L6" s="6"/>
      <c r="M6" s="6"/>
      <c r="N6" s="6"/>
      <c r="O6" s="6"/>
      <c r="P6" s="6" t="s">
        <v>25</v>
      </c>
    </row>
    <row r="7" spans="1:19" x14ac:dyDescent="0.3">
      <c r="A7" t="s">
        <v>19</v>
      </c>
      <c r="B7">
        <v>1</v>
      </c>
      <c r="C7">
        <v>2</v>
      </c>
      <c r="D7" t="s">
        <v>39</v>
      </c>
      <c r="E7">
        <v>4</v>
      </c>
      <c r="F7">
        <v>16</v>
      </c>
      <c r="G7" s="6" t="s">
        <v>21</v>
      </c>
      <c r="H7" s="7" t="s">
        <v>39</v>
      </c>
      <c r="I7" s="7" t="s">
        <v>40</v>
      </c>
      <c r="J7" s="6" t="s">
        <v>41</v>
      </c>
      <c r="K7" s="6">
        <v>1</v>
      </c>
      <c r="L7" s="6"/>
      <c r="M7" s="6"/>
      <c r="N7" s="6"/>
      <c r="O7" s="6"/>
      <c r="P7" s="6" t="s">
        <v>25</v>
      </c>
    </row>
    <row r="8" spans="1:19" x14ac:dyDescent="0.3">
      <c r="A8" t="s">
        <v>19</v>
      </c>
      <c r="B8">
        <v>1</v>
      </c>
      <c r="C8">
        <v>2</v>
      </c>
      <c r="D8" t="s">
        <v>47</v>
      </c>
      <c r="E8">
        <v>2</v>
      </c>
      <c r="F8">
        <v>8</v>
      </c>
      <c r="G8" t="s">
        <v>48</v>
      </c>
      <c r="H8" t="s">
        <v>49</v>
      </c>
      <c r="I8" t="s">
        <v>50</v>
      </c>
      <c r="J8" t="s">
        <v>51</v>
      </c>
      <c r="O8">
        <v>1</v>
      </c>
      <c r="P8" t="s">
        <v>25</v>
      </c>
    </row>
    <row r="9" spans="1:19" x14ac:dyDescent="0.3">
      <c r="A9" t="s">
        <v>19</v>
      </c>
      <c r="B9">
        <v>1</v>
      </c>
      <c r="C9">
        <v>2</v>
      </c>
      <c r="D9" t="s">
        <v>77</v>
      </c>
      <c r="E9">
        <v>0.25</v>
      </c>
      <c r="F9">
        <v>1</v>
      </c>
      <c r="G9" s="6" t="s">
        <v>21</v>
      </c>
      <c r="H9" s="7" t="s">
        <v>78</v>
      </c>
      <c r="I9" s="7" t="s">
        <v>79</v>
      </c>
      <c r="J9" s="6" t="s">
        <v>71</v>
      </c>
      <c r="K9" s="6">
        <v>1</v>
      </c>
      <c r="L9" s="6"/>
      <c r="M9" s="6"/>
      <c r="N9" s="6"/>
      <c r="O9" s="6"/>
      <c r="P9" s="6" t="s">
        <v>25</v>
      </c>
    </row>
    <row r="10" spans="1:19" x14ac:dyDescent="0.3">
      <c r="A10" t="s">
        <v>19</v>
      </c>
      <c r="B10">
        <v>1</v>
      </c>
      <c r="C10">
        <v>2</v>
      </c>
      <c r="D10" t="s">
        <v>80</v>
      </c>
      <c r="E10">
        <v>0.25</v>
      </c>
      <c r="F10">
        <v>1</v>
      </c>
      <c r="G10" s="6" t="s">
        <v>64</v>
      </c>
      <c r="H10" s="7" t="s">
        <v>65</v>
      </c>
      <c r="I10" s="7" t="s">
        <v>81</v>
      </c>
      <c r="J10" s="6" t="s">
        <v>82</v>
      </c>
      <c r="K10" s="6"/>
      <c r="L10" s="6"/>
      <c r="M10" s="6"/>
      <c r="N10" s="6">
        <v>1</v>
      </c>
      <c r="O10" s="6"/>
      <c r="P10" s="6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C5221-F4CC-45B4-AD15-0CCD40AEB93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8416A-7BFD-4A28-8198-35D0340A2E6A}">
  <dimension ref="A1:A4"/>
  <sheetViews>
    <sheetView tabSelected="1" topLeftCell="A17" workbookViewId="0">
      <selection activeCell="G8" sqref="G8"/>
    </sheetView>
  </sheetViews>
  <sheetFormatPr defaultRowHeight="14.4" x14ac:dyDescent="0.3"/>
  <sheetData>
    <row r="1" spans="1:1" x14ac:dyDescent="0.3">
      <c r="A1" t="s">
        <v>26</v>
      </c>
    </row>
    <row r="2" spans="1:1" x14ac:dyDescent="0.3">
      <c r="A2" t="s">
        <v>190</v>
      </c>
    </row>
    <row r="3" spans="1:1" x14ac:dyDescent="0.3">
      <c r="A3" t="s">
        <v>192</v>
      </c>
    </row>
    <row r="4" spans="1:1" x14ac:dyDescent="0.3">
      <c r="A4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EC Tower</vt:lpstr>
      <vt:lpstr>Summary</vt:lpstr>
      <vt:lpstr>T2_Q1</vt:lpstr>
      <vt:lpstr>T2_Q2</vt:lpstr>
      <vt:lpstr>T2_Q3</vt:lpstr>
      <vt:lpstr>T2_Q4</vt:lpstr>
      <vt:lpstr>T2_Q5</vt:lpstr>
      <vt:lpstr>T1_Q2</vt:lpstr>
      <vt:lpstr>T1_Q3</vt:lpstr>
      <vt:lpstr>Description of Sampling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Kinuthia, Kelvin (ILRI)</dc:creator>
  <cp:lastModifiedBy>James Hawkins</cp:lastModifiedBy>
  <dcterms:created xsi:type="dcterms:W3CDTF">2026-06-02T06:19:45Z</dcterms:created>
  <dcterms:modified xsi:type="dcterms:W3CDTF">2026-09-07T13:31:40Z</dcterms:modified>
</cp:coreProperties>
</file>