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Hawkins\Documents\Github\Soil.C.modelling\Kapiti.soil.C\projects\KE_Kapiti_Eddy_July\data\"/>
    </mc:Choice>
  </mc:AlternateContent>
  <xr:revisionPtr revIDLastSave="0" documentId="13_ncr:1_{38B846D3-B60A-46C2-8448-C67BE341C3BB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" l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" i="1"/>
  <c r="M4" i="1"/>
  <c r="I4" i="1"/>
  <c r="I6" i="1"/>
  <c r="O43" i="1"/>
  <c r="L43" i="1"/>
  <c r="K43" i="1"/>
  <c r="G43" i="1"/>
  <c r="H43" i="1"/>
  <c r="F43" i="1"/>
  <c r="K3" i="1"/>
  <c r="H3" i="1" l="1"/>
  <c r="L3" i="1"/>
  <c r="G3" i="1"/>
  <c r="F3" i="1"/>
  <c r="I8" i="1" l="1"/>
  <c r="I33" i="1"/>
  <c r="I36" i="1"/>
  <c r="I21" i="1"/>
  <c r="I22" i="1"/>
  <c r="I26" i="1"/>
  <c r="I24" i="1"/>
  <c r="I29" i="1"/>
  <c r="I30" i="1"/>
  <c r="I27" i="1"/>
  <c r="I31" i="1"/>
  <c r="I28" i="1"/>
  <c r="I15" i="1"/>
  <c r="I12" i="1"/>
  <c r="I16" i="1"/>
  <c r="I34" i="1"/>
  <c r="I7" i="1"/>
  <c r="I41" i="1"/>
  <c r="I11" i="1"/>
  <c r="I18" i="1"/>
  <c r="I5" i="1"/>
  <c r="I25" i="1"/>
  <c r="I23" i="1"/>
  <c r="I10" i="1"/>
  <c r="I40" i="1"/>
  <c r="I9" i="1"/>
  <c r="I13" i="1"/>
  <c r="I17" i="1"/>
  <c r="I14" i="1"/>
  <c r="I32" i="1"/>
  <c r="I20" i="1"/>
  <c r="I37" i="1"/>
  <c r="I35" i="1"/>
  <c r="I39" i="1"/>
  <c r="I38" i="1"/>
  <c r="I19" i="1"/>
</calcChain>
</file>

<file path=xl/sharedStrings.xml><?xml version="1.0" encoding="utf-8"?>
<sst xmlns="http://schemas.openxmlformats.org/spreadsheetml/2006/main" count="99" uniqueCount="61">
  <si>
    <t>code</t>
  </si>
  <si>
    <t>category</t>
  </si>
  <si>
    <t>include.xml</t>
  </si>
  <si>
    <t>xml.file</t>
  </si>
  <si>
    <t>bare.ground</t>
  </si>
  <si>
    <t>cynodon_dactylon</t>
  </si>
  <si>
    <t>cenchrus_mezianum</t>
  </si>
  <si>
    <t>themeda_triandra</t>
  </si>
  <si>
    <t>HYBRID.GRASS</t>
  </si>
  <si>
    <t>Unnamed: 9</t>
  </si>
  <si>
    <t>indigofera_volkensii</t>
  </si>
  <si>
    <t>tephrosia</t>
  </si>
  <si>
    <t>HYBRID.FORB</t>
  </si>
  <si>
    <t>Unnamed: 13</t>
  </si>
  <si>
    <t>HYBRID.ALL</t>
  </si>
  <si>
    <t>fractionalcover</t>
  </si>
  <si>
    <t>weight</t>
  </si>
  <si>
    <t>KO25</t>
  </si>
  <si>
    <t>species</t>
  </si>
  <si>
    <t>KM20</t>
  </si>
  <si>
    <t>VCMAX</t>
  </si>
  <si>
    <t>AEJM</t>
  </si>
  <si>
    <t>AEKC</t>
  </si>
  <si>
    <t>AEKO</t>
  </si>
  <si>
    <t>AERD</t>
  </si>
  <si>
    <t>AEVC</t>
  </si>
  <si>
    <t>AEVO</t>
  </si>
  <si>
    <t>KC25</t>
  </si>
  <si>
    <t>THETA</t>
  </si>
  <si>
    <t>QJVC</t>
  </si>
  <si>
    <t>QRD25</t>
  </si>
  <si>
    <t>WUECMAX</t>
  </si>
  <si>
    <t>WUECMIN</t>
  </si>
  <si>
    <t>H2OREF_A</t>
  </si>
  <si>
    <t>H2OREF_SENESCENCE</t>
  </si>
  <si>
    <t>H2OREF_GS</t>
  </si>
  <si>
    <t>GSMAX</t>
  </si>
  <si>
    <t>GSMIN</t>
  </si>
  <si>
    <t>FRACTION_FOLIAGE</t>
  </si>
  <si>
    <t>FRACTION_ROOT</t>
  </si>
  <si>
    <t>FRACTION_FRUIT,</t>
  </si>
  <si>
    <t>FOLRELGROMAX</t>
  </si>
  <si>
    <t>MFOLOPT</t>
  </si>
  <si>
    <t>MWFM</t>
  </si>
  <si>
    <t>AMX25</t>
  </si>
  <si>
    <t>SLAMAX</t>
  </si>
  <si>
    <t>SLAMIN</t>
  </si>
  <si>
    <t>NDFLUSH</t>
  </si>
  <si>
    <t>NDMORTA</t>
  </si>
  <si>
    <t>GDD_BASE_TEMPERATURE</t>
  </si>
  <si>
    <t>GDD_EMERG</t>
  </si>
  <si>
    <t>GDD_MATURITY</t>
  </si>
  <si>
    <t>GDD_STEM_ELONGATION</t>
  </si>
  <si>
    <t>GDD_ROOTS_GROWN</t>
  </si>
  <si>
    <t>GDDFOLSTART</t>
  </si>
  <si>
    <t>GDDFOLEND</t>
  </si>
  <si>
    <t>biomass.yield.Mg.ha.yr</t>
  </si>
  <si>
    <t>initialbiomass</t>
  </si>
  <si>
    <t>heightmax</t>
  </si>
  <si>
    <t>rootingdepth</t>
  </si>
  <si>
    <t>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</si>
</sst>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"/>
  <sheetViews>
    <sheetView tabSelected="1" workbookViewId="0">
      <selection activeCell="C4" sqref="C4:C34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C2" t="b">
        <v>0</v>
      </c>
      <c r="E2">
        <v>7.4999999999999956E-2</v>
      </c>
      <c r="F2">
        <v>0.25</v>
      </c>
      <c r="G2">
        <v>0.375</v>
      </c>
      <c r="H2">
        <v>0.3</v>
      </c>
      <c r="I2">
        <v>0.92500000000000004</v>
      </c>
      <c r="K2">
        <v>0.2</v>
      </c>
      <c r="L2">
        <v>0</v>
      </c>
      <c r="M2">
        <v>0</v>
      </c>
      <c r="O2">
        <v>0.92500000000000004</v>
      </c>
    </row>
    <row r="3" spans="1:15" x14ac:dyDescent="0.25">
      <c r="A3" t="s">
        <v>16</v>
      </c>
      <c r="C3" t="b">
        <v>0</v>
      </c>
      <c r="E3">
        <v>0</v>
      </c>
      <c r="F3">
        <f>F2*F43/$O$43</f>
        <v>5.5555555555555552E-2</v>
      </c>
      <c r="G3">
        <f t="shared" ref="G3:H3" si="0">G2*G43/$O$43</f>
        <v>0.125</v>
      </c>
      <c r="H3">
        <f>H2*H43/$O$43</f>
        <v>0.08</v>
      </c>
      <c r="I3">
        <v>1</v>
      </c>
      <c r="K3">
        <f>K2*K43/$O$43</f>
        <v>3.5555555555555562E-2</v>
      </c>
      <c r="L3">
        <f>L2*L43/$O$43</f>
        <v>0</v>
      </c>
      <c r="M3">
        <v>0</v>
      </c>
      <c r="O3">
        <v>1</v>
      </c>
    </row>
    <row r="4" spans="1:15" x14ac:dyDescent="0.25">
      <c r="A4" t="s">
        <v>17</v>
      </c>
      <c r="B4" t="s">
        <v>18</v>
      </c>
      <c r="C4" t="b">
        <v>1</v>
      </c>
      <c r="F4">
        <v>375</v>
      </c>
      <c r="G4">
        <v>375</v>
      </c>
      <c r="H4">
        <v>375</v>
      </c>
      <c r="I4">
        <f>F4*F$3+G4*G$3+H4*H$3</f>
        <v>97.708333333333329</v>
      </c>
      <c r="K4">
        <v>255</v>
      </c>
      <c r="L4">
        <v>1</v>
      </c>
      <c r="M4">
        <f>K4*K$3+L4*L$3</f>
        <v>9.0666666666666682</v>
      </c>
      <c r="O4">
        <f>F4*F$3+G4*G$3+H4*H$3 + K4*K$3+L4*L$3</f>
        <v>106.77499999999999</v>
      </c>
    </row>
    <row r="5" spans="1:15" x14ac:dyDescent="0.25">
      <c r="A5" t="s">
        <v>19</v>
      </c>
      <c r="B5" t="s">
        <v>18</v>
      </c>
      <c r="C5" t="b">
        <v>1</v>
      </c>
      <c r="F5">
        <v>1.2500000000000001E-2</v>
      </c>
      <c r="G5">
        <v>0.02</v>
      </c>
      <c r="H5">
        <v>0.02</v>
      </c>
      <c r="I5">
        <f t="shared" ref="I5:I41" si="1">F5*F$3+G5*G$3+H5*H$3</f>
        <v>4.7944444444444449E-3</v>
      </c>
      <c r="K5">
        <v>1.7500000000000002E-2</v>
      </c>
      <c r="L5">
        <v>1</v>
      </c>
      <c r="M5">
        <v>0</v>
      </c>
      <c r="O5">
        <f t="shared" ref="O5:O41" si="2">F5*F$3+G5*G$3+H5*H$3 + K5*K$3+L5*L$3</f>
        <v>5.4166666666666669E-3</v>
      </c>
    </row>
    <row r="6" spans="1:15" x14ac:dyDescent="0.25">
      <c r="A6" t="s">
        <v>20</v>
      </c>
      <c r="B6" t="s">
        <v>18</v>
      </c>
      <c r="C6" t="b">
        <v>1</v>
      </c>
      <c r="F6">
        <v>43.25</v>
      </c>
      <c r="G6">
        <v>80</v>
      </c>
      <c r="H6">
        <v>40</v>
      </c>
      <c r="I6">
        <f>F6*F$3+G6*G$3+H6*H$3</f>
        <v>15.602777777777778</v>
      </c>
      <c r="K6">
        <v>95</v>
      </c>
      <c r="L6">
        <v>1</v>
      </c>
      <c r="M6">
        <v>0</v>
      </c>
      <c r="O6">
        <f t="shared" si="2"/>
        <v>18.980555555555554</v>
      </c>
    </row>
    <row r="7" spans="1:15" x14ac:dyDescent="0.25">
      <c r="A7" t="s">
        <v>21</v>
      </c>
      <c r="B7" t="s">
        <v>18</v>
      </c>
      <c r="C7" t="b">
        <v>1</v>
      </c>
      <c r="F7">
        <v>61450</v>
      </c>
      <c r="G7">
        <v>78700</v>
      </c>
      <c r="H7">
        <v>57450</v>
      </c>
      <c r="I7">
        <f t="shared" si="1"/>
        <v>17847.388888888891</v>
      </c>
      <c r="K7">
        <v>43500</v>
      </c>
      <c r="L7">
        <v>1</v>
      </c>
      <c r="M7">
        <v>0</v>
      </c>
      <c r="O7">
        <f t="shared" si="2"/>
        <v>19394.055555555558</v>
      </c>
    </row>
    <row r="8" spans="1:15" x14ac:dyDescent="0.25">
      <c r="A8" t="s">
        <v>22</v>
      </c>
      <c r="B8" t="s">
        <v>18</v>
      </c>
      <c r="C8" t="b">
        <v>1</v>
      </c>
      <c r="F8">
        <v>71815</v>
      </c>
      <c r="G8">
        <v>71815</v>
      </c>
      <c r="H8">
        <v>57865</v>
      </c>
      <c r="I8">
        <f t="shared" si="1"/>
        <v>17595.797222222223</v>
      </c>
      <c r="K8">
        <v>72500</v>
      </c>
      <c r="L8">
        <v>1</v>
      </c>
      <c r="M8">
        <v>0</v>
      </c>
      <c r="O8">
        <f t="shared" si="2"/>
        <v>20173.575000000001</v>
      </c>
    </row>
    <row r="9" spans="1:15" x14ac:dyDescent="0.25">
      <c r="A9" t="s">
        <v>23</v>
      </c>
      <c r="B9" t="s">
        <v>18</v>
      </c>
      <c r="C9" t="b">
        <v>1</v>
      </c>
      <c r="F9">
        <v>23440</v>
      </c>
      <c r="G9">
        <v>45850</v>
      </c>
      <c r="H9">
        <v>45850</v>
      </c>
      <c r="I9">
        <f t="shared" si="1"/>
        <v>10701.472222222223</v>
      </c>
      <c r="K9">
        <v>37500</v>
      </c>
      <c r="L9">
        <v>1</v>
      </c>
      <c r="M9">
        <v>0</v>
      </c>
      <c r="O9">
        <f t="shared" si="2"/>
        <v>12034.805555555557</v>
      </c>
    </row>
    <row r="10" spans="1:15" x14ac:dyDescent="0.25">
      <c r="A10" t="s">
        <v>24</v>
      </c>
      <c r="B10" t="s">
        <v>18</v>
      </c>
      <c r="C10" t="b">
        <v>1</v>
      </c>
      <c r="F10">
        <v>49845</v>
      </c>
      <c r="G10">
        <v>54900</v>
      </c>
      <c r="H10">
        <v>54900</v>
      </c>
      <c r="I10">
        <f t="shared" si="1"/>
        <v>14023.666666666666</v>
      </c>
      <c r="K10">
        <v>50000</v>
      </c>
      <c r="L10">
        <v>1</v>
      </c>
      <c r="M10">
        <v>0</v>
      </c>
      <c r="O10">
        <f t="shared" si="2"/>
        <v>15801.444444444443</v>
      </c>
    </row>
    <row r="11" spans="1:15" x14ac:dyDescent="0.25">
      <c r="A11" t="s">
        <v>25</v>
      </c>
      <c r="B11" t="s">
        <v>18</v>
      </c>
      <c r="C11" t="b">
        <v>1</v>
      </c>
      <c r="F11">
        <v>64050</v>
      </c>
      <c r="G11">
        <v>71715</v>
      </c>
      <c r="H11">
        <v>71715</v>
      </c>
      <c r="I11">
        <f t="shared" si="1"/>
        <v>18259.908333333333</v>
      </c>
      <c r="K11">
        <v>67500</v>
      </c>
      <c r="L11">
        <v>1</v>
      </c>
      <c r="M11">
        <v>0</v>
      </c>
      <c r="O11">
        <f t="shared" si="2"/>
        <v>20659.908333333333</v>
      </c>
    </row>
    <row r="12" spans="1:15" x14ac:dyDescent="0.25">
      <c r="A12" t="s">
        <v>26</v>
      </c>
      <c r="B12" t="s">
        <v>18</v>
      </c>
      <c r="C12" t="b">
        <v>1</v>
      </c>
      <c r="F12">
        <v>37530</v>
      </c>
      <c r="G12">
        <v>38445</v>
      </c>
      <c r="H12">
        <v>38445</v>
      </c>
      <c r="I12">
        <f t="shared" si="1"/>
        <v>9966.2250000000004</v>
      </c>
      <c r="K12">
        <v>42500</v>
      </c>
      <c r="L12">
        <v>1</v>
      </c>
      <c r="M12">
        <v>0</v>
      </c>
      <c r="O12">
        <f t="shared" si="2"/>
        <v>11477.336111111112</v>
      </c>
    </row>
    <row r="13" spans="1:15" x14ac:dyDescent="0.25">
      <c r="A13" t="s">
        <v>27</v>
      </c>
      <c r="B13" t="s">
        <v>18</v>
      </c>
      <c r="C13" t="b">
        <v>1</v>
      </c>
      <c r="F13">
        <v>918</v>
      </c>
      <c r="G13">
        <v>918</v>
      </c>
      <c r="H13">
        <v>533.79999999999995</v>
      </c>
      <c r="I13">
        <f t="shared" si="1"/>
        <v>208.45400000000001</v>
      </c>
      <c r="K13">
        <v>400</v>
      </c>
      <c r="L13">
        <v>1</v>
      </c>
      <c r="M13">
        <v>0</v>
      </c>
      <c r="O13">
        <f t="shared" si="2"/>
        <v>222.67622222222224</v>
      </c>
    </row>
    <row r="14" spans="1:15" x14ac:dyDescent="0.25">
      <c r="A14" t="s">
        <v>28</v>
      </c>
      <c r="B14" t="s">
        <v>18</v>
      </c>
      <c r="C14" t="b">
        <v>1</v>
      </c>
      <c r="F14">
        <v>0.77500000000000002</v>
      </c>
      <c r="G14">
        <v>0.75</v>
      </c>
      <c r="H14">
        <v>0.81499999999999995</v>
      </c>
      <c r="I14">
        <f t="shared" si="1"/>
        <v>0.20200555555555555</v>
      </c>
      <c r="K14">
        <v>0.8</v>
      </c>
      <c r="L14">
        <v>1</v>
      </c>
      <c r="M14">
        <v>0</v>
      </c>
      <c r="O14">
        <f t="shared" si="2"/>
        <v>0.23044999999999999</v>
      </c>
    </row>
    <row r="15" spans="1:15" x14ac:dyDescent="0.25">
      <c r="A15" t="s">
        <v>29</v>
      </c>
      <c r="B15" t="s">
        <v>18</v>
      </c>
      <c r="C15" t="b">
        <v>1</v>
      </c>
      <c r="F15">
        <v>3.05</v>
      </c>
      <c r="G15">
        <v>3.05</v>
      </c>
      <c r="H15">
        <v>3.4750000000000001</v>
      </c>
      <c r="I15">
        <f t="shared" si="1"/>
        <v>0.8286944444444444</v>
      </c>
      <c r="K15">
        <v>1.75</v>
      </c>
      <c r="L15">
        <v>1</v>
      </c>
      <c r="M15">
        <v>0</v>
      </c>
      <c r="O15">
        <f t="shared" si="2"/>
        <v>0.89091666666666658</v>
      </c>
    </row>
    <row r="16" spans="1:15" x14ac:dyDescent="0.25">
      <c r="A16" t="s">
        <v>30</v>
      </c>
      <c r="B16" t="s">
        <v>18</v>
      </c>
      <c r="C16" t="b">
        <v>1</v>
      </c>
      <c r="F16">
        <v>2.4E-2</v>
      </c>
      <c r="G16">
        <v>2.5000000000000001E-2</v>
      </c>
      <c r="H16">
        <v>0.03</v>
      </c>
      <c r="I16">
        <f t="shared" si="1"/>
        <v>6.8583333333333326E-3</v>
      </c>
      <c r="K16">
        <v>1.4999999999999999E-2</v>
      </c>
      <c r="L16">
        <v>1</v>
      </c>
      <c r="M16">
        <v>0</v>
      </c>
      <c r="O16">
        <f t="shared" si="2"/>
        <v>7.3916666666666662E-3</v>
      </c>
    </row>
    <row r="17" spans="1:15" x14ac:dyDescent="0.25">
      <c r="A17" t="s">
        <v>31</v>
      </c>
      <c r="B17" t="s">
        <v>18</v>
      </c>
      <c r="C17" t="b">
        <v>1</v>
      </c>
      <c r="F17">
        <v>3.625</v>
      </c>
      <c r="G17">
        <v>9.65</v>
      </c>
      <c r="H17">
        <v>6.38</v>
      </c>
      <c r="I17">
        <f t="shared" si="1"/>
        <v>1.9180388888888888</v>
      </c>
      <c r="K17">
        <v>4.75</v>
      </c>
      <c r="L17">
        <v>1</v>
      </c>
      <c r="M17">
        <v>0</v>
      </c>
      <c r="O17">
        <f t="shared" si="2"/>
        <v>2.0869277777777779</v>
      </c>
    </row>
    <row r="18" spans="1:15" x14ac:dyDescent="0.25">
      <c r="A18" t="s">
        <v>32</v>
      </c>
      <c r="B18" t="s">
        <v>18</v>
      </c>
      <c r="C18" t="b">
        <v>1</v>
      </c>
      <c r="F18">
        <v>3.5</v>
      </c>
      <c r="G18">
        <v>3.65</v>
      </c>
      <c r="H18">
        <v>2.6</v>
      </c>
      <c r="I18">
        <f t="shared" si="1"/>
        <v>0.85869444444444443</v>
      </c>
      <c r="K18">
        <v>1.75</v>
      </c>
      <c r="L18">
        <v>1</v>
      </c>
      <c r="M18">
        <v>0</v>
      </c>
      <c r="O18">
        <f t="shared" si="2"/>
        <v>0.92091666666666661</v>
      </c>
    </row>
    <row r="19" spans="1:15" x14ac:dyDescent="0.25">
      <c r="A19" t="s">
        <v>33</v>
      </c>
      <c r="B19" t="s">
        <v>18</v>
      </c>
      <c r="C19" t="b">
        <v>1</v>
      </c>
      <c r="F19">
        <v>0.5</v>
      </c>
      <c r="G19">
        <v>0.35</v>
      </c>
      <c r="H19">
        <v>0.45</v>
      </c>
      <c r="I19">
        <f t="shared" si="1"/>
        <v>0.10752777777777778</v>
      </c>
      <c r="K19">
        <v>0.375</v>
      </c>
      <c r="L19">
        <v>1</v>
      </c>
      <c r="M19">
        <v>0</v>
      </c>
      <c r="O19">
        <f t="shared" si="2"/>
        <v>0.12086111111111111</v>
      </c>
    </row>
    <row r="20" spans="1:15" x14ac:dyDescent="0.25">
      <c r="A20" t="s">
        <v>34</v>
      </c>
      <c r="B20" t="s">
        <v>18</v>
      </c>
      <c r="C20" t="b">
        <v>1</v>
      </c>
      <c r="F20">
        <v>0.1</v>
      </c>
      <c r="G20">
        <v>0.17499999999999999</v>
      </c>
      <c r="H20">
        <v>0.22750000000000001</v>
      </c>
      <c r="I20">
        <f t="shared" si="1"/>
        <v>4.5630555555555556E-2</v>
      </c>
      <c r="K20">
        <v>0.15</v>
      </c>
      <c r="L20">
        <v>1</v>
      </c>
      <c r="M20">
        <v>0</v>
      </c>
      <c r="O20">
        <f t="shared" si="2"/>
        <v>5.0963888888888892E-2</v>
      </c>
    </row>
    <row r="21" spans="1:15" x14ac:dyDescent="0.25">
      <c r="A21" t="s">
        <v>35</v>
      </c>
      <c r="B21" t="s">
        <v>18</v>
      </c>
      <c r="C21" t="b">
        <v>1</v>
      </c>
      <c r="F21">
        <v>0.36499999999999999</v>
      </c>
      <c r="G21">
        <v>0.35</v>
      </c>
      <c r="H21">
        <v>0.24</v>
      </c>
      <c r="I21">
        <f t="shared" si="1"/>
        <v>8.3227777777777762E-2</v>
      </c>
      <c r="K21">
        <v>0.3</v>
      </c>
      <c r="L21">
        <v>1</v>
      </c>
      <c r="M21">
        <v>0</v>
      </c>
      <c r="O21">
        <f t="shared" si="2"/>
        <v>9.3894444444444433E-2</v>
      </c>
    </row>
    <row r="22" spans="1:15" x14ac:dyDescent="0.25">
      <c r="A22" t="s">
        <v>36</v>
      </c>
      <c r="B22" t="s">
        <v>18</v>
      </c>
      <c r="C22" t="b">
        <v>1</v>
      </c>
      <c r="F22">
        <v>415</v>
      </c>
      <c r="G22">
        <v>525</v>
      </c>
      <c r="H22">
        <v>380.5</v>
      </c>
      <c r="I22">
        <f t="shared" si="1"/>
        <v>119.12055555555555</v>
      </c>
      <c r="K22">
        <v>600</v>
      </c>
      <c r="L22">
        <v>1</v>
      </c>
      <c r="M22">
        <v>0</v>
      </c>
      <c r="O22">
        <f t="shared" si="2"/>
        <v>140.45388888888888</v>
      </c>
    </row>
    <row r="23" spans="1:15" x14ac:dyDescent="0.25">
      <c r="A23" t="s">
        <v>37</v>
      </c>
      <c r="B23" t="s">
        <v>18</v>
      </c>
      <c r="C23" t="b">
        <v>1</v>
      </c>
      <c r="F23">
        <v>3.5</v>
      </c>
      <c r="G23">
        <v>15</v>
      </c>
      <c r="H23">
        <v>15</v>
      </c>
      <c r="I23">
        <f t="shared" si="1"/>
        <v>3.2694444444444448</v>
      </c>
      <c r="K23">
        <v>20</v>
      </c>
      <c r="L23">
        <v>1</v>
      </c>
      <c r="M23">
        <v>0</v>
      </c>
      <c r="O23">
        <f t="shared" si="2"/>
        <v>3.9805555555555561</v>
      </c>
    </row>
    <row r="24" spans="1:15" x14ac:dyDescent="0.25">
      <c r="A24" t="s">
        <v>38</v>
      </c>
      <c r="B24" t="s">
        <v>18</v>
      </c>
      <c r="C24" t="b">
        <v>1</v>
      </c>
      <c r="F24">
        <v>0.32500000000000001</v>
      </c>
      <c r="G24">
        <v>0.3</v>
      </c>
      <c r="H24">
        <v>0.27500000000000002</v>
      </c>
      <c r="I24">
        <f t="shared" si="1"/>
        <v>7.7555555555555558E-2</v>
      </c>
      <c r="K24">
        <v>0.35</v>
      </c>
      <c r="L24">
        <v>1</v>
      </c>
      <c r="M24">
        <v>0</v>
      </c>
      <c r="O24">
        <f t="shared" si="2"/>
        <v>0.09</v>
      </c>
    </row>
    <row r="25" spans="1:15" x14ac:dyDescent="0.25">
      <c r="A25" t="s">
        <v>39</v>
      </c>
      <c r="B25" t="s">
        <v>18</v>
      </c>
      <c r="C25" t="b">
        <v>1</v>
      </c>
      <c r="F25">
        <v>0.52500000000000002</v>
      </c>
      <c r="G25">
        <v>0.67500000000000004</v>
      </c>
      <c r="H25">
        <v>0.67500000000000004</v>
      </c>
      <c r="I25">
        <f t="shared" si="1"/>
        <v>0.1675416666666667</v>
      </c>
      <c r="K25">
        <v>0.55000000000000004</v>
      </c>
      <c r="L25">
        <v>1</v>
      </c>
      <c r="M25">
        <v>0</v>
      </c>
      <c r="O25">
        <f t="shared" si="2"/>
        <v>0.18709722222222225</v>
      </c>
    </row>
    <row r="26" spans="1:15" x14ac:dyDescent="0.25">
      <c r="A26" t="s">
        <v>40</v>
      </c>
      <c r="B26" t="s">
        <v>18</v>
      </c>
      <c r="C26" t="b">
        <v>1</v>
      </c>
      <c r="F26">
        <v>0.03</v>
      </c>
      <c r="G26">
        <v>5.5E-2</v>
      </c>
      <c r="H26">
        <v>0.05</v>
      </c>
      <c r="I26">
        <f t="shared" si="1"/>
        <v>1.2541666666666666E-2</v>
      </c>
      <c r="K26">
        <v>0.1</v>
      </c>
      <c r="L26">
        <v>1</v>
      </c>
      <c r="M26">
        <v>0</v>
      </c>
      <c r="O26">
        <f t="shared" si="2"/>
        <v>1.6097222222222221E-2</v>
      </c>
    </row>
    <row r="27" spans="1:15" x14ac:dyDescent="0.25">
      <c r="A27" t="s">
        <v>41</v>
      </c>
      <c r="B27" t="s">
        <v>18</v>
      </c>
      <c r="C27" t="b">
        <v>1</v>
      </c>
      <c r="F27">
        <v>0.115</v>
      </c>
      <c r="G27">
        <v>0.115</v>
      </c>
      <c r="H27">
        <v>0.115</v>
      </c>
      <c r="I27">
        <f t="shared" si="1"/>
        <v>2.9963888888888887E-2</v>
      </c>
      <c r="K27">
        <v>0.15</v>
      </c>
      <c r="L27">
        <v>1</v>
      </c>
      <c r="M27">
        <v>0</v>
      </c>
      <c r="O27">
        <f t="shared" si="2"/>
        <v>3.5297222222222223E-2</v>
      </c>
    </row>
    <row r="28" spans="1:15" x14ac:dyDescent="0.25">
      <c r="A28" t="s">
        <v>42</v>
      </c>
      <c r="B28" t="s">
        <v>18</v>
      </c>
      <c r="C28" t="b">
        <v>1</v>
      </c>
      <c r="F28">
        <v>0.4</v>
      </c>
      <c r="G28">
        <v>0.4</v>
      </c>
      <c r="H28">
        <v>0.27500000000000002</v>
      </c>
      <c r="I28">
        <f t="shared" si="1"/>
        <v>9.4222222222222235E-2</v>
      </c>
      <c r="K28">
        <v>0.35</v>
      </c>
      <c r="L28">
        <v>1</v>
      </c>
      <c r="M28">
        <v>0</v>
      </c>
      <c r="O28">
        <f t="shared" si="2"/>
        <v>0.10666666666666669</v>
      </c>
    </row>
    <row r="29" spans="1:15" x14ac:dyDescent="0.25">
      <c r="A29" t="s">
        <v>43</v>
      </c>
      <c r="B29" t="s">
        <v>18</v>
      </c>
      <c r="C29" t="b">
        <v>1</v>
      </c>
      <c r="F29">
        <v>1.4999999999999999E-4</v>
      </c>
      <c r="G29">
        <v>1.4999999999999999E-4</v>
      </c>
      <c r="H29">
        <v>2.7500000000000002E-4</v>
      </c>
      <c r="I29">
        <f t="shared" si="1"/>
        <v>4.9083333333333338E-5</v>
      </c>
      <c r="K29">
        <v>2.0000000000000001E-4</v>
      </c>
      <c r="L29">
        <v>1</v>
      </c>
      <c r="M29">
        <v>0</v>
      </c>
      <c r="O29">
        <f t="shared" si="2"/>
        <v>5.6194444444444448E-5</v>
      </c>
    </row>
    <row r="30" spans="1:15" x14ac:dyDescent="0.25">
      <c r="A30" t="s">
        <v>44</v>
      </c>
      <c r="B30" t="s">
        <v>18</v>
      </c>
      <c r="C30" t="b">
        <v>1</v>
      </c>
      <c r="F30">
        <v>500</v>
      </c>
      <c r="H30">
        <v>27.5</v>
      </c>
      <c r="I30">
        <f t="shared" si="1"/>
        <v>29.977777777777774</v>
      </c>
      <c r="K30">
        <v>375</v>
      </c>
      <c r="L30">
        <v>1</v>
      </c>
      <c r="M30">
        <v>0</v>
      </c>
      <c r="O30">
        <f t="shared" si="2"/>
        <v>43.31111111111111</v>
      </c>
    </row>
    <row r="31" spans="1:15" x14ac:dyDescent="0.25">
      <c r="A31" t="s">
        <v>45</v>
      </c>
      <c r="B31" t="s">
        <v>18</v>
      </c>
      <c r="C31" t="b">
        <v>1</v>
      </c>
      <c r="F31">
        <v>32.9</v>
      </c>
      <c r="G31">
        <v>32.9</v>
      </c>
      <c r="H31">
        <v>22.5</v>
      </c>
      <c r="I31">
        <f t="shared" si="1"/>
        <v>7.7402777777777771</v>
      </c>
      <c r="K31">
        <v>35</v>
      </c>
      <c r="L31">
        <v>1</v>
      </c>
      <c r="M31">
        <v>0</v>
      </c>
      <c r="O31">
        <f t="shared" si="2"/>
        <v>8.9847222222222225</v>
      </c>
    </row>
    <row r="32" spans="1:15" x14ac:dyDescent="0.25">
      <c r="A32" t="s">
        <v>46</v>
      </c>
      <c r="B32" t="s">
        <v>18</v>
      </c>
      <c r="C32" t="b">
        <v>1</v>
      </c>
      <c r="F32">
        <v>13.45</v>
      </c>
      <c r="G32">
        <v>13.45</v>
      </c>
      <c r="H32">
        <v>10.515000000000001</v>
      </c>
      <c r="I32">
        <f t="shared" si="1"/>
        <v>3.2696722222222223</v>
      </c>
      <c r="K32">
        <v>17.5</v>
      </c>
      <c r="L32">
        <v>1</v>
      </c>
      <c r="M32">
        <v>0</v>
      </c>
      <c r="O32">
        <f t="shared" si="2"/>
        <v>3.8918944444444445</v>
      </c>
    </row>
    <row r="33" spans="1:15" x14ac:dyDescent="0.25">
      <c r="A33" t="s">
        <v>47</v>
      </c>
      <c r="B33" t="s">
        <v>18</v>
      </c>
      <c r="C33" t="b">
        <v>1</v>
      </c>
      <c r="F33">
        <v>30</v>
      </c>
      <c r="G33">
        <v>30</v>
      </c>
      <c r="H33">
        <v>13.5</v>
      </c>
      <c r="I33">
        <f t="shared" si="1"/>
        <v>6.4966666666666661</v>
      </c>
      <c r="K33">
        <v>12.5</v>
      </c>
      <c r="L33">
        <v>1</v>
      </c>
      <c r="M33">
        <v>0</v>
      </c>
      <c r="O33">
        <f t="shared" si="2"/>
        <v>6.9411111111111108</v>
      </c>
    </row>
    <row r="34" spans="1:15" x14ac:dyDescent="0.25">
      <c r="A34" t="s">
        <v>48</v>
      </c>
      <c r="B34" t="s">
        <v>18</v>
      </c>
      <c r="C34" t="b">
        <v>1</v>
      </c>
      <c r="F34">
        <v>100</v>
      </c>
      <c r="G34">
        <v>100</v>
      </c>
      <c r="H34">
        <v>110</v>
      </c>
      <c r="I34">
        <f t="shared" si="1"/>
        <v>26.855555555555558</v>
      </c>
      <c r="K34">
        <v>105</v>
      </c>
      <c r="L34">
        <v>1</v>
      </c>
      <c r="M34">
        <v>0</v>
      </c>
      <c r="O34">
        <f t="shared" si="2"/>
        <v>30.588888888888892</v>
      </c>
    </row>
    <row r="35" spans="1:15" x14ac:dyDescent="0.25">
      <c r="A35" t="s">
        <v>49</v>
      </c>
      <c r="B35" t="s">
        <v>18</v>
      </c>
      <c r="C35" t="b">
        <v>0</v>
      </c>
      <c r="F35">
        <v>11.35</v>
      </c>
      <c r="G35">
        <v>11.35</v>
      </c>
      <c r="H35">
        <v>12.5</v>
      </c>
      <c r="I35">
        <f t="shared" si="1"/>
        <v>3.0493055555555557</v>
      </c>
      <c r="K35">
        <v>10</v>
      </c>
      <c r="L35">
        <v>1</v>
      </c>
      <c r="M35">
        <v>0</v>
      </c>
      <c r="O35">
        <f t="shared" si="2"/>
        <v>3.4048611111111113</v>
      </c>
    </row>
    <row r="36" spans="1:15" x14ac:dyDescent="0.25">
      <c r="A36" t="s">
        <v>50</v>
      </c>
      <c r="B36" t="s">
        <v>18</v>
      </c>
      <c r="C36" t="b">
        <v>0</v>
      </c>
      <c r="F36">
        <v>165</v>
      </c>
      <c r="G36">
        <v>165</v>
      </c>
      <c r="H36">
        <v>80</v>
      </c>
      <c r="I36">
        <f t="shared" si="1"/>
        <v>36.191666666666663</v>
      </c>
      <c r="K36">
        <v>100</v>
      </c>
      <c r="L36">
        <v>1</v>
      </c>
      <c r="M36">
        <v>0</v>
      </c>
      <c r="O36">
        <f t="shared" si="2"/>
        <v>39.74722222222222</v>
      </c>
    </row>
    <row r="37" spans="1:15" x14ac:dyDescent="0.25">
      <c r="A37" t="s">
        <v>51</v>
      </c>
      <c r="B37" t="s">
        <v>18</v>
      </c>
      <c r="C37" t="b">
        <v>0</v>
      </c>
      <c r="F37">
        <v>1300</v>
      </c>
      <c r="G37">
        <v>1300</v>
      </c>
      <c r="H37">
        <v>1750</v>
      </c>
      <c r="I37">
        <f t="shared" si="1"/>
        <v>374.72222222222223</v>
      </c>
      <c r="K37">
        <v>2500</v>
      </c>
      <c r="L37">
        <v>1</v>
      </c>
      <c r="M37">
        <v>0</v>
      </c>
      <c r="O37">
        <f t="shared" si="2"/>
        <v>463.61111111111114</v>
      </c>
    </row>
    <row r="38" spans="1:15" x14ac:dyDescent="0.25">
      <c r="A38" t="s">
        <v>52</v>
      </c>
      <c r="B38" t="s">
        <v>18</v>
      </c>
      <c r="C38" t="b">
        <v>0</v>
      </c>
      <c r="F38">
        <v>350</v>
      </c>
      <c r="G38">
        <v>0</v>
      </c>
      <c r="H38">
        <v>900</v>
      </c>
      <c r="I38">
        <f t="shared" si="1"/>
        <v>91.444444444444443</v>
      </c>
      <c r="K38">
        <v>750</v>
      </c>
      <c r="L38">
        <v>1</v>
      </c>
      <c r="M38">
        <v>0</v>
      </c>
      <c r="O38">
        <f t="shared" si="2"/>
        <v>118.11111111111111</v>
      </c>
    </row>
    <row r="39" spans="1:15" x14ac:dyDescent="0.25">
      <c r="A39" t="s">
        <v>53</v>
      </c>
      <c r="B39" t="s">
        <v>18</v>
      </c>
      <c r="C39" t="b">
        <v>0</v>
      </c>
      <c r="F39">
        <v>750</v>
      </c>
      <c r="G39">
        <v>0</v>
      </c>
      <c r="H39">
        <v>1500</v>
      </c>
      <c r="I39">
        <f t="shared" si="1"/>
        <v>161.66666666666666</v>
      </c>
      <c r="K39">
        <v>2600</v>
      </c>
      <c r="L39">
        <v>1</v>
      </c>
      <c r="M39">
        <v>0</v>
      </c>
      <c r="O39">
        <f t="shared" si="2"/>
        <v>254.11111111111111</v>
      </c>
    </row>
    <row r="40" spans="1:15" x14ac:dyDescent="0.25">
      <c r="A40" t="s">
        <v>54</v>
      </c>
      <c r="B40" t="s">
        <v>18</v>
      </c>
      <c r="C40" t="b">
        <v>0</v>
      </c>
      <c r="F40">
        <v>325</v>
      </c>
      <c r="G40">
        <v>0</v>
      </c>
      <c r="H40">
        <v>175</v>
      </c>
      <c r="I40">
        <f t="shared" si="1"/>
        <v>32.055555555555557</v>
      </c>
      <c r="K40">
        <v>55</v>
      </c>
      <c r="L40">
        <v>1</v>
      </c>
      <c r="M40">
        <v>0</v>
      </c>
      <c r="O40">
        <f t="shared" si="2"/>
        <v>34.011111111111113</v>
      </c>
    </row>
    <row r="41" spans="1:15" x14ac:dyDescent="0.25">
      <c r="A41" t="s">
        <v>55</v>
      </c>
      <c r="B41" t="s">
        <v>18</v>
      </c>
      <c r="C41" t="b">
        <v>0</v>
      </c>
      <c r="F41">
        <v>1250</v>
      </c>
      <c r="G41">
        <v>0</v>
      </c>
      <c r="H41">
        <v>1100</v>
      </c>
      <c r="I41">
        <f t="shared" si="1"/>
        <v>157.44444444444446</v>
      </c>
      <c r="K41">
        <v>1850</v>
      </c>
      <c r="L41">
        <v>1</v>
      </c>
      <c r="M41">
        <v>0</v>
      </c>
      <c r="O41">
        <f t="shared" si="2"/>
        <v>223.22222222222223</v>
      </c>
    </row>
    <row r="42" spans="1:15" x14ac:dyDescent="0.25">
      <c r="A42" t="s">
        <v>56</v>
      </c>
      <c r="B42" t="s">
        <v>18</v>
      </c>
      <c r="C42" t="b">
        <v>0</v>
      </c>
      <c r="F42">
        <v>2</v>
      </c>
      <c r="G42">
        <v>2</v>
      </c>
      <c r="H42">
        <v>2</v>
      </c>
      <c r="I42">
        <v>2</v>
      </c>
      <c r="K42">
        <v>2</v>
      </c>
      <c r="L42">
        <v>2</v>
      </c>
      <c r="M42">
        <v>0</v>
      </c>
      <c r="O42">
        <v>1.621621621621621</v>
      </c>
    </row>
    <row r="43" spans="1:15" x14ac:dyDescent="0.25">
      <c r="A43" t="s">
        <v>57</v>
      </c>
      <c r="C43" t="b">
        <v>1</v>
      </c>
      <c r="F43">
        <f>F42*F2</f>
        <v>0.5</v>
      </c>
      <c r="G43">
        <f t="shared" ref="G43:H43" si="3">G42*G2</f>
        <v>0.75</v>
      </c>
      <c r="H43">
        <f t="shared" si="3"/>
        <v>0.6</v>
      </c>
      <c r="I43">
        <v>1.85</v>
      </c>
      <c r="K43">
        <f>K42*K2</f>
        <v>0.4</v>
      </c>
      <c r="L43">
        <f>L42*L2</f>
        <v>0</v>
      </c>
      <c r="M43">
        <v>0</v>
      </c>
      <c r="O43">
        <f>SUM(F43:H43,K43:L43)</f>
        <v>2.25</v>
      </c>
    </row>
    <row r="44" spans="1:15" x14ac:dyDescent="0.25">
      <c r="A44" t="s">
        <v>58</v>
      </c>
      <c r="C44" t="b">
        <v>1</v>
      </c>
      <c r="F44">
        <v>0.4</v>
      </c>
      <c r="G44">
        <v>0.4</v>
      </c>
      <c r="H44">
        <v>1.5</v>
      </c>
      <c r="I44">
        <v>0.98499999999999999</v>
      </c>
      <c r="O44">
        <v>0.32432432432432429</v>
      </c>
    </row>
    <row r="45" spans="1:15" x14ac:dyDescent="0.25">
      <c r="A45" t="s">
        <v>59</v>
      </c>
      <c r="B45" t="s">
        <v>60</v>
      </c>
      <c r="C45" t="b">
        <v>1</v>
      </c>
      <c r="F45">
        <v>0.8</v>
      </c>
      <c r="G45">
        <v>0.8</v>
      </c>
      <c r="H45">
        <v>2</v>
      </c>
      <c r="I45">
        <v>1.7</v>
      </c>
      <c r="O45">
        <v>0.64864864864864857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Hawkins, James (ILRI)</cp:lastModifiedBy>
  <dcterms:created xsi:type="dcterms:W3CDTF">2026-06-04T01:55:28Z</dcterms:created>
  <dcterms:modified xsi:type="dcterms:W3CDTF">2026-06-04T02:10:03Z</dcterms:modified>
</cp:coreProperties>
</file>