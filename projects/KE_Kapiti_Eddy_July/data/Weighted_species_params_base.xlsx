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Hawkins\Documents\Github\Soil.C.modelling\Kapiti.soil.C\projects\KE_Kapiti_Eddy_July\data\"/>
    </mc:Choice>
  </mc:AlternateContent>
  <xr:revisionPtr revIDLastSave="0" documentId="13_ncr:1_{39845E78-D84A-4577-AB29-4CDF79A9976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2" i="1" l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6" i="1"/>
  <c r="M5" i="1"/>
  <c r="O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5" i="1"/>
  <c r="H4" i="1"/>
  <c r="F4" i="1"/>
  <c r="O44" i="1"/>
  <c r="F3" i="1" s="1"/>
  <c r="M44" i="1"/>
  <c r="F44" i="1"/>
  <c r="M43" i="1"/>
  <c r="I4" i="1"/>
  <c r="L4" i="1"/>
  <c r="K4" i="1"/>
  <c r="M4" i="1" s="1"/>
  <c r="G4" i="1"/>
  <c r="L3" i="1"/>
  <c r="L44" i="1"/>
  <c r="K44" i="1"/>
  <c r="G44" i="1"/>
  <c r="H44" i="1"/>
  <c r="K3" i="1" l="1"/>
  <c r="M3" i="1" s="1"/>
  <c r="H3" i="1"/>
  <c r="O32" i="1" s="1"/>
  <c r="G3" i="1"/>
  <c r="I3" i="1" s="1"/>
  <c r="O6" i="1"/>
  <c r="O31" i="1"/>
  <c r="O7" i="1"/>
  <c r="O8" i="1"/>
  <c r="O30" i="1"/>
  <c r="O9" i="1"/>
  <c r="O10" i="1"/>
  <c r="O11" i="1"/>
  <c r="O12" i="1"/>
  <c r="O13" i="1"/>
  <c r="O14" i="1"/>
  <c r="O34" i="1"/>
  <c r="O19" i="1"/>
  <c r="O35" i="1"/>
  <c r="O20" i="1"/>
  <c r="O36" i="1"/>
  <c r="O21" i="1"/>
  <c r="O37" i="1"/>
  <c r="O22" i="1"/>
  <c r="O38" i="1"/>
  <c r="O23" i="1"/>
  <c r="O39" i="1"/>
  <c r="O24" i="1"/>
  <c r="O42" i="1"/>
  <c r="O27" i="1"/>
  <c r="O28" i="1"/>
  <c r="O29" i="1"/>
  <c r="O17" i="1"/>
  <c r="O18" i="1"/>
  <c r="O26" i="1" l="1"/>
  <c r="O33" i="1"/>
  <c r="O25" i="1"/>
  <c r="O16" i="1"/>
  <c r="O3" i="1"/>
  <c r="O41" i="1"/>
  <c r="O40" i="1"/>
  <c r="O15" i="1"/>
</calcChain>
</file>

<file path=xl/sharedStrings.xml><?xml version="1.0" encoding="utf-8"?>
<sst xmlns="http://schemas.openxmlformats.org/spreadsheetml/2006/main" count="101" uniqueCount="63">
  <si>
    <t>code</t>
  </si>
  <si>
    <t>category</t>
  </si>
  <si>
    <t>include.xml</t>
  </si>
  <si>
    <t>xml.file</t>
  </si>
  <si>
    <t>bare.ground</t>
  </si>
  <si>
    <t>cynodon_dactylon</t>
  </si>
  <si>
    <t>cenchrus_mezianum</t>
  </si>
  <si>
    <t>themeda_triandra</t>
  </si>
  <si>
    <t>HYBRID.GRASS</t>
  </si>
  <si>
    <t>Unnamed: 9</t>
  </si>
  <si>
    <t>indigofera_volkensii</t>
  </si>
  <si>
    <t>tephrosia</t>
  </si>
  <si>
    <t>HYBRID.FORB</t>
  </si>
  <si>
    <t>Unnamed: 13</t>
  </si>
  <si>
    <t>HYBRID.ALL</t>
  </si>
  <si>
    <t>fractionalcover</t>
  </si>
  <si>
    <t>KO25</t>
  </si>
  <si>
    <t>species</t>
  </si>
  <si>
    <t>KM20</t>
  </si>
  <si>
    <t>VCMAX</t>
  </si>
  <si>
    <t>AEJM</t>
  </si>
  <si>
    <t>AEKC</t>
  </si>
  <si>
    <t>AEKO</t>
  </si>
  <si>
    <t>AERD</t>
  </si>
  <si>
    <t>AEVC</t>
  </si>
  <si>
    <t>AEVO</t>
  </si>
  <si>
    <t>KC25</t>
  </si>
  <si>
    <t>THETA</t>
  </si>
  <si>
    <t>QJVC</t>
  </si>
  <si>
    <t>QRD25</t>
  </si>
  <si>
    <t>WUECMAX</t>
  </si>
  <si>
    <t>WUECMIN</t>
  </si>
  <si>
    <t>H2OREF_A</t>
  </si>
  <si>
    <t>H2OREF_SENESCENCE</t>
  </si>
  <si>
    <t>H2OREF_GS</t>
  </si>
  <si>
    <t>GSMAX</t>
  </si>
  <si>
    <t>GSMIN</t>
  </si>
  <si>
    <t>FRACTION_FOLIAGE</t>
  </si>
  <si>
    <t>FRACTION_ROOT</t>
  </si>
  <si>
    <t>FRACTION_FRUIT,</t>
  </si>
  <si>
    <t>FOLRELGROMAX</t>
  </si>
  <si>
    <t>MFOLOPT</t>
  </si>
  <si>
    <t>MWFM</t>
  </si>
  <si>
    <t>AMX25</t>
  </si>
  <si>
    <t>SLAMAX</t>
  </si>
  <si>
    <t>SLAMIN</t>
  </si>
  <si>
    <t>NDFLUSH</t>
  </si>
  <si>
    <t>NDMORTA</t>
  </si>
  <si>
    <t>GDD_BASE_TEMPERATURE</t>
  </si>
  <si>
    <t>GDD_EMERG</t>
  </si>
  <si>
    <t>GDD_MATURITY</t>
  </si>
  <si>
    <t>GDD_STEM_ELONGATION</t>
  </si>
  <si>
    <t>GDD_ROOTS_GROWN</t>
  </si>
  <si>
    <t>GDDFOLSTART</t>
  </si>
  <si>
    <t>GDDFOLEND</t>
  </si>
  <si>
    <t>biomass.yield.Mg.ha.yr</t>
  </si>
  <si>
    <t>initialbiomass</t>
  </si>
  <si>
    <t>heightmax</t>
  </si>
  <si>
    <t>rootingdepth</t>
  </si>
  <si>
    <t>event</t>
  </si>
  <si>
    <t>weight.all</t>
  </si>
  <si>
    <t>weight.ft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</si>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</sst>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workbookViewId="0">
      <selection activeCell="L7" sqref="L7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b">
        <v>0</v>
      </c>
      <c r="E2">
        <v>7.4999999999999956E-2</v>
      </c>
      <c r="F2">
        <v>0.25</v>
      </c>
      <c r="G2">
        <v>0.375</v>
      </c>
      <c r="H2">
        <v>0.3</v>
      </c>
      <c r="I2">
        <v>0.92500000000000004</v>
      </c>
      <c r="K2">
        <v>0.2</v>
      </c>
      <c r="L2">
        <v>0</v>
      </c>
      <c r="M2">
        <v>0</v>
      </c>
      <c r="O2">
        <v>0.92500000000000004</v>
      </c>
    </row>
    <row r="3" spans="1:15" x14ac:dyDescent="0.25">
      <c r="A3" t="s">
        <v>60</v>
      </c>
      <c r="C3" t="b">
        <v>0</v>
      </c>
      <c r="E3">
        <v>0</v>
      </c>
      <c r="F3" s="1">
        <f>F44/$O$44</f>
        <v>0.22222222222222221</v>
      </c>
      <c r="G3" s="1">
        <f t="shared" ref="G3:H3" si="0">G44/$O$44</f>
        <v>0.33333333333333331</v>
      </c>
      <c r="H3" s="1">
        <f t="shared" si="0"/>
        <v>0.26666666666666666</v>
      </c>
      <c r="I3" s="1">
        <f>SUM(F3:H3)</f>
        <v>0.82222222222222219</v>
      </c>
      <c r="K3">
        <f>K44/$O$44</f>
        <v>0.17777777777777778</v>
      </c>
      <c r="L3">
        <f>L44/$O$44</f>
        <v>0</v>
      </c>
      <c r="M3">
        <f>SUM(K3:L3)</f>
        <v>0.17777777777777778</v>
      </c>
      <c r="O3" s="1">
        <f>SUM(M3,I3)</f>
        <v>1</v>
      </c>
    </row>
    <row r="4" spans="1:15" x14ac:dyDescent="0.25">
      <c r="A4" t="s">
        <v>61</v>
      </c>
      <c r="F4" s="1">
        <f>F44/$I$44</f>
        <v>0.27027027027027023</v>
      </c>
      <c r="G4" s="1">
        <f t="shared" ref="G4:H4" si="1">G44/$I$44</f>
        <v>0.40540540540540537</v>
      </c>
      <c r="H4" s="1">
        <f>H44/$I$44</f>
        <v>0.32432432432432429</v>
      </c>
      <c r="I4" s="1">
        <f>SUM(F4:H4)</f>
        <v>1</v>
      </c>
      <c r="K4">
        <f>K44/$M$44</f>
        <v>1</v>
      </c>
      <c r="L4">
        <f>L44/$M$44</f>
        <v>0</v>
      </c>
      <c r="M4">
        <f>SUM(K4:L4)</f>
        <v>1</v>
      </c>
      <c r="O4" t="s">
        <v>62</v>
      </c>
    </row>
    <row r="5" spans="1:15" x14ac:dyDescent="0.25">
      <c r="A5" t="s">
        <v>16</v>
      </c>
      <c r="B5" t="s">
        <v>17</v>
      </c>
      <c r="C5" t="b">
        <v>1</v>
      </c>
      <c r="F5">
        <v>375</v>
      </c>
      <c r="G5">
        <v>375</v>
      </c>
      <c r="H5">
        <v>375</v>
      </c>
      <c r="I5">
        <f>F5*F$4+G5*G$4+H5*H$4</f>
        <v>374.99999999999994</v>
      </c>
      <c r="K5">
        <v>255</v>
      </c>
      <c r="L5">
        <v>1</v>
      </c>
      <c r="M5">
        <f>K5*K$4+L5*L$4</f>
        <v>255</v>
      </c>
      <c r="O5">
        <f>F5*F$3+G5*G$3+H5*H$3 + K5*K$3+L5*L$3</f>
        <v>353.66666666666663</v>
      </c>
    </row>
    <row r="6" spans="1:15" x14ac:dyDescent="0.25">
      <c r="A6" t="s">
        <v>18</v>
      </c>
      <c r="B6" t="s">
        <v>17</v>
      </c>
      <c r="C6" t="b">
        <v>1</v>
      </c>
      <c r="F6">
        <v>1.2500000000000001E-2</v>
      </c>
      <c r="G6">
        <v>0.02</v>
      </c>
      <c r="H6">
        <v>0.02</v>
      </c>
      <c r="I6">
        <f>F6*F$4+G6*G$4+H6*H$4</f>
        <v>1.797297297297297E-2</v>
      </c>
      <c r="K6">
        <v>1.7500000000000002E-2</v>
      </c>
      <c r="L6">
        <v>1</v>
      </c>
      <c r="M6">
        <f>K6*K$4+L6*L$4</f>
        <v>1.7500000000000002E-2</v>
      </c>
      <c r="O6">
        <f t="shared" ref="O6:O42" si="2">F6*F$3+G6*G$3+H6*H$3 + K6*K$3+L6*L$3</f>
        <v>1.7888888888888892E-2</v>
      </c>
    </row>
    <row r="7" spans="1:15" x14ac:dyDescent="0.25">
      <c r="A7" t="s">
        <v>19</v>
      </c>
      <c r="B7" t="s">
        <v>17</v>
      </c>
      <c r="C7" t="b">
        <v>1</v>
      </c>
      <c r="F7">
        <v>43.25</v>
      </c>
      <c r="G7">
        <v>80</v>
      </c>
      <c r="H7">
        <v>40</v>
      </c>
      <c r="I7">
        <f t="shared" ref="I6:I42" si="3">F7*F$4+G7*G$4+H7*H$4</f>
        <v>57.094594594594582</v>
      </c>
      <c r="K7">
        <v>95</v>
      </c>
      <c r="L7">
        <v>1</v>
      </c>
      <c r="M7">
        <f t="shared" ref="M7:M42" si="4">K7*K$4+L7*L$4</f>
        <v>95</v>
      </c>
      <c r="O7">
        <f t="shared" si="2"/>
        <v>63.833333333333329</v>
      </c>
    </row>
    <row r="8" spans="1:15" x14ac:dyDescent="0.25">
      <c r="A8" t="s">
        <v>20</v>
      </c>
      <c r="B8" t="s">
        <v>17</v>
      </c>
      <c r="C8" t="b">
        <v>1</v>
      </c>
      <c r="F8">
        <v>61450</v>
      </c>
      <c r="G8">
        <v>78700</v>
      </c>
      <c r="H8">
        <v>57450</v>
      </c>
      <c r="I8">
        <f t="shared" si="3"/>
        <v>67145.945945945932</v>
      </c>
      <c r="K8">
        <v>43500</v>
      </c>
      <c r="L8">
        <v>1</v>
      </c>
      <c r="M8">
        <f t="shared" si="4"/>
        <v>43500</v>
      </c>
      <c r="O8">
        <f t="shared" si="2"/>
        <v>62942.222222222226</v>
      </c>
    </row>
    <row r="9" spans="1:15" x14ac:dyDescent="0.25">
      <c r="A9" t="s">
        <v>21</v>
      </c>
      <c r="B9" t="s">
        <v>17</v>
      </c>
      <c r="C9" t="b">
        <v>1</v>
      </c>
      <c r="F9">
        <v>71815</v>
      </c>
      <c r="G9">
        <v>71815</v>
      </c>
      <c r="H9">
        <v>57865</v>
      </c>
      <c r="I9">
        <f t="shared" si="3"/>
        <v>67290.675675675666</v>
      </c>
      <c r="K9">
        <v>72500</v>
      </c>
      <c r="L9">
        <v>1</v>
      </c>
      <c r="M9">
        <f t="shared" si="4"/>
        <v>72500</v>
      </c>
      <c r="O9">
        <f t="shared" si="2"/>
        <v>68216.777777777766</v>
      </c>
    </row>
    <row r="10" spans="1:15" x14ac:dyDescent="0.25">
      <c r="A10" t="s">
        <v>22</v>
      </c>
      <c r="B10" t="s">
        <v>17</v>
      </c>
      <c r="C10" t="b">
        <v>1</v>
      </c>
      <c r="F10">
        <v>23440</v>
      </c>
      <c r="G10">
        <v>45850</v>
      </c>
      <c r="H10">
        <v>45850</v>
      </c>
      <c r="I10">
        <f t="shared" si="3"/>
        <v>39793.24324324324</v>
      </c>
      <c r="K10">
        <v>37500</v>
      </c>
      <c r="L10">
        <v>1</v>
      </c>
      <c r="M10">
        <f t="shared" si="4"/>
        <v>37500</v>
      </c>
      <c r="O10">
        <f t="shared" si="2"/>
        <v>39385.555555555547</v>
      </c>
    </row>
    <row r="11" spans="1:15" x14ac:dyDescent="0.25">
      <c r="A11" t="s">
        <v>23</v>
      </c>
      <c r="B11" t="s">
        <v>17</v>
      </c>
      <c r="C11" t="b">
        <v>1</v>
      </c>
      <c r="F11">
        <v>49845</v>
      </c>
      <c r="G11">
        <v>54900</v>
      </c>
      <c r="H11">
        <v>54900</v>
      </c>
      <c r="I11">
        <f t="shared" si="3"/>
        <v>53533.783783783772</v>
      </c>
      <c r="K11">
        <v>50000</v>
      </c>
      <c r="L11">
        <v>1</v>
      </c>
      <c r="M11">
        <f t="shared" si="4"/>
        <v>50000</v>
      </c>
      <c r="O11">
        <f t="shared" si="2"/>
        <v>52905.555555555555</v>
      </c>
    </row>
    <row r="12" spans="1:15" x14ac:dyDescent="0.25">
      <c r="A12" t="s">
        <v>24</v>
      </c>
      <c r="B12" t="s">
        <v>17</v>
      </c>
      <c r="C12" t="b">
        <v>1</v>
      </c>
      <c r="F12">
        <v>64050</v>
      </c>
      <c r="G12">
        <v>71715</v>
      </c>
      <c r="H12">
        <v>71715</v>
      </c>
      <c r="I12">
        <f t="shared" si="3"/>
        <v>69643.378378378373</v>
      </c>
      <c r="K12">
        <v>67500</v>
      </c>
      <c r="L12">
        <v>1</v>
      </c>
      <c r="M12">
        <f t="shared" si="4"/>
        <v>67500</v>
      </c>
      <c r="O12">
        <f t="shared" si="2"/>
        <v>69262.333333333328</v>
      </c>
    </row>
    <row r="13" spans="1:15" x14ac:dyDescent="0.25">
      <c r="A13" t="s">
        <v>25</v>
      </c>
      <c r="B13" t="s">
        <v>17</v>
      </c>
      <c r="C13" t="b">
        <v>1</v>
      </c>
      <c r="F13">
        <v>37530</v>
      </c>
      <c r="G13">
        <v>38445</v>
      </c>
      <c r="H13">
        <v>38445</v>
      </c>
      <c r="I13">
        <f t="shared" si="3"/>
        <v>38197.7027027027</v>
      </c>
      <c r="K13">
        <v>42500</v>
      </c>
      <c r="L13">
        <v>1</v>
      </c>
      <c r="M13">
        <f t="shared" si="4"/>
        <v>42500</v>
      </c>
      <c r="O13">
        <f t="shared" si="2"/>
        <v>38962.555555555555</v>
      </c>
    </row>
    <row r="14" spans="1:15" x14ac:dyDescent="0.25">
      <c r="A14" t="s">
        <v>26</v>
      </c>
      <c r="B14" t="s">
        <v>17</v>
      </c>
      <c r="C14" t="b">
        <v>1</v>
      </c>
      <c r="F14">
        <v>918</v>
      </c>
      <c r="G14">
        <v>918</v>
      </c>
      <c r="H14">
        <v>533.79999999999995</v>
      </c>
      <c r="I14">
        <f t="shared" si="3"/>
        <v>793.39459459459454</v>
      </c>
      <c r="K14">
        <v>400</v>
      </c>
      <c r="L14">
        <v>1</v>
      </c>
      <c r="M14">
        <f t="shared" si="4"/>
        <v>400</v>
      </c>
      <c r="O14">
        <f t="shared" si="2"/>
        <v>723.45777777777778</v>
      </c>
    </row>
    <row r="15" spans="1:15" x14ac:dyDescent="0.25">
      <c r="A15" t="s">
        <v>27</v>
      </c>
      <c r="B15" t="s">
        <v>17</v>
      </c>
      <c r="C15" t="b">
        <v>1</v>
      </c>
      <c r="F15">
        <v>0.77500000000000002</v>
      </c>
      <c r="G15">
        <v>0.75</v>
      </c>
      <c r="H15">
        <v>0.81499999999999995</v>
      </c>
      <c r="I15">
        <f t="shared" si="3"/>
        <v>0.77783783783783778</v>
      </c>
      <c r="K15">
        <v>0.8</v>
      </c>
      <c r="L15">
        <v>1</v>
      </c>
      <c r="M15">
        <f t="shared" si="4"/>
        <v>0.8</v>
      </c>
      <c r="O15">
        <f t="shared" si="2"/>
        <v>0.78177777777777779</v>
      </c>
    </row>
    <row r="16" spans="1:15" x14ac:dyDescent="0.25">
      <c r="A16" t="s">
        <v>28</v>
      </c>
      <c r="B16" t="s">
        <v>17</v>
      </c>
      <c r="C16" t="b">
        <v>1</v>
      </c>
      <c r="F16">
        <v>3.05</v>
      </c>
      <c r="G16">
        <v>3.05</v>
      </c>
      <c r="H16">
        <v>3.4750000000000001</v>
      </c>
      <c r="I16">
        <f t="shared" si="3"/>
        <v>3.1878378378378374</v>
      </c>
      <c r="K16">
        <v>1.75</v>
      </c>
      <c r="L16">
        <v>1</v>
      </c>
      <c r="M16">
        <f t="shared" si="4"/>
        <v>1.75</v>
      </c>
      <c r="O16">
        <f t="shared" si="2"/>
        <v>2.9322222222222223</v>
      </c>
    </row>
    <row r="17" spans="1:15" x14ac:dyDescent="0.25">
      <c r="A17" t="s">
        <v>29</v>
      </c>
      <c r="B17" t="s">
        <v>17</v>
      </c>
      <c r="C17" t="b">
        <v>1</v>
      </c>
      <c r="F17">
        <v>2.4E-2</v>
      </c>
      <c r="G17">
        <v>2.5000000000000001E-2</v>
      </c>
      <c r="H17">
        <v>0.03</v>
      </c>
      <c r="I17">
        <f t="shared" si="3"/>
        <v>2.6351351351351349E-2</v>
      </c>
      <c r="K17">
        <v>1.4999999999999999E-2</v>
      </c>
      <c r="L17">
        <v>1</v>
      </c>
      <c r="M17">
        <f t="shared" si="4"/>
        <v>1.4999999999999999E-2</v>
      </c>
      <c r="O17">
        <f t="shared" si="2"/>
        <v>2.4333333333333335E-2</v>
      </c>
    </row>
    <row r="18" spans="1:15" x14ac:dyDescent="0.25">
      <c r="A18" t="s">
        <v>30</v>
      </c>
      <c r="B18" t="s">
        <v>17</v>
      </c>
      <c r="C18" t="b">
        <v>1</v>
      </c>
      <c r="F18">
        <v>3.625</v>
      </c>
      <c r="G18">
        <v>9.65</v>
      </c>
      <c r="H18">
        <v>6.38</v>
      </c>
      <c r="I18">
        <f t="shared" si="3"/>
        <v>6.9610810810810797</v>
      </c>
      <c r="K18">
        <v>4.75</v>
      </c>
      <c r="L18">
        <v>1</v>
      </c>
      <c r="M18">
        <f t="shared" si="4"/>
        <v>4.75</v>
      </c>
      <c r="O18">
        <f t="shared" si="2"/>
        <v>6.5679999999999996</v>
      </c>
    </row>
    <row r="19" spans="1:15" x14ac:dyDescent="0.25">
      <c r="A19" t="s">
        <v>31</v>
      </c>
      <c r="B19" t="s">
        <v>17</v>
      </c>
      <c r="C19" t="b">
        <v>1</v>
      </c>
      <c r="F19">
        <v>3.5</v>
      </c>
      <c r="G19">
        <v>3.65</v>
      </c>
      <c r="H19">
        <v>2.6</v>
      </c>
      <c r="I19">
        <f t="shared" si="3"/>
        <v>3.2689189189189185</v>
      </c>
      <c r="K19">
        <v>1.75</v>
      </c>
      <c r="L19">
        <v>1</v>
      </c>
      <c r="M19">
        <f t="shared" si="4"/>
        <v>1.75</v>
      </c>
      <c r="O19">
        <f t="shared" si="2"/>
        <v>2.9988888888888887</v>
      </c>
    </row>
    <row r="20" spans="1:15" x14ac:dyDescent="0.25">
      <c r="A20" t="s">
        <v>32</v>
      </c>
      <c r="B20" t="s">
        <v>17</v>
      </c>
      <c r="C20" t="b">
        <v>1</v>
      </c>
      <c r="F20">
        <v>0.5</v>
      </c>
      <c r="G20">
        <v>0.35</v>
      </c>
      <c r="H20">
        <v>0.45</v>
      </c>
      <c r="I20">
        <f t="shared" si="3"/>
        <v>0.42297297297297287</v>
      </c>
      <c r="K20">
        <v>0.375</v>
      </c>
      <c r="L20">
        <v>1</v>
      </c>
      <c r="M20">
        <f t="shared" si="4"/>
        <v>0.375</v>
      </c>
      <c r="O20">
        <f t="shared" si="2"/>
        <v>0.41444444444444439</v>
      </c>
    </row>
    <row r="21" spans="1:15" x14ac:dyDescent="0.25">
      <c r="A21" t="s">
        <v>33</v>
      </c>
      <c r="B21" t="s">
        <v>17</v>
      </c>
      <c r="C21" t="b">
        <v>1</v>
      </c>
      <c r="F21">
        <v>0.1</v>
      </c>
      <c r="G21">
        <v>0.17499999999999999</v>
      </c>
      <c r="H21">
        <v>0.22750000000000001</v>
      </c>
      <c r="I21">
        <f t="shared" si="3"/>
        <v>0.17175675675675672</v>
      </c>
      <c r="K21">
        <v>0.15</v>
      </c>
      <c r="L21">
        <v>1</v>
      </c>
      <c r="M21">
        <f t="shared" si="4"/>
        <v>0.15</v>
      </c>
      <c r="O21">
        <f t="shared" si="2"/>
        <v>0.16788888888888889</v>
      </c>
    </row>
    <row r="22" spans="1:15" x14ac:dyDescent="0.25">
      <c r="A22" t="s">
        <v>34</v>
      </c>
      <c r="B22" t="s">
        <v>17</v>
      </c>
      <c r="C22" t="b">
        <v>1</v>
      </c>
      <c r="F22">
        <v>0.36499999999999999</v>
      </c>
      <c r="G22">
        <v>0.35</v>
      </c>
      <c r="H22">
        <v>0.24</v>
      </c>
      <c r="I22">
        <f t="shared" si="3"/>
        <v>0.31837837837837829</v>
      </c>
      <c r="K22">
        <v>0.3</v>
      </c>
      <c r="L22">
        <v>1</v>
      </c>
      <c r="M22">
        <f t="shared" si="4"/>
        <v>0.3</v>
      </c>
      <c r="O22">
        <f t="shared" si="2"/>
        <v>0.31511111111111112</v>
      </c>
    </row>
    <row r="23" spans="1:15" x14ac:dyDescent="0.25">
      <c r="A23" t="s">
        <v>35</v>
      </c>
      <c r="B23" t="s">
        <v>17</v>
      </c>
      <c r="C23" t="b">
        <v>1</v>
      </c>
      <c r="F23">
        <v>415</v>
      </c>
      <c r="G23">
        <v>525</v>
      </c>
      <c r="H23">
        <v>380.5</v>
      </c>
      <c r="I23">
        <f t="shared" si="3"/>
        <v>448.4054054054053</v>
      </c>
      <c r="K23">
        <v>600</v>
      </c>
      <c r="L23">
        <v>1</v>
      </c>
      <c r="M23">
        <f t="shared" si="4"/>
        <v>600</v>
      </c>
      <c r="O23">
        <f t="shared" si="2"/>
        <v>475.35555555555555</v>
      </c>
    </row>
    <row r="24" spans="1:15" x14ac:dyDescent="0.25">
      <c r="A24" t="s">
        <v>36</v>
      </c>
      <c r="B24" t="s">
        <v>17</v>
      </c>
      <c r="C24" t="b">
        <v>1</v>
      </c>
      <c r="F24">
        <v>3.5</v>
      </c>
      <c r="G24">
        <v>15</v>
      </c>
      <c r="H24">
        <v>15</v>
      </c>
      <c r="I24">
        <f t="shared" si="3"/>
        <v>11.891891891891891</v>
      </c>
      <c r="K24">
        <v>20</v>
      </c>
      <c r="L24">
        <v>1</v>
      </c>
      <c r="M24">
        <f t="shared" si="4"/>
        <v>20</v>
      </c>
      <c r="O24">
        <f t="shared" si="2"/>
        <v>13.333333333333334</v>
      </c>
    </row>
    <row r="25" spans="1:15" x14ac:dyDescent="0.25">
      <c r="A25" t="s">
        <v>37</v>
      </c>
      <c r="B25" t="s">
        <v>17</v>
      </c>
      <c r="C25" t="b">
        <v>1</v>
      </c>
      <c r="F25">
        <v>0.32500000000000001</v>
      </c>
      <c r="G25">
        <v>0.3</v>
      </c>
      <c r="H25">
        <v>0.27500000000000002</v>
      </c>
      <c r="I25">
        <f t="shared" si="3"/>
        <v>0.2986486486486486</v>
      </c>
      <c r="K25">
        <v>0.35</v>
      </c>
      <c r="L25">
        <v>1</v>
      </c>
      <c r="M25">
        <f t="shared" si="4"/>
        <v>0.35</v>
      </c>
      <c r="O25">
        <f t="shared" si="2"/>
        <v>0.30777777777777776</v>
      </c>
    </row>
    <row r="26" spans="1:15" x14ac:dyDescent="0.25">
      <c r="A26" t="s">
        <v>38</v>
      </c>
      <c r="B26" t="s">
        <v>17</v>
      </c>
      <c r="C26" t="b">
        <v>1</v>
      </c>
      <c r="F26">
        <v>0.52500000000000002</v>
      </c>
      <c r="G26">
        <v>0.67500000000000004</v>
      </c>
      <c r="H26">
        <v>0.67500000000000004</v>
      </c>
      <c r="I26">
        <f t="shared" si="3"/>
        <v>0.63445945945945947</v>
      </c>
      <c r="K26">
        <v>0.55000000000000004</v>
      </c>
      <c r="L26">
        <v>1</v>
      </c>
      <c r="M26">
        <f t="shared" si="4"/>
        <v>0.55000000000000004</v>
      </c>
      <c r="O26">
        <f t="shared" si="2"/>
        <v>0.61944444444444446</v>
      </c>
    </row>
    <row r="27" spans="1:15" x14ac:dyDescent="0.25">
      <c r="A27" t="s">
        <v>39</v>
      </c>
      <c r="B27" t="s">
        <v>17</v>
      </c>
      <c r="C27" t="b">
        <v>1</v>
      </c>
      <c r="F27">
        <v>0.03</v>
      </c>
      <c r="G27">
        <v>5.5E-2</v>
      </c>
      <c r="H27">
        <v>0.05</v>
      </c>
      <c r="I27">
        <f t="shared" si="3"/>
        <v>4.6621621621621617E-2</v>
      </c>
      <c r="K27">
        <v>0.1</v>
      </c>
      <c r="L27">
        <v>1</v>
      </c>
      <c r="M27">
        <f t="shared" si="4"/>
        <v>0.1</v>
      </c>
      <c r="O27">
        <f t="shared" si="2"/>
        <v>5.6111111111111112E-2</v>
      </c>
    </row>
    <row r="28" spans="1:15" x14ac:dyDescent="0.25">
      <c r="A28" t="s">
        <v>40</v>
      </c>
      <c r="B28" t="s">
        <v>17</v>
      </c>
      <c r="C28" t="b">
        <v>1</v>
      </c>
      <c r="F28">
        <v>0.115</v>
      </c>
      <c r="G28">
        <v>0.115</v>
      </c>
      <c r="H28">
        <v>0.115</v>
      </c>
      <c r="I28">
        <f t="shared" si="3"/>
        <v>0.11499999999999999</v>
      </c>
      <c r="K28">
        <v>0.15</v>
      </c>
      <c r="L28">
        <v>1</v>
      </c>
      <c r="M28">
        <f t="shared" si="4"/>
        <v>0.15</v>
      </c>
      <c r="O28">
        <f t="shared" si="2"/>
        <v>0.12122222222222223</v>
      </c>
    </row>
    <row r="29" spans="1:15" x14ac:dyDescent="0.25">
      <c r="A29" t="s">
        <v>41</v>
      </c>
      <c r="B29" t="s">
        <v>17</v>
      </c>
      <c r="C29" t="b">
        <v>1</v>
      </c>
      <c r="F29">
        <v>0.4</v>
      </c>
      <c r="G29">
        <v>0.4</v>
      </c>
      <c r="H29">
        <v>0.27500000000000002</v>
      </c>
      <c r="I29">
        <f t="shared" si="3"/>
        <v>0.35945945945945945</v>
      </c>
      <c r="K29">
        <v>0.35</v>
      </c>
      <c r="L29">
        <v>1</v>
      </c>
      <c r="M29">
        <f t="shared" si="4"/>
        <v>0.35</v>
      </c>
      <c r="O29">
        <f t="shared" si="2"/>
        <v>0.35777777777777781</v>
      </c>
    </row>
    <row r="30" spans="1:15" x14ac:dyDescent="0.25">
      <c r="A30" t="s">
        <v>42</v>
      </c>
      <c r="B30" t="s">
        <v>17</v>
      </c>
      <c r="C30" t="b">
        <v>1</v>
      </c>
      <c r="F30">
        <v>1.4999999999999999E-4</v>
      </c>
      <c r="G30">
        <v>1.4999999999999999E-4</v>
      </c>
      <c r="H30">
        <v>2.7500000000000002E-4</v>
      </c>
      <c r="I30">
        <f t="shared" si="3"/>
        <v>1.905405405405405E-4</v>
      </c>
      <c r="K30">
        <v>2.0000000000000001E-4</v>
      </c>
      <c r="L30">
        <v>1</v>
      </c>
      <c r="M30">
        <f t="shared" si="4"/>
        <v>2.0000000000000001E-4</v>
      </c>
      <c r="O30">
        <f t="shared" si="2"/>
        <v>1.9222222222222221E-4</v>
      </c>
    </row>
    <row r="31" spans="1:15" x14ac:dyDescent="0.25">
      <c r="A31" t="s">
        <v>43</v>
      </c>
      <c r="B31" t="s">
        <v>17</v>
      </c>
      <c r="C31" t="b">
        <v>1</v>
      </c>
      <c r="F31">
        <v>500</v>
      </c>
      <c r="H31">
        <v>27.5</v>
      </c>
      <c r="I31">
        <f t="shared" si="3"/>
        <v>144.05405405405401</v>
      </c>
      <c r="K31">
        <v>375</v>
      </c>
      <c r="L31">
        <v>1</v>
      </c>
      <c r="M31">
        <f t="shared" si="4"/>
        <v>375</v>
      </c>
      <c r="O31">
        <f t="shared" si="2"/>
        <v>185.11111111111109</v>
      </c>
    </row>
    <row r="32" spans="1:15" x14ac:dyDescent="0.25">
      <c r="A32" t="s">
        <v>44</v>
      </c>
      <c r="B32" t="s">
        <v>17</v>
      </c>
      <c r="C32" t="b">
        <v>1</v>
      </c>
      <c r="F32">
        <v>32.9</v>
      </c>
      <c r="G32">
        <v>32.9</v>
      </c>
      <c r="H32">
        <v>22.5</v>
      </c>
      <c r="I32">
        <f t="shared" si="3"/>
        <v>29.527027027027025</v>
      </c>
      <c r="K32">
        <v>35</v>
      </c>
      <c r="L32">
        <v>1</v>
      </c>
      <c r="M32">
        <f t="shared" si="4"/>
        <v>35</v>
      </c>
      <c r="O32">
        <f t="shared" si="2"/>
        <v>30.499999999999996</v>
      </c>
    </row>
    <row r="33" spans="1:15" x14ac:dyDescent="0.25">
      <c r="A33" t="s">
        <v>45</v>
      </c>
      <c r="B33" t="s">
        <v>17</v>
      </c>
      <c r="C33" t="b">
        <v>1</v>
      </c>
      <c r="F33">
        <v>13.45</v>
      </c>
      <c r="G33">
        <v>13.45</v>
      </c>
      <c r="H33">
        <v>10.515000000000001</v>
      </c>
      <c r="I33">
        <f t="shared" si="3"/>
        <v>12.498108108108106</v>
      </c>
      <c r="K33">
        <v>17.5</v>
      </c>
      <c r="L33">
        <v>1</v>
      </c>
      <c r="M33">
        <f t="shared" si="4"/>
        <v>17.5</v>
      </c>
      <c r="O33">
        <f t="shared" si="2"/>
        <v>13.387333333333332</v>
      </c>
    </row>
    <row r="34" spans="1:15" x14ac:dyDescent="0.25">
      <c r="A34" t="s">
        <v>46</v>
      </c>
      <c r="B34" t="s">
        <v>17</v>
      </c>
      <c r="C34" t="b">
        <v>1</v>
      </c>
      <c r="F34">
        <v>30</v>
      </c>
      <c r="G34">
        <v>30</v>
      </c>
      <c r="H34">
        <v>13.5</v>
      </c>
      <c r="I34">
        <f t="shared" si="3"/>
        <v>24.648648648648646</v>
      </c>
      <c r="K34">
        <v>12.5</v>
      </c>
      <c r="L34">
        <v>1</v>
      </c>
      <c r="M34">
        <f t="shared" si="4"/>
        <v>12.5</v>
      </c>
      <c r="O34">
        <f t="shared" si="2"/>
        <v>22.488888888888887</v>
      </c>
    </row>
    <row r="35" spans="1:15" x14ac:dyDescent="0.25">
      <c r="A35" t="s">
        <v>47</v>
      </c>
      <c r="B35" t="s">
        <v>17</v>
      </c>
      <c r="C35" t="b">
        <v>1</v>
      </c>
      <c r="F35">
        <v>100</v>
      </c>
      <c r="G35">
        <v>100</v>
      </c>
      <c r="H35">
        <v>110</v>
      </c>
      <c r="I35">
        <f t="shared" si="3"/>
        <v>103.24324324324323</v>
      </c>
      <c r="K35">
        <v>105</v>
      </c>
      <c r="L35">
        <v>1</v>
      </c>
      <c r="M35">
        <f t="shared" si="4"/>
        <v>105</v>
      </c>
      <c r="O35">
        <f t="shared" si="2"/>
        <v>103.55555555555556</v>
      </c>
    </row>
    <row r="36" spans="1:15" x14ac:dyDescent="0.25">
      <c r="A36" t="s">
        <v>48</v>
      </c>
      <c r="B36" t="s">
        <v>17</v>
      </c>
      <c r="C36" t="b">
        <v>0</v>
      </c>
      <c r="F36">
        <v>11.35</v>
      </c>
      <c r="G36">
        <v>11.35</v>
      </c>
      <c r="H36">
        <v>12.5</v>
      </c>
      <c r="I36">
        <f t="shared" si="3"/>
        <v>11.722972972972972</v>
      </c>
      <c r="K36">
        <v>10</v>
      </c>
      <c r="L36">
        <v>1</v>
      </c>
      <c r="M36">
        <f t="shared" si="4"/>
        <v>10</v>
      </c>
      <c r="O36">
        <f t="shared" si="2"/>
        <v>11.416666666666668</v>
      </c>
    </row>
    <row r="37" spans="1:15" x14ac:dyDescent="0.25">
      <c r="A37" t="s">
        <v>49</v>
      </c>
      <c r="B37" t="s">
        <v>17</v>
      </c>
      <c r="C37" t="b">
        <v>0</v>
      </c>
      <c r="F37">
        <v>165</v>
      </c>
      <c r="G37">
        <v>165</v>
      </c>
      <c r="H37">
        <v>80</v>
      </c>
      <c r="I37">
        <f t="shared" si="3"/>
        <v>137.43243243243242</v>
      </c>
      <c r="K37">
        <v>100</v>
      </c>
      <c r="L37">
        <v>1</v>
      </c>
      <c r="M37">
        <f t="shared" si="4"/>
        <v>100</v>
      </c>
      <c r="O37">
        <f t="shared" si="2"/>
        <v>130.77777777777777</v>
      </c>
    </row>
    <row r="38" spans="1:15" x14ac:dyDescent="0.25">
      <c r="A38" t="s">
        <v>50</v>
      </c>
      <c r="B38" t="s">
        <v>17</v>
      </c>
      <c r="C38" t="b">
        <v>0</v>
      </c>
      <c r="F38">
        <v>1300</v>
      </c>
      <c r="G38">
        <v>1300</v>
      </c>
      <c r="H38">
        <v>1750</v>
      </c>
      <c r="I38">
        <f t="shared" si="3"/>
        <v>1445.9459459459458</v>
      </c>
      <c r="K38">
        <v>2500</v>
      </c>
      <c r="L38">
        <v>1</v>
      </c>
      <c r="M38">
        <f t="shared" si="4"/>
        <v>2500</v>
      </c>
      <c r="O38">
        <f t="shared" si="2"/>
        <v>1633.3333333333335</v>
      </c>
    </row>
    <row r="39" spans="1:15" x14ac:dyDescent="0.25">
      <c r="A39" t="s">
        <v>51</v>
      </c>
      <c r="B39" t="s">
        <v>17</v>
      </c>
      <c r="C39" t="b">
        <v>0</v>
      </c>
      <c r="F39">
        <v>350</v>
      </c>
      <c r="G39">
        <v>0</v>
      </c>
      <c r="H39">
        <v>900</v>
      </c>
      <c r="I39">
        <f t="shared" si="3"/>
        <v>386.48648648648646</v>
      </c>
      <c r="K39">
        <v>750</v>
      </c>
      <c r="L39">
        <v>1</v>
      </c>
      <c r="M39">
        <f t="shared" si="4"/>
        <v>750</v>
      </c>
      <c r="O39">
        <f t="shared" si="2"/>
        <v>451.11111111111109</v>
      </c>
    </row>
    <row r="40" spans="1:15" x14ac:dyDescent="0.25">
      <c r="A40" t="s">
        <v>52</v>
      </c>
      <c r="B40" t="s">
        <v>17</v>
      </c>
      <c r="C40" t="b">
        <v>0</v>
      </c>
      <c r="F40">
        <v>750</v>
      </c>
      <c r="G40">
        <v>0</v>
      </c>
      <c r="H40">
        <v>1500</v>
      </c>
      <c r="I40">
        <f t="shared" si="3"/>
        <v>689.18918918918916</v>
      </c>
      <c r="K40">
        <v>2600</v>
      </c>
      <c r="L40">
        <v>1</v>
      </c>
      <c r="M40">
        <f t="shared" si="4"/>
        <v>2600</v>
      </c>
      <c r="O40">
        <f t="shared" si="2"/>
        <v>1028.8888888888889</v>
      </c>
    </row>
    <row r="41" spans="1:15" x14ac:dyDescent="0.25">
      <c r="A41" t="s">
        <v>53</v>
      </c>
      <c r="B41" t="s">
        <v>17</v>
      </c>
      <c r="C41" t="b">
        <v>0</v>
      </c>
      <c r="F41">
        <v>325</v>
      </c>
      <c r="G41">
        <v>0</v>
      </c>
      <c r="H41">
        <v>175</v>
      </c>
      <c r="I41">
        <f t="shared" si="3"/>
        <v>144.59459459459458</v>
      </c>
      <c r="K41">
        <v>55</v>
      </c>
      <c r="L41">
        <v>1</v>
      </c>
      <c r="M41">
        <f t="shared" si="4"/>
        <v>55</v>
      </c>
      <c r="O41">
        <f t="shared" si="2"/>
        <v>128.66666666666666</v>
      </c>
    </row>
    <row r="42" spans="1:15" x14ac:dyDescent="0.25">
      <c r="A42" t="s">
        <v>54</v>
      </c>
      <c r="B42" t="s">
        <v>17</v>
      </c>
      <c r="C42" t="b">
        <v>0</v>
      </c>
      <c r="F42">
        <v>1250</v>
      </c>
      <c r="G42">
        <v>0</v>
      </c>
      <c r="H42">
        <v>1100</v>
      </c>
      <c r="I42">
        <f t="shared" si="3"/>
        <v>694.59459459459458</v>
      </c>
      <c r="K42">
        <v>1850</v>
      </c>
      <c r="L42">
        <v>1</v>
      </c>
      <c r="M42">
        <f t="shared" si="4"/>
        <v>1850</v>
      </c>
      <c r="O42">
        <f t="shared" si="2"/>
        <v>900</v>
      </c>
    </row>
    <row r="43" spans="1:15" x14ac:dyDescent="0.25">
      <c r="A43" t="s">
        <v>55</v>
      </c>
      <c r="B43" t="s">
        <v>17</v>
      </c>
      <c r="C43" t="b">
        <v>0</v>
      </c>
      <c r="F43">
        <v>2</v>
      </c>
      <c r="G43">
        <v>2</v>
      </c>
      <c r="H43">
        <v>2</v>
      </c>
      <c r="I43">
        <v>2</v>
      </c>
      <c r="K43">
        <v>2</v>
      </c>
      <c r="L43">
        <v>2</v>
      </c>
      <c r="M43">
        <f t="shared" ref="M5:M43" si="5">SUM(K43:L43)</f>
        <v>4</v>
      </c>
      <c r="O43">
        <v>1.621621621621621</v>
      </c>
    </row>
    <row r="44" spans="1:15" x14ac:dyDescent="0.25">
      <c r="A44" t="s">
        <v>56</v>
      </c>
      <c r="C44" t="b">
        <v>1</v>
      </c>
      <c r="F44">
        <f>F43*F2</f>
        <v>0.5</v>
      </c>
      <c r="G44">
        <f t="shared" ref="G44:H44" si="6">G43*G2</f>
        <v>0.75</v>
      </c>
      <c r="H44">
        <f t="shared" si="6"/>
        <v>0.6</v>
      </c>
      <c r="I44">
        <v>1.85</v>
      </c>
      <c r="K44">
        <f>K43*K2</f>
        <v>0.4</v>
      </c>
      <c r="L44">
        <f>L43*L2</f>
        <v>0</v>
      </c>
      <c r="M44">
        <f>SUM(K44:L44)</f>
        <v>0.4</v>
      </c>
      <c r="O44">
        <f>SUM(F44:H44,K44:L44)</f>
        <v>2.25</v>
      </c>
    </row>
    <row r="45" spans="1:15" x14ac:dyDescent="0.25">
      <c r="A45" t="s">
        <v>57</v>
      </c>
      <c r="C45" t="b">
        <v>1</v>
      </c>
      <c r="F45">
        <v>0.4</v>
      </c>
      <c r="G45">
        <v>0.4</v>
      </c>
      <c r="H45">
        <v>1.5</v>
      </c>
      <c r="I45">
        <v>0.98499999999999999</v>
      </c>
      <c r="O45">
        <v>0.32432432432432429</v>
      </c>
    </row>
    <row r="46" spans="1:15" x14ac:dyDescent="0.25">
      <c r="A46" t="s">
        <v>58</v>
      </c>
      <c r="B46" t="s">
        <v>59</v>
      </c>
      <c r="C46" t="b">
        <v>1</v>
      </c>
      <c r="F46">
        <v>0.8</v>
      </c>
      <c r="G46">
        <v>0.8</v>
      </c>
      <c r="H46">
        <v>2</v>
      </c>
      <c r="I46">
        <v>1.7</v>
      </c>
      <c r="O46">
        <v>0.64864864864864857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Hawkins, James (ILRI)</cp:lastModifiedBy>
  <dcterms:created xsi:type="dcterms:W3CDTF">2026-06-04T01:55:28Z</dcterms:created>
  <dcterms:modified xsi:type="dcterms:W3CDTF">2026-06-04T08:03:14Z</dcterms:modified>
</cp:coreProperties>
</file>