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C:\Users\JHawkins\Documents\Github\Soil.C.modelling\Kapiti.soil.C\projects\KE_Kapiti_Eddy_July\data\"/>
    </mc:Choice>
  </mc:AlternateContent>
  <xr:revisionPtr revIDLastSave="0" documentId="11_1DB89ABE93428775E4E3BFCCC1741CDF5D016C3F" xr6:coauthVersionLast="47" xr6:coauthVersionMax="47" xr10:uidLastSave="{00000000-0000-0000-0000-000000000000}"/>
  <bookViews>
    <workbookView xWindow="-120" yWindow="-120" windowWidth="24240" windowHeight="13020" xr2:uid="{00000000-000D-0000-FFFF-FFFF00000000}"/>
  </bookViews>
  <sheets>
    <sheet name="Species_params_GEMINI" sheetId="1" r:id="rId1"/>
  </sheets>
  <definedNames>
    <definedName name="_xleta.AN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79" i="1" l="1"/>
  <c r="I279" i="1"/>
  <c r="L259" i="1"/>
  <c r="J243" i="1"/>
  <c r="J235" i="1"/>
  <c r="J282" i="1" s="1"/>
  <c r="I234" i="1"/>
  <c r="I281" i="1" s="1"/>
  <c r="I232" i="1"/>
  <c r="N231" i="1"/>
  <c r="N278" i="1" s="1"/>
  <c r="J224" i="1"/>
  <c r="J271" i="1" s="1"/>
  <c r="M222" i="1"/>
  <c r="M269" i="1" s="1"/>
  <c r="M220" i="1"/>
  <c r="M267" i="1" s="1"/>
  <c r="M218" i="1"/>
  <c r="M265" i="1" s="1"/>
  <c r="K218" i="1"/>
  <c r="K265" i="1" s="1"/>
  <c r="N213" i="1"/>
  <c r="N260" i="1" s="1"/>
  <c r="L213" i="1"/>
  <c r="L260" i="1" s="1"/>
  <c r="N211" i="1"/>
  <c r="N258" i="1" s="1"/>
  <c r="M206" i="1"/>
  <c r="M253" i="1" s="1"/>
  <c r="I200" i="1"/>
  <c r="I247" i="1" s="1"/>
  <c r="J197" i="1"/>
  <c r="J244" i="1" s="1"/>
  <c r="J188" i="1"/>
  <c r="I188" i="1"/>
  <c r="I235" i="1" s="1"/>
  <c r="I282" i="1" s="1"/>
  <c r="L187" i="1"/>
  <c r="L234" i="1" s="1"/>
  <c r="L281" i="1" s="1"/>
  <c r="N185" i="1"/>
  <c r="N232" i="1" s="1"/>
  <c r="K185" i="1"/>
  <c r="L183" i="1"/>
  <c r="L230" i="1" s="1"/>
  <c r="L277" i="1" s="1"/>
  <c r="M180" i="1"/>
  <c r="M227" i="1" s="1"/>
  <c r="M274" i="1" s="1"/>
  <c r="N178" i="1"/>
  <c r="N225" i="1" s="1"/>
  <c r="N272" i="1" s="1"/>
  <c r="L178" i="1"/>
  <c r="L225" i="1" s="1"/>
  <c r="L272" i="1" s="1"/>
  <c r="J177" i="1"/>
  <c r="N173" i="1"/>
  <c r="N220" i="1" s="1"/>
  <c r="N267" i="1" s="1"/>
  <c r="K172" i="1"/>
  <c r="K219" i="1" s="1"/>
  <c r="K266" i="1" s="1"/>
  <c r="M171" i="1"/>
  <c r="L171" i="1"/>
  <c r="L218" i="1" s="1"/>
  <c r="L265" i="1" s="1"/>
  <c r="K170" i="1"/>
  <c r="I170" i="1"/>
  <c r="I217" i="1" s="1"/>
  <c r="I264" i="1" s="1"/>
  <c r="J169" i="1"/>
  <c r="J216" i="1" s="1"/>
  <c r="J263" i="1" s="1"/>
  <c r="I167" i="1"/>
  <c r="I214" i="1" s="1"/>
  <c r="I261" i="1" s="1"/>
  <c r="L165" i="1"/>
  <c r="L212" i="1" s="1"/>
  <c r="N164" i="1"/>
  <c r="L163" i="1"/>
  <c r="L210" i="1" s="1"/>
  <c r="L257" i="1" s="1"/>
  <c r="K162" i="1"/>
  <c r="J160" i="1"/>
  <c r="J207" i="1" s="1"/>
  <c r="J254" i="1" s="1"/>
  <c r="M158" i="1"/>
  <c r="M205" i="1" s="1"/>
  <c r="M252" i="1" s="1"/>
  <c r="L158" i="1"/>
  <c r="L205" i="1" s="1"/>
  <c r="L252" i="1" s="1"/>
  <c r="I156" i="1"/>
  <c r="I203" i="1" s="1"/>
  <c r="I250" i="1" s="1"/>
  <c r="J155" i="1"/>
  <c r="J202" i="1" s="1"/>
  <c r="J249" i="1" s="1"/>
  <c r="I154" i="1"/>
  <c r="I201" i="1" s="1"/>
  <c r="I248" i="1" s="1"/>
  <c r="N153" i="1"/>
  <c r="N200" i="1" s="1"/>
  <c r="N247" i="1" s="1"/>
  <c r="I152" i="1"/>
  <c r="I199" i="1" s="1"/>
  <c r="I246" i="1" s="1"/>
  <c r="J149" i="1"/>
  <c r="J196" i="1" s="1"/>
  <c r="K148" i="1"/>
  <c r="J147" i="1"/>
  <c r="J194" i="1" s="1"/>
  <c r="J241" i="1" s="1"/>
  <c r="I144" i="1"/>
  <c r="I191" i="1" s="1"/>
  <c r="I238" i="1" s="1"/>
  <c r="M142" i="1"/>
  <c r="M189" i="1" s="1"/>
  <c r="M236" i="1" s="1"/>
  <c r="M283" i="1" s="1"/>
  <c r="K142" i="1"/>
  <c r="K189" i="1" s="1"/>
  <c r="K236" i="1" s="1"/>
  <c r="J142" i="1"/>
  <c r="J189" i="1" s="1"/>
  <c r="J236" i="1" s="1"/>
  <c r="J283" i="1" s="1"/>
  <c r="N141" i="1"/>
  <c r="N188" i="1" s="1"/>
  <c r="N235" i="1" s="1"/>
  <c r="N282" i="1" s="1"/>
  <c r="J141" i="1"/>
  <c r="N140" i="1"/>
  <c r="N187" i="1" s="1"/>
  <c r="N234" i="1" s="1"/>
  <c r="N281" i="1" s="1"/>
  <c r="M140" i="1"/>
  <c r="M187" i="1" s="1"/>
  <c r="M234" i="1" s="1"/>
  <c r="M281" i="1" s="1"/>
  <c r="K140" i="1"/>
  <c r="K187" i="1" s="1"/>
  <c r="J140" i="1"/>
  <c r="J187" i="1" s="1"/>
  <c r="J234" i="1" s="1"/>
  <c r="J281" i="1" s="1"/>
  <c r="I140" i="1"/>
  <c r="I187" i="1" s="1"/>
  <c r="L139" i="1"/>
  <c r="L186" i="1" s="1"/>
  <c r="L233" i="1" s="1"/>
  <c r="L280" i="1" s="1"/>
  <c r="M138" i="1"/>
  <c r="M185" i="1" s="1"/>
  <c r="M232" i="1" s="1"/>
  <c r="M279" i="1" s="1"/>
  <c r="K138" i="1"/>
  <c r="I138" i="1"/>
  <c r="I185" i="1" s="1"/>
  <c r="N137" i="1"/>
  <c r="N184" i="1" s="1"/>
  <c r="M137" i="1"/>
  <c r="M184" i="1" s="1"/>
  <c r="M231" i="1" s="1"/>
  <c r="M278" i="1" s="1"/>
  <c r="K137" i="1"/>
  <c r="K184" i="1" s="1"/>
  <c r="J137" i="1"/>
  <c r="J184" i="1" s="1"/>
  <c r="J231" i="1" s="1"/>
  <c r="J278" i="1" s="1"/>
  <c r="H137" i="1"/>
  <c r="I136" i="1"/>
  <c r="I183" i="1" s="1"/>
  <c r="I230" i="1" s="1"/>
  <c r="I277" i="1" s="1"/>
  <c r="N135" i="1"/>
  <c r="N182" i="1" s="1"/>
  <c r="N229" i="1" s="1"/>
  <c r="N276" i="1" s="1"/>
  <c r="L135" i="1"/>
  <c r="L182" i="1" s="1"/>
  <c r="L229" i="1" s="1"/>
  <c r="L276" i="1" s="1"/>
  <c r="K135" i="1"/>
  <c r="K182" i="1" s="1"/>
  <c r="I135" i="1"/>
  <c r="I182" i="1" s="1"/>
  <c r="I229" i="1" s="1"/>
  <c r="I276" i="1" s="1"/>
  <c r="I134" i="1"/>
  <c r="I181" i="1" s="1"/>
  <c r="I228" i="1" s="1"/>
  <c r="I275" i="1" s="1"/>
  <c r="N133" i="1"/>
  <c r="N180" i="1" s="1"/>
  <c r="N227" i="1" s="1"/>
  <c r="N274" i="1" s="1"/>
  <c r="L133" i="1"/>
  <c r="L180" i="1" s="1"/>
  <c r="L227" i="1" s="1"/>
  <c r="L274" i="1" s="1"/>
  <c r="J133" i="1"/>
  <c r="J180" i="1" s="1"/>
  <c r="J227" i="1" s="1"/>
  <c r="J274" i="1" s="1"/>
  <c r="N132" i="1"/>
  <c r="N179" i="1" s="1"/>
  <c r="N226" i="1" s="1"/>
  <c r="N273" i="1" s="1"/>
  <c r="M132" i="1"/>
  <c r="M179" i="1" s="1"/>
  <c r="M226" i="1" s="1"/>
  <c r="M273" i="1" s="1"/>
  <c r="N131" i="1"/>
  <c r="M131" i="1"/>
  <c r="M178" i="1" s="1"/>
  <c r="M225" i="1" s="1"/>
  <c r="M272" i="1" s="1"/>
  <c r="L131" i="1"/>
  <c r="J131" i="1"/>
  <c r="J178" i="1" s="1"/>
  <c r="J225" i="1" s="1"/>
  <c r="J272" i="1" s="1"/>
  <c r="N130" i="1"/>
  <c r="N177" i="1" s="1"/>
  <c r="N224" i="1" s="1"/>
  <c r="N271" i="1" s="1"/>
  <c r="L130" i="1"/>
  <c r="L177" i="1" s="1"/>
  <c r="L224" i="1" s="1"/>
  <c r="L271" i="1" s="1"/>
  <c r="K130" i="1"/>
  <c r="K129" i="1"/>
  <c r="K176" i="1" s="1"/>
  <c r="J129" i="1"/>
  <c r="J176" i="1" s="1"/>
  <c r="J223" i="1" s="1"/>
  <c r="J270" i="1" s="1"/>
  <c r="N128" i="1"/>
  <c r="N175" i="1" s="1"/>
  <c r="N222" i="1" s="1"/>
  <c r="N269" i="1" s="1"/>
  <c r="M128" i="1"/>
  <c r="M175" i="1" s="1"/>
  <c r="I127" i="1"/>
  <c r="I174" i="1" s="1"/>
  <c r="I221" i="1" s="1"/>
  <c r="I268" i="1" s="1"/>
  <c r="M126" i="1"/>
  <c r="M173" i="1" s="1"/>
  <c r="K126" i="1"/>
  <c r="K173" i="1" s="1"/>
  <c r="K220" i="1" s="1"/>
  <c r="L125" i="1"/>
  <c r="L172" i="1" s="1"/>
  <c r="L219" i="1" s="1"/>
  <c r="M124" i="1"/>
  <c r="K124" i="1"/>
  <c r="K171" i="1" s="1"/>
  <c r="H171" i="1" s="1"/>
  <c r="J124" i="1"/>
  <c r="J171" i="1" s="1"/>
  <c r="J218" i="1" s="1"/>
  <c r="J265" i="1" s="1"/>
  <c r="I124" i="1"/>
  <c r="I171" i="1" s="1"/>
  <c r="I218" i="1" s="1"/>
  <c r="I265" i="1" s="1"/>
  <c r="H124" i="1"/>
  <c r="M123" i="1"/>
  <c r="M170" i="1" s="1"/>
  <c r="M217" i="1" s="1"/>
  <c r="M264" i="1" s="1"/>
  <c r="K122" i="1"/>
  <c r="K169" i="1" s="1"/>
  <c r="I122" i="1"/>
  <c r="I169" i="1" s="1"/>
  <c r="I216" i="1" s="1"/>
  <c r="I263" i="1" s="1"/>
  <c r="N121" i="1"/>
  <c r="N168" i="1" s="1"/>
  <c r="N215" i="1" s="1"/>
  <c r="N262" i="1" s="1"/>
  <c r="M120" i="1"/>
  <c r="M167" i="1" s="1"/>
  <c r="M214" i="1" s="1"/>
  <c r="M261" i="1" s="1"/>
  <c r="I120" i="1"/>
  <c r="N119" i="1"/>
  <c r="N166" i="1" s="1"/>
  <c r="L119" i="1"/>
  <c r="L166" i="1" s="1"/>
  <c r="M118" i="1"/>
  <c r="M165" i="1" s="1"/>
  <c r="M212" i="1" s="1"/>
  <c r="M259" i="1" s="1"/>
  <c r="N117" i="1"/>
  <c r="L117" i="1"/>
  <c r="L164" i="1" s="1"/>
  <c r="L211" i="1" s="1"/>
  <c r="L258" i="1" s="1"/>
  <c r="K117" i="1"/>
  <c r="H117" i="1" s="1"/>
  <c r="J117" i="1"/>
  <c r="J164" i="1" s="1"/>
  <c r="J211" i="1" s="1"/>
  <c r="J258" i="1" s="1"/>
  <c r="I117" i="1"/>
  <c r="I164" i="1" s="1"/>
  <c r="I211" i="1" s="1"/>
  <c r="I258" i="1" s="1"/>
  <c r="L115" i="1"/>
  <c r="L162" i="1" s="1"/>
  <c r="L209" i="1" s="1"/>
  <c r="L256" i="1" s="1"/>
  <c r="J115" i="1"/>
  <c r="J162" i="1" s="1"/>
  <c r="J209" i="1" s="1"/>
  <c r="J256" i="1" s="1"/>
  <c r="K114" i="1"/>
  <c r="I114" i="1"/>
  <c r="I161" i="1" s="1"/>
  <c r="I208" i="1" s="1"/>
  <c r="I255" i="1" s="1"/>
  <c r="N113" i="1"/>
  <c r="N160" i="1" s="1"/>
  <c r="N207" i="1" s="1"/>
  <c r="N254" i="1" s="1"/>
  <c r="L113" i="1"/>
  <c r="L160" i="1" s="1"/>
  <c r="L207" i="1" s="1"/>
  <c r="L254" i="1" s="1"/>
  <c r="J113" i="1"/>
  <c r="N112" i="1"/>
  <c r="N159" i="1" s="1"/>
  <c r="N206" i="1" s="1"/>
  <c r="N253" i="1" s="1"/>
  <c r="M112" i="1"/>
  <c r="M159" i="1" s="1"/>
  <c r="L111" i="1"/>
  <c r="M110" i="1"/>
  <c r="M157" i="1" s="1"/>
  <c r="M204" i="1" s="1"/>
  <c r="M251" i="1" s="1"/>
  <c r="L110" i="1"/>
  <c r="L157" i="1" s="1"/>
  <c r="L204" i="1" s="1"/>
  <c r="L251" i="1" s="1"/>
  <c r="K110" i="1"/>
  <c r="J109" i="1"/>
  <c r="J156" i="1" s="1"/>
  <c r="J203" i="1" s="1"/>
  <c r="J250" i="1" s="1"/>
  <c r="K108" i="1"/>
  <c r="K155" i="1" s="1"/>
  <c r="K202" i="1" s="1"/>
  <c r="J108" i="1"/>
  <c r="I108" i="1"/>
  <c r="I155" i="1" s="1"/>
  <c r="I202" i="1" s="1"/>
  <c r="I249" i="1" s="1"/>
  <c r="L107" i="1"/>
  <c r="L154" i="1" s="1"/>
  <c r="L201" i="1" s="1"/>
  <c r="L248" i="1" s="1"/>
  <c r="J107" i="1"/>
  <c r="J154" i="1" s="1"/>
  <c r="J201" i="1" s="1"/>
  <c r="J248" i="1" s="1"/>
  <c r="I106" i="1"/>
  <c r="I153" i="1" s="1"/>
  <c r="N105" i="1"/>
  <c r="N152" i="1" s="1"/>
  <c r="N199" i="1" s="1"/>
  <c r="N246" i="1" s="1"/>
  <c r="M105" i="1"/>
  <c r="M152" i="1" s="1"/>
  <c r="M199" i="1" s="1"/>
  <c r="M246" i="1" s="1"/>
  <c r="N103" i="1"/>
  <c r="N150" i="1" s="1"/>
  <c r="N197" i="1" s="1"/>
  <c r="N244" i="1" s="1"/>
  <c r="M103" i="1"/>
  <c r="M150" i="1" s="1"/>
  <c r="M197" i="1" s="1"/>
  <c r="M244" i="1" s="1"/>
  <c r="M102" i="1"/>
  <c r="M149" i="1" s="1"/>
  <c r="M196" i="1" s="1"/>
  <c r="M243" i="1" s="1"/>
  <c r="I102" i="1"/>
  <c r="I149" i="1" s="1"/>
  <c r="I196" i="1" s="1"/>
  <c r="I243" i="1" s="1"/>
  <c r="L101" i="1"/>
  <c r="L148" i="1" s="1"/>
  <c r="L195" i="1" s="1"/>
  <c r="L242" i="1" s="1"/>
  <c r="K101" i="1"/>
  <c r="I101" i="1"/>
  <c r="I148" i="1" s="1"/>
  <c r="I195" i="1" s="1"/>
  <c r="I242" i="1" s="1"/>
  <c r="N100" i="1"/>
  <c r="N147" i="1" s="1"/>
  <c r="N194" i="1" s="1"/>
  <c r="N241" i="1" s="1"/>
  <c r="M100" i="1"/>
  <c r="M147" i="1" s="1"/>
  <c r="M194" i="1" s="1"/>
  <c r="M241" i="1" s="1"/>
  <c r="K100" i="1"/>
  <c r="J99" i="1"/>
  <c r="J146" i="1" s="1"/>
  <c r="J193" i="1" s="1"/>
  <c r="J240" i="1" s="1"/>
  <c r="I99" i="1"/>
  <c r="I146" i="1" s="1"/>
  <c r="I193" i="1" s="1"/>
  <c r="I240" i="1" s="1"/>
  <c r="N98" i="1"/>
  <c r="N145" i="1" s="1"/>
  <c r="N192" i="1" s="1"/>
  <c r="N239" i="1" s="1"/>
  <c r="N95" i="1"/>
  <c r="N142" i="1" s="1"/>
  <c r="N189" i="1" s="1"/>
  <c r="N236" i="1" s="1"/>
  <c r="N283" i="1" s="1"/>
  <c r="M95" i="1"/>
  <c r="L95" i="1"/>
  <c r="L142" i="1" s="1"/>
  <c r="K95" i="1"/>
  <c r="J95" i="1"/>
  <c r="I95" i="1"/>
  <c r="I142" i="1" s="1"/>
  <c r="I189" i="1" s="1"/>
  <c r="I236" i="1" s="1"/>
  <c r="I283" i="1" s="1"/>
  <c r="N94" i="1"/>
  <c r="M94" i="1"/>
  <c r="M141" i="1" s="1"/>
  <c r="M188" i="1" s="1"/>
  <c r="M235" i="1" s="1"/>
  <c r="M282" i="1" s="1"/>
  <c r="L94" i="1"/>
  <c r="L141" i="1" s="1"/>
  <c r="L188" i="1" s="1"/>
  <c r="L235" i="1" s="1"/>
  <c r="L282" i="1" s="1"/>
  <c r="K94" i="1"/>
  <c r="J94" i="1"/>
  <c r="I94" i="1"/>
  <c r="I141" i="1" s="1"/>
  <c r="N93" i="1"/>
  <c r="M93" i="1"/>
  <c r="L93" i="1"/>
  <c r="L140" i="1" s="1"/>
  <c r="K93" i="1"/>
  <c r="J93" i="1"/>
  <c r="I93" i="1"/>
  <c r="N92" i="1"/>
  <c r="N139" i="1" s="1"/>
  <c r="N186" i="1" s="1"/>
  <c r="N233" i="1" s="1"/>
  <c r="N280" i="1" s="1"/>
  <c r="M92" i="1"/>
  <c r="M139" i="1" s="1"/>
  <c r="M186" i="1" s="1"/>
  <c r="M233" i="1" s="1"/>
  <c r="M280" i="1" s="1"/>
  <c r="L92" i="1"/>
  <c r="K92" i="1"/>
  <c r="K139" i="1" s="1"/>
  <c r="K186" i="1" s="1"/>
  <c r="J92" i="1"/>
  <c r="J139" i="1" s="1"/>
  <c r="J186" i="1" s="1"/>
  <c r="J233" i="1" s="1"/>
  <c r="J280" i="1" s="1"/>
  <c r="I92" i="1"/>
  <c r="I139" i="1" s="1"/>
  <c r="I186" i="1" s="1"/>
  <c r="I233" i="1" s="1"/>
  <c r="I280" i="1" s="1"/>
  <c r="N91" i="1"/>
  <c r="N138" i="1" s="1"/>
  <c r="M91" i="1"/>
  <c r="L91" i="1"/>
  <c r="L138" i="1" s="1"/>
  <c r="L185" i="1" s="1"/>
  <c r="L232" i="1" s="1"/>
  <c r="L279" i="1" s="1"/>
  <c r="K91" i="1"/>
  <c r="J91" i="1"/>
  <c r="J138" i="1" s="1"/>
  <c r="J185" i="1" s="1"/>
  <c r="J232" i="1" s="1"/>
  <c r="J279" i="1" s="1"/>
  <c r="I91" i="1"/>
  <c r="H91" i="1"/>
  <c r="N90" i="1"/>
  <c r="M90" i="1"/>
  <c r="L90" i="1"/>
  <c r="L137" i="1" s="1"/>
  <c r="L184" i="1" s="1"/>
  <c r="L231" i="1" s="1"/>
  <c r="L278" i="1" s="1"/>
  <c r="K90" i="1"/>
  <c r="J90" i="1"/>
  <c r="I90" i="1"/>
  <c r="I137" i="1" s="1"/>
  <c r="I184" i="1" s="1"/>
  <c r="I231" i="1" s="1"/>
  <c r="I278" i="1" s="1"/>
  <c r="H90" i="1"/>
  <c r="N89" i="1"/>
  <c r="N136" i="1" s="1"/>
  <c r="N183" i="1" s="1"/>
  <c r="N230" i="1" s="1"/>
  <c r="N277" i="1" s="1"/>
  <c r="M89" i="1"/>
  <c r="M136" i="1" s="1"/>
  <c r="M183" i="1" s="1"/>
  <c r="M230" i="1" s="1"/>
  <c r="M277" i="1" s="1"/>
  <c r="L89" i="1"/>
  <c r="L136" i="1" s="1"/>
  <c r="K89" i="1"/>
  <c r="K136" i="1" s="1"/>
  <c r="J89" i="1"/>
  <c r="J136" i="1" s="1"/>
  <c r="J183" i="1" s="1"/>
  <c r="J230" i="1" s="1"/>
  <c r="J277" i="1" s="1"/>
  <c r="I89" i="1"/>
  <c r="H89" i="1"/>
  <c r="N88" i="1"/>
  <c r="M88" i="1"/>
  <c r="M135" i="1" s="1"/>
  <c r="M182" i="1" s="1"/>
  <c r="M229" i="1" s="1"/>
  <c r="M276" i="1" s="1"/>
  <c r="L88" i="1"/>
  <c r="K88" i="1"/>
  <c r="J88" i="1"/>
  <c r="J135" i="1" s="1"/>
  <c r="J182" i="1" s="1"/>
  <c r="J229" i="1" s="1"/>
  <c r="J276" i="1" s="1"/>
  <c r="I88" i="1"/>
  <c r="N87" i="1"/>
  <c r="N134" i="1" s="1"/>
  <c r="N181" i="1" s="1"/>
  <c r="N228" i="1" s="1"/>
  <c r="N275" i="1" s="1"/>
  <c r="M87" i="1"/>
  <c r="M134" i="1" s="1"/>
  <c r="M181" i="1" s="1"/>
  <c r="M228" i="1" s="1"/>
  <c r="M275" i="1" s="1"/>
  <c r="L87" i="1"/>
  <c r="L134" i="1" s="1"/>
  <c r="L181" i="1" s="1"/>
  <c r="L228" i="1" s="1"/>
  <c r="L275" i="1" s="1"/>
  <c r="K87" i="1"/>
  <c r="J87" i="1"/>
  <c r="J134" i="1" s="1"/>
  <c r="J181" i="1" s="1"/>
  <c r="J228" i="1" s="1"/>
  <c r="J275" i="1" s="1"/>
  <c r="I87" i="1"/>
  <c r="N86" i="1"/>
  <c r="M86" i="1"/>
  <c r="M133" i="1" s="1"/>
  <c r="L86" i="1"/>
  <c r="K86" i="1"/>
  <c r="K133" i="1" s="1"/>
  <c r="J86" i="1"/>
  <c r="I86" i="1"/>
  <c r="I133" i="1" s="1"/>
  <c r="I180" i="1" s="1"/>
  <c r="I227" i="1" s="1"/>
  <c r="I274" i="1" s="1"/>
  <c r="N85" i="1"/>
  <c r="M85" i="1"/>
  <c r="L85" i="1"/>
  <c r="L132" i="1" s="1"/>
  <c r="L179" i="1" s="1"/>
  <c r="L226" i="1" s="1"/>
  <c r="L273" i="1" s="1"/>
  <c r="K85" i="1"/>
  <c r="H85" i="1" s="1"/>
  <c r="J85" i="1"/>
  <c r="J132" i="1" s="1"/>
  <c r="J179" i="1" s="1"/>
  <c r="J226" i="1" s="1"/>
  <c r="J273" i="1" s="1"/>
  <c r="I85" i="1"/>
  <c r="I132" i="1" s="1"/>
  <c r="I179" i="1" s="1"/>
  <c r="I226" i="1" s="1"/>
  <c r="I273" i="1" s="1"/>
  <c r="N84" i="1"/>
  <c r="M84" i="1"/>
  <c r="L84" i="1"/>
  <c r="K84" i="1"/>
  <c r="J84" i="1"/>
  <c r="I84" i="1"/>
  <c r="I131" i="1" s="1"/>
  <c r="I178" i="1" s="1"/>
  <c r="I225" i="1" s="1"/>
  <c r="I272" i="1" s="1"/>
  <c r="N83" i="1"/>
  <c r="M83" i="1"/>
  <c r="M130" i="1" s="1"/>
  <c r="M177" i="1" s="1"/>
  <c r="M224" i="1" s="1"/>
  <c r="M271" i="1" s="1"/>
  <c r="L83" i="1"/>
  <c r="K83" i="1"/>
  <c r="J83" i="1"/>
  <c r="J130" i="1" s="1"/>
  <c r="I83" i="1"/>
  <c r="I130" i="1" s="1"/>
  <c r="I177" i="1" s="1"/>
  <c r="I224" i="1" s="1"/>
  <c r="I271" i="1" s="1"/>
  <c r="H83" i="1"/>
  <c r="N82" i="1"/>
  <c r="N129" i="1" s="1"/>
  <c r="N176" i="1" s="1"/>
  <c r="N223" i="1" s="1"/>
  <c r="N270" i="1" s="1"/>
  <c r="M82" i="1"/>
  <c r="M129" i="1" s="1"/>
  <c r="M176" i="1" s="1"/>
  <c r="M223" i="1" s="1"/>
  <c r="M270" i="1" s="1"/>
  <c r="L82" i="1"/>
  <c r="L129" i="1" s="1"/>
  <c r="L176" i="1" s="1"/>
  <c r="L223" i="1" s="1"/>
  <c r="L270" i="1" s="1"/>
  <c r="K82" i="1"/>
  <c r="J82" i="1"/>
  <c r="I82" i="1"/>
  <c r="I129" i="1" s="1"/>
  <c r="I176" i="1" s="1"/>
  <c r="I223" i="1" s="1"/>
  <c r="I270" i="1" s="1"/>
  <c r="N81" i="1"/>
  <c r="M81" i="1"/>
  <c r="L81" i="1"/>
  <c r="L128" i="1" s="1"/>
  <c r="L175" i="1" s="1"/>
  <c r="L222" i="1" s="1"/>
  <c r="L269" i="1" s="1"/>
  <c r="K81" i="1"/>
  <c r="K128" i="1" s="1"/>
  <c r="J81" i="1"/>
  <c r="J128" i="1" s="1"/>
  <c r="J175" i="1" s="1"/>
  <c r="J222" i="1" s="1"/>
  <c r="J269" i="1" s="1"/>
  <c r="I81" i="1"/>
  <c r="I128" i="1" s="1"/>
  <c r="I175" i="1" s="1"/>
  <c r="I222" i="1" s="1"/>
  <c r="I269" i="1" s="1"/>
  <c r="N80" i="1"/>
  <c r="N127" i="1" s="1"/>
  <c r="N174" i="1" s="1"/>
  <c r="N221" i="1" s="1"/>
  <c r="N268" i="1" s="1"/>
  <c r="M80" i="1"/>
  <c r="M127" i="1" s="1"/>
  <c r="M174" i="1" s="1"/>
  <c r="M221" i="1" s="1"/>
  <c r="M268" i="1" s="1"/>
  <c r="L80" i="1"/>
  <c r="L127" i="1" s="1"/>
  <c r="L174" i="1" s="1"/>
  <c r="L221" i="1" s="1"/>
  <c r="L268" i="1" s="1"/>
  <c r="K80" i="1"/>
  <c r="J80" i="1"/>
  <c r="J127" i="1" s="1"/>
  <c r="J174" i="1" s="1"/>
  <c r="J221" i="1" s="1"/>
  <c r="J268" i="1" s="1"/>
  <c r="I80" i="1"/>
  <c r="N79" i="1"/>
  <c r="N126" i="1" s="1"/>
  <c r="M79" i="1"/>
  <c r="L79" i="1"/>
  <c r="L126" i="1" s="1"/>
  <c r="K79" i="1"/>
  <c r="J79" i="1"/>
  <c r="J126" i="1" s="1"/>
  <c r="J173" i="1" s="1"/>
  <c r="J220" i="1" s="1"/>
  <c r="J267" i="1" s="1"/>
  <c r="I79" i="1"/>
  <c r="I126" i="1" s="1"/>
  <c r="I173" i="1" s="1"/>
  <c r="I220" i="1" s="1"/>
  <c r="I267" i="1" s="1"/>
  <c r="H79" i="1"/>
  <c r="N78" i="1"/>
  <c r="N125" i="1" s="1"/>
  <c r="N172" i="1" s="1"/>
  <c r="N219" i="1" s="1"/>
  <c r="N266" i="1" s="1"/>
  <c r="M78" i="1"/>
  <c r="M125" i="1" s="1"/>
  <c r="M172" i="1" s="1"/>
  <c r="M219" i="1" s="1"/>
  <c r="M266" i="1" s="1"/>
  <c r="L78" i="1"/>
  <c r="K78" i="1"/>
  <c r="K125" i="1" s="1"/>
  <c r="J78" i="1"/>
  <c r="J125" i="1" s="1"/>
  <c r="J172" i="1" s="1"/>
  <c r="J219" i="1" s="1"/>
  <c r="J266" i="1" s="1"/>
  <c r="I78" i="1"/>
  <c r="I125" i="1" s="1"/>
  <c r="I172" i="1" s="1"/>
  <c r="I219" i="1" s="1"/>
  <c r="I266" i="1" s="1"/>
  <c r="H78" i="1"/>
  <c r="N77" i="1"/>
  <c r="N124" i="1" s="1"/>
  <c r="N171" i="1" s="1"/>
  <c r="N218" i="1" s="1"/>
  <c r="N265" i="1" s="1"/>
  <c r="M77" i="1"/>
  <c r="L77" i="1"/>
  <c r="L124" i="1" s="1"/>
  <c r="K77" i="1"/>
  <c r="J77" i="1"/>
  <c r="I77" i="1"/>
  <c r="H77" i="1"/>
  <c r="N76" i="1"/>
  <c r="N123" i="1" s="1"/>
  <c r="N170" i="1" s="1"/>
  <c r="N217" i="1" s="1"/>
  <c r="N264" i="1" s="1"/>
  <c r="M76" i="1"/>
  <c r="L76" i="1"/>
  <c r="L123" i="1" s="1"/>
  <c r="L170" i="1" s="1"/>
  <c r="L217" i="1" s="1"/>
  <c r="L264" i="1" s="1"/>
  <c r="K76" i="1"/>
  <c r="K123" i="1" s="1"/>
  <c r="J76" i="1"/>
  <c r="J123" i="1" s="1"/>
  <c r="J170" i="1" s="1"/>
  <c r="J217" i="1" s="1"/>
  <c r="J264" i="1" s="1"/>
  <c r="I76" i="1"/>
  <c r="I123" i="1" s="1"/>
  <c r="H76" i="1"/>
  <c r="N75" i="1"/>
  <c r="N122" i="1" s="1"/>
  <c r="N169" i="1" s="1"/>
  <c r="N216" i="1" s="1"/>
  <c r="N263" i="1" s="1"/>
  <c r="M75" i="1"/>
  <c r="M122" i="1" s="1"/>
  <c r="M169" i="1" s="1"/>
  <c r="M216" i="1" s="1"/>
  <c r="M263" i="1" s="1"/>
  <c r="L75" i="1"/>
  <c r="K75" i="1"/>
  <c r="J75" i="1"/>
  <c r="J122" i="1" s="1"/>
  <c r="I75" i="1"/>
  <c r="N74" i="1"/>
  <c r="M74" i="1"/>
  <c r="M121" i="1" s="1"/>
  <c r="M168" i="1" s="1"/>
  <c r="M215" i="1" s="1"/>
  <c r="M262" i="1" s="1"/>
  <c r="L74" i="1"/>
  <c r="L121" i="1" s="1"/>
  <c r="L168" i="1" s="1"/>
  <c r="L215" i="1" s="1"/>
  <c r="L262" i="1" s="1"/>
  <c r="K74" i="1"/>
  <c r="K121" i="1" s="1"/>
  <c r="J74" i="1"/>
  <c r="J121" i="1" s="1"/>
  <c r="J168" i="1" s="1"/>
  <c r="J215" i="1" s="1"/>
  <c r="J262" i="1" s="1"/>
  <c r="I74" i="1"/>
  <c r="I121" i="1" s="1"/>
  <c r="I168" i="1" s="1"/>
  <c r="I215" i="1" s="1"/>
  <c r="I262" i="1" s="1"/>
  <c r="N73" i="1"/>
  <c r="N120" i="1" s="1"/>
  <c r="N167" i="1" s="1"/>
  <c r="N214" i="1" s="1"/>
  <c r="N261" i="1" s="1"/>
  <c r="M73" i="1"/>
  <c r="L73" i="1"/>
  <c r="L120" i="1" s="1"/>
  <c r="L167" i="1" s="1"/>
  <c r="L214" i="1" s="1"/>
  <c r="L261" i="1" s="1"/>
  <c r="K73" i="1"/>
  <c r="H73" i="1" s="1"/>
  <c r="J73" i="1"/>
  <c r="J120" i="1" s="1"/>
  <c r="J167" i="1" s="1"/>
  <c r="J214" i="1" s="1"/>
  <c r="J261" i="1" s="1"/>
  <c r="I73" i="1"/>
  <c r="N72" i="1"/>
  <c r="M72" i="1"/>
  <c r="M119" i="1" s="1"/>
  <c r="M166" i="1" s="1"/>
  <c r="M213" i="1" s="1"/>
  <c r="M260" i="1" s="1"/>
  <c r="L72" i="1"/>
  <c r="K72" i="1"/>
  <c r="K119" i="1" s="1"/>
  <c r="J72" i="1"/>
  <c r="J119" i="1" s="1"/>
  <c r="J166" i="1" s="1"/>
  <c r="J213" i="1" s="1"/>
  <c r="J260" i="1" s="1"/>
  <c r="I72" i="1"/>
  <c r="I119" i="1" s="1"/>
  <c r="I166" i="1" s="1"/>
  <c r="I213" i="1" s="1"/>
  <c r="I260" i="1" s="1"/>
  <c r="N71" i="1"/>
  <c r="N118" i="1" s="1"/>
  <c r="N165" i="1" s="1"/>
  <c r="N212" i="1" s="1"/>
  <c r="N259" i="1" s="1"/>
  <c r="M71" i="1"/>
  <c r="L71" i="1"/>
  <c r="L118" i="1" s="1"/>
  <c r="K71" i="1"/>
  <c r="K118" i="1" s="1"/>
  <c r="J71" i="1"/>
  <c r="J118" i="1" s="1"/>
  <c r="J165" i="1" s="1"/>
  <c r="J212" i="1" s="1"/>
  <c r="J259" i="1" s="1"/>
  <c r="I71" i="1"/>
  <c r="I118" i="1" s="1"/>
  <c r="I165" i="1" s="1"/>
  <c r="I212" i="1" s="1"/>
  <c r="I259" i="1" s="1"/>
  <c r="H71" i="1"/>
  <c r="N70" i="1"/>
  <c r="M70" i="1"/>
  <c r="M117" i="1" s="1"/>
  <c r="M164" i="1" s="1"/>
  <c r="M211" i="1" s="1"/>
  <c r="M258" i="1" s="1"/>
  <c r="L70" i="1"/>
  <c r="K70" i="1"/>
  <c r="J70" i="1"/>
  <c r="I70" i="1"/>
  <c r="H70" i="1"/>
  <c r="N69" i="1"/>
  <c r="N116" i="1" s="1"/>
  <c r="N163" i="1" s="1"/>
  <c r="N210" i="1" s="1"/>
  <c r="N257" i="1" s="1"/>
  <c r="M69" i="1"/>
  <c r="M116" i="1" s="1"/>
  <c r="M163" i="1" s="1"/>
  <c r="M210" i="1" s="1"/>
  <c r="M257" i="1" s="1"/>
  <c r="L69" i="1"/>
  <c r="L116" i="1" s="1"/>
  <c r="K69" i="1"/>
  <c r="K116" i="1" s="1"/>
  <c r="J69" i="1"/>
  <c r="J116" i="1" s="1"/>
  <c r="J163" i="1" s="1"/>
  <c r="J210" i="1" s="1"/>
  <c r="J257" i="1" s="1"/>
  <c r="I69" i="1"/>
  <c r="I116" i="1" s="1"/>
  <c r="I163" i="1" s="1"/>
  <c r="I210" i="1" s="1"/>
  <c r="I257" i="1" s="1"/>
  <c r="H69" i="1"/>
  <c r="N68" i="1"/>
  <c r="N115" i="1" s="1"/>
  <c r="N162" i="1" s="1"/>
  <c r="N209" i="1" s="1"/>
  <c r="N256" i="1" s="1"/>
  <c r="M68" i="1"/>
  <c r="L68" i="1"/>
  <c r="K68" i="1"/>
  <c r="K115" i="1" s="1"/>
  <c r="J68" i="1"/>
  <c r="I68" i="1"/>
  <c r="I115" i="1" s="1"/>
  <c r="I162" i="1" s="1"/>
  <c r="I209" i="1" s="1"/>
  <c r="I256" i="1" s="1"/>
  <c r="N67" i="1"/>
  <c r="N114" i="1" s="1"/>
  <c r="N161" i="1" s="1"/>
  <c r="N208" i="1" s="1"/>
  <c r="N255" i="1" s="1"/>
  <c r="M67" i="1"/>
  <c r="M114" i="1" s="1"/>
  <c r="M161" i="1" s="1"/>
  <c r="M208" i="1" s="1"/>
  <c r="M255" i="1" s="1"/>
  <c r="L67" i="1"/>
  <c r="L114" i="1" s="1"/>
  <c r="L161" i="1" s="1"/>
  <c r="L208" i="1" s="1"/>
  <c r="L255" i="1" s="1"/>
  <c r="K67" i="1"/>
  <c r="H67" i="1" s="1"/>
  <c r="J67" i="1"/>
  <c r="J114" i="1" s="1"/>
  <c r="J161" i="1" s="1"/>
  <c r="J208" i="1" s="1"/>
  <c r="J255" i="1" s="1"/>
  <c r="I67" i="1"/>
  <c r="N66" i="1"/>
  <c r="M66" i="1"/>
  <c r="M113" i="1" s="1"/>
  <c r="M160" i="1" s="1"/>
  <c r="M207" i="1" s="1"/>
  <c r="M254" i="1" s="1"/>
  <c r="L66" i="1"/>
  <c r="K66" i="1"/>
  <c r="J66" i="1"/>
  <c r="I66" i="1"/>
  <c r="I113" i="1" s="1"/>
  <c r="I160" i="1" s="1"/>
  <c r="I207" i="1" s="1"/>
  <c r="I254" i="1" s="1"/>
  <c r="N65" i="1"/>
  <c r="M65" i="1"/>
  <c r="L65" i="1"/>
  <c r="L112" i="1" s="1"/>
  <c r="L159" i="1" s="1"/>
  <c r="L206" i="1" s="1"/>
  <c r="L253" i="1" s="1"/>
  <c r="K65" i="1"/>
  <c r="K112" i="1" s="1"/>
  <c r="J65" i="1"/>
  <c r="J112" i="1" s="1"/>
  <c r="J159" i="1" s="1"/>
  <c r="J206" i="1" s="1"/>
  <c r="J253" i="1" s="1"/>
  <c r="I65" i="1"/>
  <c r="I112" i="1" s="1"/>
  <c r="I159" i="1" s="1"/>
  <c r="I206" i="1" s="1"/>
  <c r="I253" i="1" s="1"/>
  <c r="N64" i="1"/>
  <c r="N111" i="1" s="1"/>
  <c r="N158" i="1" s="1"/>
  <c r="N205" i="1" s="1"/>
  <c r="N252" i="1" s="1"/>
  <c r="M64" i="1"/>
  <c r="M111" i="1" s="1"/>
  <c r="L64" i="1"/>
  <c r="K64" i="1"/>
  <c r="J64" i="1"/>
  <c r="J111" i="1" s="1"/>
  <c r="J158" i="1" s="1"/>
  <c r="J205" i="1" s="1"/>
  <c r="J252" i="1" s="1"/>
  <c r="I64" i="1"/>
  <c r="I111" i="1" s="1"/>
  <c r="I158" i="1" s="1"/>
  <c r="I205" i="1" s="1"/>
  <c r="I252" i="1" s="1"/>
  <c r="N63" i="1"/>
  <c r="N110" i="1" s="1"/>
  <c r="N157" i="1" s="1"/>
  <c r="N204" i="1" s="1"/>
  <c r="N251" i="1" s="1"/>
  <c r="M63" i="1"/>
  <c r="L63" i="1"/>
  <c r="K63" i="1"/>
  <c r="J63" i="1"/>
  <c r="J110" i="1" s="1"/>
  <c r="J157" i="1" s="1"/>
  <c r="J204" i="1" s="1"/>
  <c r="J251" i="1" s="1"/>
  <c r="I63" i="1"/>
  <c r="I110" i="1" s="1"/>
  <c r="I157" i="1" s="1"/>
  <c r="I204" i="1" s="1"/>
  <c r="I251" i="1" s="1"/>
  <c r="H63" i="1"/>
  <c r="N62" i="1"/>
  <c r="N109" i="1" s="1"/>
  <c r="N156" i="1" s="1"/>
  <c r="N203" i="1" s="1"/>
  <c r="N250" i="1" s="1"/>
  <c r="M62" i="1"/>
  <c r="M109" i="1" s="1"/>
  <c r="M156" i="1" s="1"/>
  <c r="M203" i="1" s="1"/>
  <c r="M250" i="1" s="1"/>
  <c r="L62" i="1"/>
  <c r="L109" i="1" s="1"/>
  <c r="L156" i="1" s="1"/>
  <c r="L203" i="1" s="1"/>
  <c r="L250" i="1" s="1"/>
  <c r="K62" i="1"/>
  <c r="K109" i="1" s="1"/>
  <c r="K156" i="1" s="1"/>
  <c r="J62" i="1"/>
  <c r="I62" i="1"/>
  <c r="I109" i="1" s="1"/>
  <c r="H62" i="1"/>
  <c r="N61" i="1"/>
  <c r="N108" i="1" s="1"/>
  <c r="N155" i="1" s="1"/>
  <c r="N202" i="1" s="1"/>
  <c r="N249" i="1" s="1"/>
  <c r="M61" i="1"/>
  <c r="M108" i="1" s="1"/>
  <c r="M155" i="1" s="1"/>
  <c r="M202" i="1" s="1"/>
  <c r="M249" i="1" s="1"/>
  <c r="L61" i="1"/>
  <c r="K61" i="1"/>
  <c r="J61" i="1"/>
  <c r="I61" i="1"/>
  <c r="N60" i="1"/>
  <c r="N107" i="1" s="1"/>
  <c r="N154" i="1" s="1"/>
  <c r="N201" i="1" s="1"/>
  <c r="N248" i="1" s="1"/>
  <c r="M60" i="1"/>
  <c r="M107" i="1" s="1"/>
  <c r="M154" i="1" s="1"/>
  <c r="M201" i="1" s="1"/>
  <c r="M248" i="1" s="1"/>
  <c r="L60" i="1"/>
  <c r="K60" i="1"/>
  <c r="K107" i="1" s="1"/>
  <c r="K154" i="1" s="1"/>
  <c r="J60" i="1"/>
  <c r="I60" i="1"/>
  <c r="I107" i="1" s="1"/>
  <c r="N59" i="1"/>
  <c r="N106" i="1" s="1"/>
  <c r="M59" i="1"/>
  <c r="M106" i="1" s="1"/>
  <c r="M153" i="1" s="1"/>
  <c r="M200" i="1" s="1"/>
  <c r="M247" i="1" s="1"/>
  <c r="L59" i="1"/>
  <c r="L106" i="1" s="1"/>
  <c r="L153" i="1" s="1"/>
  <c r="L200" i="1" s="1"/>
  <c r="L247" i="1" s="1"/>
  <c r="K59" i="1"/>
  <c r="H59" i="1" s="1"/>
  <c r="J59" i="1"/>
  <c r="J106" i="1" s="1"/>
  <c r="J153" i="1" s="1"/>
  <c r="J200" i="1" s="1"/>
  <c r="J247" i="1" s="1"/>
  <c r="I59" i="1"/>
  <c r="N58" i="1"/>
  <c r="M58" i="1"/>
  <c r="L58" i="1"/>
  <c r="L105" i="1" s="1"/>
  <c r="L152" i="1" s="1"/>
  <c r="L199" i="1" s="1"/>
  <c r="L246" i="1" s="1"/>
  <c r="K58" i="1"/>
  <c r="K105" i="1" s="1"/>
  <c r="J58" i="1"/>
  <c r="J105" i="1" s="1"/>
  <c r="J152" i="1" s="1"/>
  <c r="J199" i="1" s="1"/>
  <c r="J246" i="1" s="1"/>
  <c r="I58" i="1"/>
  <c r="I105" i="1" s="1"/>
  <c r="N57" i="1"/>
  <c r="N104" i="1" s="1"/>
  <c r="N151" i="1" s="1"/>
  <c r="N198" i="1" s="1"/>
  <c r="N245" i="1" s="1"/>
  <c r="M57" i="1"/>
  <c r="M104" i="1" s="1"/>
  <c r="M151" i="1" s="1"/>
  <c r="M198" i="1" s="1"/>
  <c r="M245" i="1" s="1"/>
  <c r="L57" i="1"/>
  <c r="L104" i="1" s="1"/>
  <c r="L151" i="1" s="1"/>
  <c r="L198" i="1" s="1"/>
  <c r="L245" i="1" s="1"/>
  <c r="K57" i="1"/>
  <c r="K104" i="1" s="1"/>
  <c r="J57" i="1"/>
  <c r="J104" i="1" s="1"/>
  <c r="J151" i="1" s="1"/>
  <c r="J198" i="1" s="1"/>
  <c r="J245" i="1" s="1"/>
  <c r="I57" i="1"/>
  <c r="I104" i="1" s="1"/>
  <c r="I151" i="1" s="1"/>
  <c r="I198" i="1" s="1"/>
  <c r="I245" i="1" s="1"/>
  <c r="H57" i="1"/>
  <c r="N56" i="1"/>
  <c r="M56" i="1"/>
  <c r="L56" i="1"/>
  <c r="L103" i="1" s="1"/>
  <c r="L150" i="1" s="1"/>
  <c r="L197" i="1" s="1"/>
  <c r="L244" i="1" s="1"/>
  <c r="K56" i="1"/>
  <c r="K103" i="1" s="1"/>
  <c r="J56" i="1"/>
  <c r="J103" i="1" s="1"/>
  <c r="J150" i="1" s="1"/>
  <c r="I56" i="1"/>
  <c r="I103" i="1" s="1"/>
  <c r="I150" i="1" s="1"/>
  <c r="I197" i="1" s="1"/>
  <c r="I244" i="1" s="1"/>
  <c r="H56" i="1"/>
  <c r="N55" i="1"/>
  <c r="N102" i="1" s="1"/>
  <c r="N149" i="1" s="1"/>
  <c r="N196" i="1" s="1"/>
  <c r="N243" i="1" s="1"/>
  <c r="M55" i="1"/>
  <c r="L55" i="1"/>
  <c r="L102" i="1" s="1"/>
  <c r="L149" i="1" s="1"/>
  <c r="L196" i="1" s="1"/>
  <c r="L243" i="1" s="1"/>
  <c r="K55" i="1"/>
  <c r="K102" i="1" s="1"/>
  <c r="J55" i="1"/>
  <c r="J102" i="1" s="1"/>
  <c r="I55" i="1"/>
  <c r="H55" i="1"/>
  <c r="N54" i="1"/>
  <c r="N101" i="1" s="1"/>
  <c r="N148" i="1" s="1"/>
  <c r="N195" i="1" s="1"/>
  <c r="N242" i="1" s="1"/>
  <c r="M54" i="1"/>
  <c r="L54" i="1"/>
  <c r="K54" i="1"/>
  <c r="J54" i="1"/>
  <c r="J101" i="1" s="1"/>
  <c r="J148" i="1" s="1"/>
  <c r="J195" i="1" s="1"/>
  <c r="J242" i="1" s="1"/>
  <c r="I54" i="1"/>
  <c r="N53" i="1"/>
  <c r="M53" i="1"/>
  <c r="L53" i="1"/>
  <c r="L100" i="1" s="1"/>
  <c r="L147" i="1" s="1"/>
  <c r="L194" i="1" s="1"/>
  <c r="L241" i="1" s="1"/>
  <c r="K53" i="1"/>
  <c r="H53" i="1" s="1"/>
  <c r="J53" i="1"/>
  <c r="J100" i="1" s="1"/>
  <c r="I53" i="1"/>
  <c r="I100" i="1" s="1"/>
  <c r="I147" i="1" s="1"/>
  <c r="I194" i="1" s="1"/>
  <c r="I241" i="1" s="1"/>
  <c r="N52" i="1"/>
  <c r="N99" i="1" s="1"/>
  <c r="N146" i="1" s="1"/>
  <c r="N193" i="1" s="1"/>
  <c r="N240" i="1" s="1"/>
  <c r="M52" i="1"/>
  <c r="M99" i="1" s="1"/>
  <c r="M146" i="1" s="1"/>
  <c r="M193" i="1" s="1"/>
  <c r="M240" i="1" s="1"/>
  <c r="L52" i="1"/>
  <c r="L99" i="1" s="1"/>
  <c r="L146" i="1" s="1"/>
  <c r="L193" i="1" s="1"/>
  <c r="L240" i="1" s="1"/>
  <c r="K52" i="1"/>
  <c r="J52" i="1"/>
  <c r="I52" i="1"/>
  <c r="N51" i="1"/>
  <c r="M51" i="1"/>
  <c r="M98" i="1" s="1"/>
  <c r="M145" i="1" s="1"/>
  <c r="M192" i="1" s="1"/>
  <c r="M239" i="1" s="1"/>
  <c r="L51" i="1"/>
  <c r="L98" i="1" s="1"/>
  <c r="L145" i="1" s="1"/>
  <c r="L192" i="1" s="1"/>
  <c r="L239" i="1" s="1"/>
  <c r="K51" i="1"/>
  <c r="K98" i="1" s="1"/>
  <c r="J51" i="1"/>
  <c r="J98" i="1" s="1"/>
  <c r="J145" i="1" s="1"/>
  <c r="J192" i="1" s="1"/>
  <c r="J239" i="1" s="1"/>
  <c r="I51" i="1"/>
  <c r="I98" i="1" s="1"/>
  <c r="I145" i="1" s="1"/>
  <c r="I192" i="1" s="1"/>
  <c r="I239" i="1" s="1"/>
  <c r="N50" i="1"/>
  <c r="N97" i="1" s="1"/>
  <c r="N144" i="1" s="1"/>
  <c r="N191" i="1" s="1"/>
  <c r="N238" i="1" s="1"/>
  <c r="M50" i="1" a="1"/>
  <c r="M50" i="1"/>
  <c r="M97" i="1" s="1"/>
  <c r="M144" i="1" s="1"/>
  <c r="M191" i="1" s="1"/>
  <c r="M238" i="1" s="1"/>
  <c r="L50" i="1"/>
  <c r="L97" i="1" s="1"/>
  <c r="L144" i="1" s="1"/>
  <c r="L191" i="1" s="1"/>
  <c r="L238" i="1" s="1"/>
  <c r="K50" i="1"/>
  <c r="H50" i="1" s="1"/>
  <c r="J50" i="1"/>
  <c r="J97" i="1" s="1"/>
  <c r="J144" i="1" s="1"/>
  <c r="J191" i="1" s="1"/>
  <c r="J238" i="1" s="1"/>
  <c r="I50" i="1"/>
  <c r="I97" i="1" s="1"/>
  <c r="N49" i="1"/>
  <c r="N96" i="1" s="1"/>
  <c r="N143" i="1" s="1"/>
  <c r="N190" i="1" s="1"/>
  <c r="N237" i="1" s="1"/>
  <c r="M49" i="1"/>
  <c r="M96" i="1" s="1"/>
  <c r="M143" i="1" s="1"/>
  <c r="M190" i="1" s="1"/>
  <c r="M237" i="1" s="1"/>
  <c r="L49" i="1"/>
  <c r="L96" i="1" s="1"/>
  <c r="L143" i="1" s="1"/>
  <c r="L190" i="1" s="1"/>
  <c r="L237" i="1" s="1"/>
  <c r="K49" i="1"/>
  <c r="K96" i="1" s="1"/>
  <c r="J49" i="1"/>
  <c r="J96" i="1" s="1"/>
  <c r="J143" i="1" s="1"/>
  <c r="J190" i="1" s="1"/>
  <c r="J237" i="1" s="1"/>
  <c r="I49" i="1"/>
  <c r="I96" i="1" s="1"/>
  <c r="I143" i="1" s="1"/>
  <c r="I190" i="1" s="1"/>
  <c r="I237" i="1" s="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H187" i="1" l="1"/>
  <c r="H265" i="1"/>
  <c r="K152" i="1"/>
  <c r="H105" i="1"/>
  <c r="H107" i="1"/>
  <c r="H130" i="1"/>
  <c r="K177" i="1"/>
  <c r="K216" i="1"/>
  <c r="K149" i="1"/>
  <c r="H102" i="1"/>
  <c r="H75" i="1"/>
  <c r="L122" i="1"/>
  <c r="H66" i="1"/>
  <c r="K113" i="1"/>
  <c r="H123" i="1"/>
  <c r="H133" i="1"/>
  <c r="K180" i="1"/>
  <c r="H185" i="1"/>
  <c r="H98" i="1"/>
  <c r="K145" i="1"/>
  <c r="K165" i="1"/>
  <c r="H118" i="1"/>
  <c r="K283" i="1"/>
  <c r="H136" i="1"/>
  <c r="K183" i="1"/>
  <c r="H104" i="1"/>
  <c r="K151" i="1"/>
  <c r="H182" i="1"/>
  <c r="K229" i="1"/>
  <c r="K150" i="1"/>
  <c r="H103" i="1"/>
  <c r="H116" i="1"/>
  <c r="K163" i="1"/>
  <c r="K168" i="1"/>
  <c r="H121" i="1"/>
  <c r="K141" i="1"/>
  <c r="H94" i="1"/>
  <c r="H202" i="1"/>
  <c r="K249" i="1"/>
  <c r="H249" i="1" s="1"/>
  <c r="L189" i="1"/>
  <c r="H142" i="1"/>
  <c r="H184" i="1"/>
  <c r="K231" i="1"/>
  <c r="M101" i="1"/>
  <c r="M148" i="1" s="1"/>
  <c r="M195" i="1" s="1"/>
  <c r="M242" i="1" s="1"/>
  <c r="H54" i="1"/>
  <c r="K157" i="1"/>
  <c r="H110" i="1"/>
  <c r="K201" i="1"/>
  <c r="H154" i="1"/>
  <c r="H68" i="1"/>
  <c r="M115" i="1"/>
  <c r="M162" i="1" s="1"/>
  <c r="M209" i="1" s="1"/>
  <c r="M256" i="1" s="1"/>
  <c r="L108" i="1"/>
  <c r="L155" i="1" s="1"/>
  <c r="L202" i="1" s="1"/>
  <c r="L249" i="1" s="1"/>
  <c r="H61" i="1"/>
  <c r="H126" i="1"/>
  <c r="L173" i="1"/>
  <c r="L220" i="1" s="1"/>
  <c r="L267" i="1" s="1"/>
  <c r="H87" i="1"/>
  <c r="K134" i="1"/>
  <c r="H219" i="1"/>
  <c r="L266" i="1"/>
  <c r="H266" i="1" s="1"/>
  <c r="H138" i="1"/>
  <c r="H170" i="1"/>
  <c r="K99" i="1"/>
  <c r="H52" i="1"/>
  <c r="K203" i="1"/>
  <c r="H156" i="1"/>
  <c r="K166" i="1"/>
  <c r="H119" i="1"/>
  <c r="H186" i="1"/>
  <c r="K233" i="1"/>
  <c r="K267" i="1"/>
  <c r="H267" i="1" s="1"/>
  <c r="H220" i="1"/>
  <c r="H80" i="1"/>
  <c r="K127" i="1"/>
  <c r="H100" i="1"/>
  <c r="K147" i="1"/>
  <c r="H95" i="1"/>
  <c r="H108" i="1"/>
  <c r="K164" i="1"/>
  <c r="H218" i="1"/>
  <c r="K232" i="1"/>
  <c r="H60" i="1"/>
  <c r="H74" i="1"/>
  <c r="H81" i="1"/>
  <c r="H64" i="1"/>
  <c r="K111" i="1"/>
  <c r="H114" i="1"/>
  <c r="H51" i="1"/>
  <c r="H86" i="1"/>
  <c r="H88" i="1"/>
  <c r="H93" i="1"/>
  <c r="H115" i="1"/>
  <c r="H135" i="1"/>
  <c r="K161" i="1"/>
  <c r="K97" i="1"/>
  <c r="K217" i="1"/>
  <c r="H49" i="1"/>
  <c r="H58" i="1"/>
  <c r="H65" i="1"/>
  <c r="H72" i="1"/>
  <c r="H125" i="1"/>
  <c r="K195" i="1"/>
  <c r="H155" i="1"/>
  <c r="H128" i="1"/>
  <c r="K175" i="1"/>
  <c r="H172" i="1"/>
  <c r="H109" i="1"/>
  <c r="H129" i="1"/>
  <c r="K132" i="1"/>
  <c r="H139" i="1"/>
  <c r="H84" i="1"/>
  <c r="K131" i="1"/>
  <c r="K120" i="1"/>
  <c r="H96" i="1"/>
  <c r="K143" i="1"/>
  <c r="H176" i="1"/>
  <c r="K223" i="1"/>
  <c r="K234" i="1"/>
  <c r="K106" i="1"/>
  <c r="K209" i="1"/>
  <c r="H112" i="1"/>
  <c r="K159" i="1"/>
  <c r="H82" i="1"/>
  <c r="H140" i="1"/>
  <c r="H173" i="1"/>
  <c r="H92" i="1"/>
  <c r="H229" i="1" l="1"/>
  <c r="K276" i="1"/>
  <c r="H276" i="1" s="1"/>
  <c r="K206" i="1"/>
  <c r="H159" i="1"/>
  <c r="K160" i="1"/>
  <c r="H113" i="1"/>
  <c r="H147" i="1"/>
  <c r="K194" i="1"/>
  <c r="H231" i="1"/>
  <c r="K278" i="1"/>
  <c r="H278" i="1" s="1"/>
  <c r="K198" i="1"/>
  <c r="H151" i="1"/>
  <c r="L169" i="1"/>
  <c r="H122" i="1"/>
  <c r="K270" i="1"/>
  <c r="H270" i="1" s="1"/>
  <c r="H223" i="1"/>
  <c r="K242" i="1"/>
  <c r="H242" i="1" s="1"/>
  <c r="H195" i="1"/>
  <c r="H149" i="1"/>
  <c r="K196" i="1"/>
  <c r="L236" i="1"/>
  <c r="H189" i="1"/>
  <c r="H148" i="1"/>
  <c r="K158" i="1"/>
  <c r="H111" i="1"/>
  <c r="K263" i="1"/>
  <c r="K188" i="1"/>
  <c r="H141" i="1"/>
  <c r="H165" i="1"/>
  <c r="K212" i="1"/>
  <c r="K224" i="1"/>
  <c r="H177" i="1"/>
  <c r="H127" i="1"/>
  <c r="K174" i="1"/>
  <c r="H183" i="1"/>
  <c r="K230" i="1"/>
  <c r="H234" i="1"/>
  <c r="K281" i="1"/>
  <c r="H281" i="1" s="1"/>
  <c r="K210" i="1"/>
  <c r="H163" i="1"/>
  <c r="H143" i="1"/>
  <c r="K190" i="1"/>
  <c r="K280" i="1"/>
  <c r="H280" i="1" s="1"/>
  <c r="H233" i="1"/>
  <c r="H101" i="1"/>
  <c r="H120" i="1"/>
  <c r="K167" i="1"/>
  <c r="K178" i="1"/>
  <c r="H131" i="1"/>
  <c r="K213" i="1"/>
  <c r="H166" i="1"/>
  <c r="H168" i="1"/>
  <c r="K215" i="1"/>
  <c r="H162" i="1"/>
  <c r="H217" i="1"/>
  <c r="K264" i="1"/>
  <c r="H264" i="1" s="1"/>
  <c r="H232" i="1"/>
  <c r="K279" i="1"/>
  <c r="H279" i="1" s="1"/>
  <c r="H203" i="1"/>
  <c r="K250" i="1"/>
  <c r="H250" i="1" s="1"/>
  <c r="K248" i="1"/>
  <c r="H248" i="1" s="1"/>
  <c r="H201" i="1"/>
  <c r="H152" i="1"/>
  <c r="K199" i="1"/>
  <c r="K144" i="1"/>
  <c r="H97" i="1"/>
  <c r="H180" i="1"/>
  <c r="K227" i="1"/>
  <c r="K256" i="1"/>
  <c r="H256" i="1" s="1"/>
  <c r="H209" i="1"/>
  <c r="K222" i="1"/>
  <c r="H175" i="1"/>
  <c r="K153" i="1"/>
  <c r="H106" i="1"/>
  <c r="H134" i="1"/>
  <c r="K181" i="1"/>
  <c r="K192" i="1"/>
  <c r="H145" i="1"/>
  <c r="H132" i="1"/>
  <c r="K179" i="1"/>
  <c r="K208" i="1"/>
  <c r="H161" i="1"/>
  <c r="H164" i="1"/>
  <c r="K211" i="1"/>
  <c r="K146" i="1"/>
  <c r="H99" i="1"/>
  <c r="H157" i="1"/>
  <c r="K204" i="1"/>
  <c r="H150" i="1"/>
  <c r="K197" i="1"/>
  <c r="H212" i="1" l="1"/>
  <c r="K259" i="1"/>
  <c r="H259" i="1" s="1"/>
  <c r="K235" i="1"/>
  <c r="H188" i="1"/>
  <c r="L216" i="1"/>
  <c r="H169" i="1"/>
  <c r="H153" i="1"/>
  <c r="K200" i="1"/>
  <c r="K245" i="1"/>
  <c r="H245" i="1" s="1"/>
  <c r="H198" i="1"/>
  <c r="K251" i="1"/>
  <c r="H251" i="1" s="1"/>
  <c r="H204" i="1"/>
  <c r="H197" i="1"/>
  <c r="K244" i="1"/>
  <c r="H244" i="1" s="1"/>
  <c r="H194" i="1"/>
  <c r="K241" i="1"/>
  <c r="H241" i="1" s="1"/>
  <c r="L283" i="1"/>
  <c r="H283" i="1" s="1"/>
  <c r="H236" i="1"/>
  <c r="H160" i="1"/>
  <c r="K207" i="1"/>
  <c r="H192" i="1"/>
  <c r="K239" i="1"/>
  <c r="H239" i="1" s="1"/>
  <c r="K205" i="1"/>
  <c r="H158" i="1"/>
  <c r="H146" i="1"/>
  <c r="K193" i="1"/>
  <c r="K262" i="1"/>
  <c r="H262" i="1" s="1"/>
  <c r="H215" i="1"/>
  <c r="K258" i="1"/>
  <c r="H258" i="1" s="1"/>
  <c r="H211" i="1"/>
  <c r="K277" i="1"/>
  <c r="H277" i="1" s="1"/>
  <c r="H230" i="1"/>
  <c r="H213" i="1"/>
  <c r="K260" i="1"/>
  <c r="H260" i="1" s="1"/>
  <c r="H208" i="1"/>
  <c r="K255" i="1"/>
  <c r="H255" i="1" s="1"/>
  <c r="K253" i="1"/>
  <c r="H253" i="1" s="1"/>
  <c r="H206" i="1"/>
  <c r="H181" i="1"/>
  <c r="K228" i="1"/>
  <c r="K237" i="1"/>
  <c r="H237" i="1" s="1"/>
  <c r="H190" i="1"/>
  <c r="K269" i="1"/>
  <c r="H269" i="1" s="1"/>
  <c r="H222" i="1"/>
  <c r="H210" i="1"/>
  <c r="K257" i="1"/>
  <c r="H257" i="1" s="1"/>
  <c r="K274" i="1"/>
  <c r="H274" i="1" s="1"/>
  <c r="H227" i="1"/>
  <c r="K221" i="1"/>
  <c r="H174" i="1"/>
  <c r="H196" i="1"/>
  <c r="K243" i="1"/>
  <c r="H243" i="1" s="1"/>
  <c r="H144" i="1"/>
  <c r="K191" i="1"/>
  <c r="K226" i="1"/>
  <c r="H179" i="1"/>
  <c r="K246" i="1"/>
  <c r="H246" i="1" s="1"/>
  <c r="H199" i="1"/>
  <c r="H178" i="1"/>
  <c r="K225" i="1"/>
  <c r="H167" i="1"/>
  <c r="K214" i="1"/>
  <c r="H224" i="1"/>
  <c r="K271" i="1"/>
  <c r="H271" i="1" s="1"/>
  <c r="K240" i="1" l="1"/>
  <c r="H240" i="1" s="1"/>
  <c r="H193" i="1"/>
  <c r="H228" i="1"/>
  <c r="K275" i="1"/>
  <c r="H275" i="1" s="1"/>
  <c r="H200" i="1"/>
  <c r="K247" i="1"/>
  <c r="H247" i="1" s="1"/>
  <c r="K254" i="1"/>
  <c r="H254" i="1" s="1"/>
  <c r="H207" i="1"/>
  <c r="L263" i="1"/>
  <c r="H263" i="1" s="1"/>
  <c r="H216" i="1"/>
  <c r="K238" i="1"/>
  <c r="H238" i="1" s="1"/>
  <c r="H191" i="1"/>
  <c r="K261" i="1"/>
  <c r="H261" i="1" s="1"/>
  <c r="H214" i="1"/>
  <c r="H205" i="1"/>
  <c r="K252" i="1"/>
  <c r="H252" i="1" s="1"/>
  <c r="H235" i="1"/>
  <c r="K282" i="1"/>
  <c r="H282" i="1" s="1"/>
  <c r="H221" i="1"/>
  <c r="K268" i="1"/>
  <c r="H268" i="1" s="1"/>
  <c r="K272" i="1"/>
  <c r="H272" i="1" s="1"/>
  <c r="H225" i="1"/>
  <c r="H226" i="1"/>
  <c r="K273" i="1"/>
  <c r="H273" i="1" s="1"/>
</calcChain>
</file>

<file path=xl/sharedStrings.xml><?xml version="1.0" encoding="utf-8"?>
<sst xmlns="http://schemas.openxmlformats.org/spreadsheetml/2006/main" count="1974" uniqueCount="339">
  <si>
    <t>ldndc_species_parameter_number</t>
  </si>
  <si>
    <t>common_name</t>
  </si>
  <si>
    <t>scientific_name</t>
  </si>
  <si>
    <t>subfamily</t>
  </si>
  <si>
    <t>tribe</t>
  </si>
  <si>
    <t>genus</t>
  </si>
  <si>
    <t>descriptor</t>
  </si>
  <si>
    <t>search.text</t>
  </si>
  <si>
    <t>category</t>
  </si>
  <si>
    <t>code</t>
  </si>
  <si>
    <t>description</t>
  </si>
  <si>
    <t>unit in words</t>
  </si>
  <si>
    <t>unit</t>
  </si>
  <si>
    <t>significant.digits</t>
  </si>
  <si>
    <t>minimum</t>
  </si>
  <si>
    <t>maximum</t>
  </si>
  <si>
    <t>point_estimate</t>
  </si>
  <si>
    <t>midpoint</t>
  </si>
  <si>
    <t>references</t>
  </si>
  <si>
    <t>reference_minimum</t>
  </si>
  <si>
    <t>reference_maximum</t>
  </si>
  <si>
    <t>reference_point_estimate</t>
  </si>
  <si>
    <t>red oat grass</t>
  </si>
  <si>
    <t>Themeda triandra</t>
  </si>
  <si>
    <t>Panicoideae</t>
  </si>
  <si>
    <t>Andropogonea</t>
  </si>
  <si>
    <t>themeda</t>
  </si>
  <si>
    <t>c4 perennial tufted and drought adapted grass</t>
  </si>
  <si>
    <t>co2</t>
  </si>
  <si>
    <t>KO25</t>
  </si>
  <si>
    <t>Michaelis Menten constant for O2 at 25 degrees C</t>
  </si>
  <si>
    <t>millimols per mol per mbar</t>
  </si>
  <si>
    <t>mmol mol-1 mbar-1</t>
  </si>
  <si>
    <t>Collatz et al. 1992; von Caemmerer 2000</t>
  </si>
  <si>
    <t>KM20</t>
  </si>
  <si>
    <t>Maintenance coefficient at reference temperature</t>
  </si>
  <si>
    <t>fraction</t>
  </si>
  <si>
    <t>-</t>
  </si>
  <si>
    <t>Thornley &amp; Cannell 2000</t>
  </si>
  <si>
    <t>VCMAX25</t>
  </si>
  <si>
    <t>Maximum RubP saturated rate of carboxylation at 25oC for sun leaves</t>
  </si>
  <si>
    <t>micromols per square meter per second</t>
  </si>
  <si>
    <t>umol m^-2 s^-1</t>
  </si>
  <si>
    <t>Ghuman et al. 2023; Wand et al. 1999</t>
  </si>
  <si>
    <t>AEJM</t>
  </si>
  <si>
    <t>Activation energy for electron transport</t>
  </si>
  <si>
    <t>Joules per mol</t>
  </si>
  <si>
    <t>J mol^-1</t>
  </si>
  <si>
    <t>Rahimi et al. 2021; Massad et al. 2007</t>
  </si>
  <si>
    <t>AEKC</t>
  </si>
  <si>
    <t>Activation energy for Michaelis-Menten constant for CO2</t>
  </si>
  <si>
    <t>Bernacchi et al. 2001; Boyd et al. 2015</t>
  </si>
  <si>
    <t>AEKO</t>
  </si>
  <si>
    <t>Activation energy for Michaelis-Menten constant for O2</t>
  </si>
  <si>
    <t>AERD</t>
  </si>
  <si>
    <t>Activation energy for dark respiration</t>
  </si>
  <si>
    <t>Massad et al. 2007; Atkin et al. 2015</t>
  </si>
  <si>
    <t>AEVC</t>
  </si>
  <si>
    <t>Activation energy for photosynthesis</t>
  </si>
  <si>
    <t>J mol^-2</t>
  </si>
  <si>
    <t>AEVO</t>
  </si>
  <si>
    <t>Activation energy for RubP oxygenation</t>
  </si>
  <si>
    <t>J mol-1</t>
  </si>
  <si>
    <t>Massad et al. 2007; Bernacchi et al. 2001</t>
  </si>
  <si>
    <t>KC25</t>
  </si>
  <si>
    <t>Relation between maximum electron transport rate and RubP saturated rate of carboxylation</t>
  </si>
  <si>
    <t>micromols per mol per mbar</t>
  </si>
  <si>
    <t>umol mol-1 ubar-1)</t>
  </si>
  <si>
    <t>von Caemmerer 2000; Collatz et al. 1992</t>
  </si>
  <si>
    <t>THETA</t>
  </si>
  <si>
    <t>Curvature parameter for the light response curve</t>
  </si>
  <si>
    <t>Quirk et al. 2019; Bellasio et al. 2017</t>
  </si>
  <si>
    <t>QJVC</t>
  </si>
  <si>
    <t>Relation between maximum electron transport rate and RubP saturated rate of carboxylation (ï¿½).</t>
  </si>
  <si>
    <t>Ghuman et al. 2023; von Caemmerer 2000</t>
  </si>
  <si>
    <t>QRD25</t>
  </si>
  <si>
    <t>Relation between dark respiration rate and RubP saturated rate of carboxyla tion at 25 oC</t>
  </si>
  <si>
    <t>water</t>
  </si>
  <si>
    <t>WUECMAX</t>
  </si>
  <si>
    <t>Maximum instantaneous water use efficiency</t>
  </si>
  <si>
    <t>milligrams of carbon dioxide per gram of water</t>
  </si>
  <si>
    <t>mg CO2 g^-1 H2O</t>
  </si>
  <si>
    <t>Snyman et al. 1997</t>
  </si>
  <si>
    <t>WUECMIN</t>
  </si>
  <si>
    <t>minimum instantaneous water use efficiency</t>
  </si>
  <si>
    <t>H2OREF_A</t>
  </si>
  <si>
    <t>relative available soil water content at which drought affects photosynthesis activity</t>
  </si>
  <si>
    <t xml:space="preserve">a fraction </t>
  </si>
  <si>
    <t>Ripley et al. 2010; Snyman et al. 1997</t>
  </si>
  <si>
    <t>H2OREF_SENESCENCE</t>
  </si>
  <si>
    <t>relative available soil water content below which restricted water availability triggers plant senescence</t>
  </si>
  <si>
    <t>Snyman 2002; Snyman et al. 2013</t>
  </si>
  <si>
    <t>H2OREF_GS</t>
  </si>
  <si>
    <t>relative available soil water content at which stomata are fully closed</t>
  </si>
  <si>
    <t>H2OREF_FLUSHING</t>
  </si>
  <si>
    <t>relative available soil water content below which flushing is affected by water
availability</t>
  </si>
  <si>
    <t>Rahimi et al. 2021</t>
  </si>
  <si>
    <t>H2OREF_LEAF_GROWTH</t>
  </si>
  <si>
    <t>relative available soil water content below which leaf growth is affected</t>
  </si>
  <si>
    <t>Rahimi et al. 2021; AquaCrop 6.1</t>
  </si>
  <si>
    <t>GSMAX</t>
  </si>
  <si>
    <t xml:space="preserve">maximum stomatal conductivity </t>
  </si>
  <si>
    <t>millimols of h2o per square meter per second</t>
  </si>
  <si>
    <t>mmol H2O m^(-2) s^(-1)</t>
  </si>
  <si>
    <t>Hanan &amp; Prince 1997; Jacob et al. 2025</t>
  </si>
  <si>
    <t>Jacob et al. 2025</t>
  </si>
  <si>
    <t>Hanan &amp; Prince 1997</t>
  </si>
  <si>
    <t>GSMIN</t>
  </si>
  <si>
    <t xml:space="preserve">minimum stomatal conductivity </t>
  </si>
  <si>
    <t>Middha et al. 2025</t>
  </si>
  <si>
    <t>biomass</t>
  </si>
  <si>
    <t>FRACTION_FOLIAGE</t>
  </si>
  <si>
    <t>Biomass fraction of foliage at maturity.</t>
  </si>
  <si>
    <t>Snyman 2005b</t>
  </si>
  <si>
    <t>FRACTION_ROOT</t>
  </si>
  <si>
    <t>Biomass fraction of roots at maturity</t>
  </si>
  <si>
    <t>Snyman et al. 2013</t>
  </si>
  <si>
    <t>FRACTION_FRUIT</t>
  </si>
  <si>
    <t>Biomass fraction of fruit at maturity.</t>
  </si>
  <si>
    <t>Snyman et al. 2013; Rahimi et al. 2021</t>
  </si>
  <si>
    <t>FOLRELGROMAX</t>
  </si>
  <si>
    <t>Maximum relative growth rate for foliage</t>
  </si>
  <si>
    <t xml:space="preserve">fraction </t>
  </si>
  <si>
    <t>KIT L-DNDC doc</t>
  </si>
  <si>
    <t>MFOLOPT</t>
  </si>
  <si>
    <t>Foliage biomass under optimal, closed canopy condition (kg m-2)</t>
  </si>
  <si>
    <t>kg per square meter</t>
  </si>
  <si>
    <t>kg m^-2</t>
  </si>
  <si>
    <t>light &amp; photosynthesis</t>
  </si>
  <si>
    <t>MWFM</t>
  </si>
  <si>
    <t xml:space="preserve">Specific interception capacity of foliage </t>
  </si>
  <si>
    <t>meters per square meter of LAI</t>
  </si>
  <si>
    <t>m m^-2 LAI</t>
  </si>
  <si>
    <t>AMAXB</t>
  </si>
  <si>
    <t>maximal net photosynthesis</t>
  </si>
  <si>
    <t>nanomols of CO2 per gram per second</t>
  </si>
  <si>
    <t>SLAMAX</t>
  </si>
  <si>
    <t>specific leaf area in the shade</t>
  </si>
  <si>
    <t>square meters per kilogram</t>
  </si>
  <si>
    <t>m^2 kg^-1</t>
  </si>
  <si>
    <t>Ripley et al. 2010</t>
  </si>
  <si>
    <t>SLAMIN</t>
  </si>
  <si>
    <t>specific leaf area under full sun</t>
  </si>
  <si>
    <t>WRC South Africa; Van den Boogaard et al. 1997</t>
  </si>
  <si>
    <t>phenology</t>
  </si>
  <si>
    <t>NDFLUSH</t>
  </si>
  <si>
    <t>Time interval necessary to complete growth of new foliage</t>
  </si>
  <si>
    <t>days</t>
  </si>
  <si>
    <t>Taylor &amp; Walker 1986</t>
  </si>
  <si>
    <t>NDMORTA</t>
  </si>
  <si>
    <t xml:space="preserve">duration of senescence </t>
  </si>
  <si>
    <t>Grote et al. 2021; Mougin et al. 2019</t>
  </si>
  <si>
    <t>GDD_BASE_TEMPERATURE</t>
  </si>
  <si>
    <t>base temperature for growing degree days</t>
  </si>
  <si>
    <t>Groves 1975; SARE research</t>
  </si>
  <si>
    <t>GDD_EMERG</t>
  </si>
  <si>
    <t>growing degree days until beginning of emergence</t>
  </si>
  <si>
    <t>GDD</t>
  </si>
  <si>
    <t>Groves 1975</t>
  </si>
  <si>
    <t>GDD_MATURITY</t>
  </si>
  <si>
    <t>growing degree days until maturity</t>
  </si>
  <si>
    <t>TandfOnline phenology</t>
  </si>
  <si>
    <t>GDD_STEM_ELONGATION</t>
  </si>
  <si>
    <t>growing degree days until begin of stem elongation</t>
  </si>
  <si>
    <t>Hazard et al. 2006; del Prado et al. 2006</t>
  </si>
  <si>
    <t>GDD_ROOTS_GROWN</t>
  </si>
  <si>
    <t>growing degree days until downwards root growth ceases</t>
  </si>
  <si>
    <t>growing degree days</t>
  </si>
  <si>
    <t>TandfOnline research</t>
  </si>
  <si>
    <t>GDDFOLSTART</t>
  </si>
  <si>
    <t>minimum temperature sum for foliage activity onset</t>
  </si>
  <si>
    <t>KIT L-DNDC standard</t>
  </si>
  <si>
    <t>GDDFOLEND</t>
  </si>
  <si>
    <t>growing degree days to complete foliar production</t>
  </si>
  <si>
    <t>LandscapeDNDC standard</t>
  </si>
  <si>
    <t>nitrogen</t>
  </si>
  <si>
    <t>NFIX_RATE</t>
  </si>
  <si>
    <t>potential nitrogen fixation rate per plant dry matter tissue and day</t>
  </si>
  <si>
    <t>kg N per kg DM per day</t>
  </si>
  <si>
    <t>kg N/kg DM/day</t>
  </si>
  <si>
    <t>Non-legume C4 grass default</t>
  </si>
  <si>
    <t>NCFOLOPT</t>
  </si>
  <si>
    <t>Optimum nitrogen concentration of foliage</t>
  </si>
  <si>
    <t>kg per kg</t>
  </si>
  <si>
    <t>kg/kg</t>
  </si>
  <si>
    <t>ResearchGate savanna grass traits</t>
  </si>
  <si>
    <t>NC_FINEROOTS_MAX</t>
  </si>
  <si>
    <t>Maximum (optimum) nitrogen concentration of fine roots</t>
  </si>
  <si>
    <t>ResearchGate root traits</t>
  </si>
  <si>
    <t>NC_FINEROOTS_MIN</t>
  </si>
  <si>
    <t>Minimum nitrogen concentration of fine roots</t>
  </si>
  <si>
    <t>Downing &amp; Marshall 1983</t>
  </si>
  <si>
    <t>NC_STRUCTURAL_TISSUE_MAX</t>
  </si>
  <si>
    <t>Optimum nitrogen concentration of living structural tissue</t>
  </si>
  <si>
    <t>LandscapeDNDC C4 grass standard</t>
  </si>
  <si>
    <t>NC_STRUCTURAL_TISSUE_MIN</t>
  </si>
  <si>
    <t>Minimum nitrogen concentration of living structural tissue</t>
  </si>
  <si>
    <t>QRF</t>
  </si>
  <si>
    <t>Ratio between fine root- and foliage biomass under standard conditions.</t>
  </si>
  <si>
    <t>ratio</t>
  </si>
  <si>
    <t>GRASP model standard</t>
  </si>
  <si>
    <t>Bermuda grass</t>
  </si>
  <si>
    <t>Cynodon dactylon/cynodon nlemfuensis</t>
  </si>
  <si>
    <t>Chloridoideae </t>
  </si>
  <si>
    <t>Cynodonteae</t>
  </si>
  <si>
    <t>cynodon</t>
  </si>
  <si>
    <t>short c4 turfgrass adapted to east africa</t>
  </si>
  <si>
    <t>von Caemmerer 2000; Carmo-Silva et al. 2010</t>
  </si>
  <si>
    <t>Carmo-Silva et al. 2008</t>
  </si>
  <si>
    <t>Massad et al. 2007; Rahimi et al. 2021</t>
  </si>
  <si>
    <t>Carmo-Silva et al. 2010; Boyd et al. 2015</t>
  </si>
  <si>
    <t>Yu et al. 2001; Boyd et al. 2015</t>
  </si>
  <si>
    <t>Rahimi et al. 2021; Atkin et al. 2015</t>
  </si>
  <si>
    <t>Carmo-Silva et al. 2012; Sage 2002</t>
  </si>
  <si>
    <t>Grote et al. 2021</t>
  </si>
  <si>
    <t>Kieffer et al. 2024</t>
  </si>
  <si>
    <t>Carmo-Silva et al. 2010</t>
  </si>
  <si>
    <t>Rahimi et al. 2021; Sonawane et al. 2017</t>
  </si>
  <si>
    <t>Harvard PFT data</t>
  </si>
  <si>
    <t>KIT L-DNDC data</t>
  </si>
  <si>
    <t>KIT L-DNDC library</t>
  </si>
  <si>
    <t>MDPI physiological survey</t>
  </si>
  <si>
    <t>Rahimi et al. 2021 fallback</t>
  </si>
  <si>
    <t>Standard C4 grass default</t>
  </si>
  <si>
    <t>Morgan &amp; Brown 1983</t>
  </si>
  <si>
    <t>Ulisboa research data</t>
  </si>
  <si>
    <t>tsusinvasives.org</t>
  </si>
  <si>
    <t>ResearchGate root mass studies</t>
  </si>
  <si>
    <t>L-DNDC standard</t>
  </si>
  <si>
    <t>ResearchGate survey</t>
  </si>
  <si>
    <t>GLOPNET database</t>
  </si>
  <si>
    <t>CROPGRO-PFM</t>
  </si>
  <si>
    <t>DSSAT; CROPGRO</t>
  </si>
  <si>
    <t>Copernicus 2021</t>
  </si>
  <si>
    <t>Greencast Online</t>
  </si>
  <si>
    <t>Purdue Turf science</t>
  </si>
  <si>
    <t>Greencast Online survey</t>
  </si>
  <si>
    <t>Sabrao Journal 2012</t>
  </si>
  <si>
    <t>University of Minnesota research</t>
  </si>
  <si>
    <t>African Foxtail Grass</t>
  </si>
  <si>
    <t>cenchrus mezianum or pennisetum mezianum</t>
  </si>
  <si>
    <t>Paniceae</t>
  </si>
  <si>
    <t>cenchrus</t>
  </si>
  <si>
    <t>Sharwood et al. 2016</t>
  </si>
  <si>
    <t>Thornley &amp; Cannell 2000 fallback</t>
  </si>
  <si>
    <t>Anderson et al. 2006</t>
  </si>
  <si>
    <t>Sharwood et al. 2016; Rahimi et al. 2021</t>
  </si>
  <si>
    <t>Rahimi et al. 2021; Bernacchi et al. 2001 fallback</t>
  </si>
  <si>
    <t>Rahimi et al. 2021; Collatz et al. 1992</t>
  </si>
  <si>
    <t>Anderson et al. 2006; von Caemmerer 2000</t>
  </si>
  <si>
    <t>Sonawane et al. 2018; Anderson et al. 2006</t>
  </si>
  <si>
    <t>von Caemmerer 2000; Anderson et al. 2006</t>
  </si>
  <si>
    <t>von Caemmerer 2000; Rahimi et al. 2021</t>
  </si>
  <si>
    <t>Coughenour 1985; KIT L-DNDC documentation</t>
  </si>
  <si>
    <t>Sheriff &amp; Ludlow 1984</t>
  </si>
  <si>
    <t>Kinyamario &amp; Imbamba 1992</t>
  </si>
  <si>
    <t>Kinyamario &amp; Imbamba 1992 (default C4)</t>
  </si>
  <si>
    <t>Coughenour 1985; University of Nairobi research</t>
  </si>
  <si>
    <t>Coughenour 1985 fallback</t>
  </si>
  <si>
    <t>ResearchGate savanna survey 2018</t>
  </si>
  <si>
    <t>ResearchGate survey fallback</t>
  </si>
  <si>
    <t>Cas.cz Buffel grass study</t>
  </si>
  <si>
    <t>APSIM Cenchrus parameters</t>
  </si>
  <si>
    <t>Feedipedia Cenchrus phenology</t>
  </si>
  <si>
    <t>ResearchGate savanna phenology; Mougin et al. 2019</t>
  </si>
  <si>
    <t>Tropicalforages.info; greencastonline</t>
  </si>
  <si>
    <t>The-EIS.com; Tropicalforages</t>
  </si>
  <si>
    <t>Greencast Online survey; APSIM Cenchrus</t>
  </si>
  <si>
    <t>TandfOnline; Sabrao Journal</t>
  </si>
  <si>
    <t>University of Minnesota; APSIM Cenchrus</t>
  </si>
  <si>
    <t>Imedpub 2017; Feedipedia</t>
  </si>
  <si>
    <t>whistling thorn</t>
  </si>
  <si>
    <t>Vachellia drepanolobium</t>
  </si>
  <si>
    <t xml:space="preserve">Mimosoideae  </t>
  </si>
  <si>
    <t>Acacieae</t>
  </si>
  <si>
    <t>Vachellia</t>
  </si>
  <si>
    <t>drought and heat resistant shrubs and trees in East African savannah</t>
  </si>
  <si>
    <t>Bernacchi et al. 2001</t>
  </si>
  <si>
    <t>Mizell et al. 2025; Milligan et al. 2021</t>
  </si>
  <si>
    <t>Bernacchi et al. 2003</t>
  </si>
  <si>
    <t>Savanna tree default</t>
  </si>
  <si>
    <t>Standard shrub/tree default</t>
  </si>
  <si>
    <t>Mizell et al. 2025</t>
  </si>
  <si>
    <t>General Savanna estimate</t>
  </si>
  <si>
    <t>L-DNDC/MoBiLe defaults</t>
  </si>
  <si>
    <t>Mizell et al. 2025 (Shade)</t>
  </si>
  <si>
    <t>Mizell et al. 2025 (Sun)</t>
  </si>
  <si>
    <t>Potter et al. 2021</t>
  </si>
  <si>
    <t>Dry season duration</t>
  </si>
  <si>
    <t>Tropical tree standard</t>
  </si>
  <si>
    <t>Indigofera volkensii</t>
  </si>
  <si>
    <t>Faboideae</t>
  </si>
  <si>
    <t>Indigofereae</t>
  </si>
  <si>
    <t xml:space="preserve">Indigofera </t>
  </si>
  <si>
    <t>small leguminous shrubs adapted to semi-arid savannah of East Africa</t>
  </si>
  <si>
    <t>Chen et al. 2022; TRY database</t>
  </si>
  <si>
    <t>Bernacchi et al. 2001; Grote et al. 2021</t>
  </si>
  <si>
    <t>Standard C3 legume (Indigofereae)</t>
  </si>
  <si>
    <t>Wullschleger 1993; Rogers et al. 2017</t>
  </si>
  <si>
    <t>Collatz et al. 1991; Standard C3 legume</t>
  </si>
  <si>
    <t>Coughenour et al. 1990; Kinyamario &amp; McNaughton 1990</t>
  </si>
  <si>
    <t>Legume PFT default</t>
  </si>
  <si>
    <t>Chen et al. 2022; Typical C3 legume in semi-arid savanna</t>
  </si>
  <si>
    <t>Soka et al. 2018; Serengeti National Park studies</t>
  </si>
  <si>
    <t>Potter et al. 2021; Serengeti National Park studies</t>
  </si>
  <si>
    <t>Typical C3 leguminous shrub</t>
  </si>
  <si>
    <t>Serengeti National Park phenology studies</t>
  </si>
  <si>
    <t>Dry season duration in East African savannah</t>
  </si>
  <si>
    <t>Tropical leguminous subshrub standard</t>
  </si>
  <si>
    <t>ResearchGate estimates; Selina Wamucii</t>
  </si>
  <si>
    <t>Kew.org botanical data</t>
  </si>
  <si>
    <t>Tropical leguminous subshrub life cycle studies</t>
  </si>
  <si>
    <t>PictureThisAI</t>
  </si>
  <si>
    <t>LandscapeDNDC tropical shrub standard</t>
  </si>
  <si>
    <t>tephrosia pumila</t>
  </si>
  <si>
    <t>Millettieae</t>
  </si>
  <si>
    <t>tephrosia</t>
  </si>
  <si>
    <t>short flowering leguminous shrub adapted to savannah of East African</t>
  </si>
  <si>
    <t>Bernacchi et al. 2001 C3 fallback</t>
  </si>
  <si>
    <t>Hilaris Publisher 2023; LandscapeDNDC C3 forb</t>
  </si>
  <si>
    <t>Bernacchi et al. 2003 C3 legume fallback</t>
  </si>
  <si>
    <t>Bernacchi et al. 2001 C3 legume fallback</t>
  </si>
  <si>
    <t>Standard C3 legume</t>
  </si>
  <si>
    <t>Yan et al. 2021</t>
  </si>
  <si>
    <t>Collatz et al. 1991</t>
  </si>
  <si>
    <t>Coughenour et al. 1990</t>
  </si>
  <si>
    <t>Sheriff &amp; Ludlow 1984 fallback</t>
  </si>
  <si>
    <t>IRRI 2023; ResearchGate survey</t>
  </si>
  <si>
    <t>Standard physiological constant</t>
  </si>
  <si>
    <t>ResearchGate Fabaceae datasets</t>
  </si>
  <si>
    <t>ResearchGate tropical legume estimates</t>
  </si>
  <si>
    <t>ResearchGate Tephrosia traits</t>
  </si>
  <si>
    <t>KIT L-DNDC documentation</t>
  </si>
  <si>
    <t>TRY Plant Trait Database</t>
  </si>
  <si>
    <t>Loth 1999</t>
  </si>
  <si>
    <t>Loth 1999 fallback</t>
  </si>
  <si>
    <t>Scribd phenology report</t>
  </si>
  <si>
    <t>ResearchGate germination studies</t>
  </si>
  <si>
    <t>Core.ac.uk weed flora 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</si>
</sst>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wrapText="1"/>
    </xf>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283"/>
  <sheetViews>
    <sheetView tabSelected="1" topLeftCell="H1" workbookViewId="0">
      <selection activeCell="M17" sqref="M17"/>
    </sheetView>
  </sheetViews>
  <sheetFormatPr defaultRowHeight="15" x14ac:dyDescent="0.25"/>
  <cols>
    <col min="8" max="8" width="255.5703125" customWidth="1"/>
    <col min="10" max="10" width="25.7109375" customWidth="1"/>
    <col min="13" max="13" width="26.710937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B2" t="s">
        <v>22</v>
      </c>
      <c r="C2" t="s">
        <v>23</v>
      </c>
      <c r="D2" t="s">
        <v>24</v>
      </c>
      <c r="E2" t="s">
        <v>25</v>
      </c>
      <c r="F2" t="s">
        <v>26</v>
      </c>
      <c r="G2" t="s">
        <v>27</v>
      </c>
      <c r="H2" t="str">
        <f t="shared" ref="H2:H65" si="0">_xlfn.CONCAT("studies which report the ", K2," as ",L2,"  (",M2,") , and the values reported therein, of ", C2," ( ", B2,")  under semi-arid environments. If no data for this species exists, please default first to other species of the genus ", F2,"  and then the SUBfamily ", D2,"  and then the tribe ", E2,".")</f>
        <v>studies which report the Michaelis Menten constant for O2 at 25 degrees C as millimols per mol per mbar  (mmol mol-1 mbar-1) , and the values reported therein, of Themeda triandra ( red oat grass)  under semi-arid environments. If no data for this species exists, please default first to other species of the genus themeda  and then the SUBfamily Panicoideae  and then the tribe Andropogonea.</v>
      </c>
      <c r="I2" t="s">
        <v>28</v>
      </c>
      <c r="J2" t="s">
        <v>29</v>
      </c>
      <c r="K2" t="s">
        <v>30</v>
      </c>
      <c r="L2" t="s">
        <v>31</v>
      </c>
      <c r="M2" t="s">
        <v>32</v>
      </c>
      <c r="N2">
        <v>2</v>
      </c>
      <c r="O2">
        <v>300</v>
      </c>
      <c r="P2">
        <v>450</v>
      </c>
      <c r="Q2">
        <v>450</v>
      </c>
      <c r="R2">
        <v>375</v>
      </c>
      <c r="S2" t="s">
        <v>33</v>
      </c>
    </row>
    <row r="3" spans="1:22" x14ac:dyDescent="0.25">
      <c r="B3" t="s">
        <v>22</v>
      </c>
      <c r="C3" t="s">
        <v>23</v>
      </c>
      <c r="D3" t="s">
        <v>24</v>
      </c>
      <c r="E3" t="s">
        <v>25</v>
      </c>
      <c r="F3" t="s">
        <v>26</v>
      </c>
      <c r="G3" t="s">
        <v>27</v>
      </c>
      <c r="H3" t="str">
        <f t="shared" si="0"/>
        <v>studies which report the Maintenance coefficient at reference temperature as fraction  (-) , and the values reported therein, of Themeda triandra ( red oat grass)  under semi-arid environments. If no data for this species exists, please default first to other species of the genus themeda  and then the SUBfamily Panicoideae  and then the tribe Andropogonea.</v>
      </c>
      <c r="I3" t="s">
        <v>28</v>
      </c>
      <c r="J3" t="s">
        <v>34</v>
      </c>
      <c r="K3" t="s">
        <v>35</v>
      </c>
      <c r="L3" t="s">
        <v>36</v>
      </c>
      <c r="M3" s="2" t="s">
        <v>37</v>
      </c>
      <c r="N3">
        <v>2</v>
      </c>
      <c r="O3">
        <v>1.4999999999999999E-2</v>
      </c>
      <c r="P3">
        <v>2.5000000000000001E-2</v>
      </c>
      <c r="Q3">
        <v>1.4999999999999999E-2</v>
      </c>
      <c r="R3">
        <v>0.02</v>
      </c>
      <c r="S3" t="s">
        <v>38</v>
      </c>
    </row>
    <row r="4" spans="1:22" x14ac:dyDescent="0.25">
      <c r="B4" t="s">
        <v>22</v>
      </c>
      <c r="C4" t="s">
        <v>23</v>
      </c>
      <c r="D4" t="s">
        <v>24</v>
      </c>
      <c r="E4" t="s">
        <v>25</v>
      </c>
      <c r="F4" t="s">
        <v>26</v>
      </c>
      <c r="G4" t="s">
        <v>27</v>
      </c>
      <c r="H4" t="str">
        <f t="shared" si="0"/>
        <v>studies which report the Maximum RubP saturated rate of carboxylation at 25oC for sun leaves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4" t="s">
        <v>28</v>
      </c>
      <c r="J4" t="s">
        <v>39</v>
      </c>
      <c r="K4" t="s">
        <v>40</v>
      </c>
      <c r="L4" t="s">
        <v>41</v>
      </c>
      <c r="M4" t="s">
        <v>42</v>
      </c>
      <c r="N4">
        <v>2</v>
      </c>
      <c r="O4">
        <v>25</v>
      </c>
      <c r="P4">
        <v>55</v>
      </c>
      <c r="Q4">
        <v>35.4</v>
      </c>
      <c r="R4">
        <v>40</v>
      </c>
      <c r="S4" t="s">
        <v>43</v>
      </c>
    </row>
    <row r="5" spans="1:22" x14ac:dyDescent="0.25">
      <c r="B5" t="s">
        <v>22</v>
      </c>
      <c r="C5" t="s">
        <v>23</v>
      </c>
      <c r="D5" t="s">
        <v>24</v>
      </c>
      <c r="E5" t="s">
        <v>25</v>
      </c>
      <c r="F5" t="s">
        <v>26</v>
      </c>
      <c r="G5" t="s">
        <v>27</v>
      </c>
      <c r="H5" t="str">
        <f t="shared" si="0"/>
        <v>studies which report the Activation energy for electron transport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5" t="s">
        <v>28</v>
      </c>
      <c r="J5" t="s">
        <v>44</v>
      </c>
      <c r="K5" t="s">
        <v>45</v>
      </c>
      <c r="L5" t="s">
        <v>46</v>
      </c>
      <c r="M5" t="s">
        <v>47</v>
      </c>
      <c r="N5">
        <v>0</v>
      </c>
      <c r="O5">
        <v>37000</v>
      </c>
      <c r="P5">
        <v>77900</v>
      </c>
      <c r="Q5">
        <v>40000</v>
      </c>
      <c r="R5">
        <v>57450</v>
      </c>
      <c r="S5" t="s">
        <v>48</v>
      </c>
    </row>
    <row r="6" spans="1:22" x14ac:dyDescent="0.25">
      <c r="B6" t="s">
        <v>22</v>
      </c>
      <c r="C6" t="s">
        <v>23</v>
      </c>
      <c r="D6" t="s">
        <v>24</v>
      </c>
      <c r="E6" t="s">
        <v>25</v>
      </c>
      <c r="F6" t="s">
        <v>26</v>
      </c>
      <c r="G6" t="s">
        <v>27</v>
      </c>
      <c r="H6" t="str">
        <f t="shared" si="0"/>
        <v>studies which report the Activation energy for Michaelis-Menten constant for CO2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6" t="s">
        <v>28</v>
      </c>
      <c r="J6" t="s">
        <v>49</v>
      </c>
      <c r="K6" t="s">
        <v>50</v>
      </c>
      <c r="L6" t="s">
        <v>46</v>
      </c>
      <c r="M6" t="s">
        <v>47</v>
      </c>
      <c r="N6">
        <v>0</v>
      </c>
      <c r="O6">
        <v>36300</v>
      </c>
      <c r="P6">
        <v>79430</v>
      </c>
      <c r="Q6">
        <v>79430</v>
      </c>
      <c r="R6">
        <v>57865</v>
      </c>
      <c r="S6" t="s">
        <v>51</v>
      </c>
    </row>
    <row r="7" spans="1:22" x14ac:dyDescent="0.25">
      <c r="B7" t="s">
        <v>22</v>
      </c>
      <c r="C7" t="s">
        <v>23</v>
      </c>
      <c r="D7" t="s">
        <v>24</v>
      </c>
      <c r="E7" t="s">
        <v>25</v>
      </c>
      <c r="F7" t="s">
        <v>26</v>
      </c>
      <c r="G7" t="s">
        <v>27</v>
      </c>
      <c r="H7" t="str">
        <f t="shared" si="0"/>
        <v>studies which report the Activation energy for Michaelis-Menten constant for O2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7" t="s">
        <v>28</v>
      </c>
      <c r="J7" t="s">
        <v>52</v>
      </c>
      <c r="K7" t="s">
        <v>53</v>
      </c>
      <c r="L7" t="s">
        <v>46</v>
      </c>
      <c r="M7" t="s">
        <v>47</v>
      </c>
      <c r="N7">
        <v>0</v>
      </c>
      <c r="O7">
        <v>21700</v>
      </c>
      <c r="P7">
        <v>70000</v>
      </c>
      <c r="Q7">
        <v>36380</v>
      </c>
      <c r="R7">
        <v>45850</v>
      </c>
      <c r="S7" t="s">
        <v>51</v>
      </c>
    </row>
    <row r="8" spans="1:22" x14ac:dyDescent="0.25">
      <c r="B8" t="s">
        <v>22</v>
      </c>
      <c r="C8" t="s">
        <v>23</v>
      </c>
      <c r="D8" t="s">
        <v>24</v>
      </c>
      <c r="E8" t="s">
        <v>25</v>
      </c>
      <c r="F8" t="s">
        <v>26</v>
      </c>
      <c r="G8" t="s">
        <v>27</v>
      </c>
      <c r="H8" t="str">
        <f t="shared" si="0"/>
        <v>studies which report the Activation energy for dark respiration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8" t="s">
        <v>28</v>
      </c>
      <c r="J8" t="s">
        <v>54</v>
      </c>
      <c r="K8" t="s">
        <v>55</v>
      </c>
      <c r="L8" t="s">
        <v>46</v>
      </c>
      <c r="M8" t="s">
        <v>47</v>
      </c>
      <c r="N8">
        <v>0</v>
      </c>
      <c r="O8">
        <v>45000</v>
      </c>
      <c r="P8">
        <v>64800</v>
      </c>
      <c r="Q8">
        <v>46390</v>
      </c>
      <c r="R8">
        <v>54900</v>
      </c>
      <c r="S8" t="s">
        <v>56</v>
      </c>
    </row>
    <row r="9" spans="1:22" x14ac:dyDescent="0.25">
      <c r="B9" t="s">
        <v>22</v>
      </c>
      <c r="C9" t="s">
        <v>23</v>
      </c>
      <c r="D9" t="s">
        <v>24</v>
      </c>
      <c r="E9" t="s">
        <v>25</v>
      </c>
      <c r="F9" t="s">
        <v>26</v>
      </c>
      <c r="G9" t="s">
        <v>27</v>
      </c>
      <c r="H9" t="str">
        <f t="shared" si="0"/>
        <v>studies which report the Activation energy for photosynthesis as Joules per mol  (J mol^-2) , and the values reported therein, of Themeda triandra ( red oat grass)  under semi-arid environments. If no data for this species exists, please default first to other species of the genus themeda  and then the SUBfamily Panicoideae  and then the tribe Andropogonea.</v>
      </c>
      <c r="I9" t="s">
        <v>28</v>
      </c>
      <c r="J9" t="s">
        <v>57</v>
      </c>
      <c r="K9" t="s">
        <v>58</v>
      </c>
      <c r="L9" t="s">
        <v>46</v>
      </c>
      <c r="M9" t="s">
        <v>59</v>
      </c>
      <c r="N9">
        <v>0</v>
      </c>
      <c r="O9">
        <v>65330</v>
      </c>
      <c r="P9">
        <v>78100</v>
      </c>
      <c r="Q9">
        <v>67294</v>
      </c>
      <c r="R9">
        <v>71715</v>
      </c>
      <c r="S9" t="s">
        <v>48</v>
      </c>
    </row>
    <row r="10" spans="1:22" x14ac:dyDescent="0.25">
      <c r="B10" t="s">
        <v>22</v>
      </c>
      <c r="C10" t="s">
        <v>23</v>
      </c>
      <c r="D10" t="s">
        <v>24</v>
      </c>
      <c r="E10" t="s">
        <v>25</v>
      </c>
      <c r="F10" t="s">
        <v>26</v>
      </c>
      <c r="G10" t="s">
        <v>27</v>
      </c>
      <c r="H10" t="str">
        <f t="shared" si="0"/>
        <v>studies which report the Activation energy for RubP oxygenation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10" t="s">
        <v>28</v>
      </c>
      <c r="J10" t="s">
        <v>60</v>
      </c>
      <c r="K10" t="s">
        <v>61</v>
      </c>
      <c r="L10" t="s">
        <v>46</v>
      </c>
      <c r="M10" t="s">
        <v>62</v>
      </c>
      <c r="N10">
        <v>0</v>
      </c>
      <c r="O10">
        <v>28500</v>
      </c>
      <c r="P10">
        <v>48390</v>
      </c>
      <c r="Q10">
        <v>37530</v>
      </c>
      <c r="R10">
        <v>38445</v>
      </c>
      <c r="S10" t="s">
        <v>63</v>
      </c>
    </row>
    <row r="11" spans="1:22" x14ac:dyDescent="0.25">
      <c r="B11" t="s">
        <v>22</v>
      </c>
      <c r="C11" t="s">
        <v>23</v>
      </c>
      <c r="D11" t="s">
        <v>24</v>
      </c>
      <c r="E11" t="s">
        <v>25</v>
      </c>
      <c r="F11" t="s">
        <v>26</v>
      </c>
      <c r="G11" t="s">
        <v>27</v>
      </c>
      <c r="H11" t="str">
        <f t="shared" si="0"/>
        <v>studies which report the Relation between maximum electron transport rate and RubP saturated rate of carboxylation as micromols per mol per mbar  (umol mol-1 ubar-1)) , and the values reported therein, of Themeda triandra ( red oat grass)  under semi-arid environments. If no data for this species exists, please default first to other species of the genus themeda  and then the SUBfamily Panicoideae  and then the tribe Andropogonea.</v>
      </c>
      <c r="I11" t="s">
        <v>28</v>
      </c>
      <c r="J11" t="s">
        <v>64</v>
      </c>
      <c r="K11" t="s">
        <v>65</v>
      </c>
      <c r="L11" t="s">
        <v>66</v>
      </c>
      <c r="M11" t="s">
        <v>67</v>
      </c>
      <c r="N11">
        <v>2</v>
      </c>
      <c r="O11">
        <v>300</v>
      </c>
      <c r="P11">
        <v>767.6</v>
      </c>
      <c r="Q11">
        <v>650</v>
      </c>
      <c r="R11">
        <v>533.79999999999995</v>
      </c>
      <c r="S11" t="s">
        <v>68</v>
      </c>
    </row>
    <row r="12" spans="1:22" x14ac:dyDescent="0.25">
      <c r="B12" t="s">
        <v>22</v>
      </c>
      <c r="C12" t="s">
        <v>23</v>
      </c>
      <c r="D12" t="s">
        <v>24</v>
      </c>
      <c r="E12" t="s">
        <v>25</v>
      </c>
      <c r="F12" t="s">
        <v>26</v>
      </c>
      <c r="G12" t="s">
        <v>27</v>
      </c>
      <c r="H12" t="str">
        <f t="shared" si="0"/>
        <v>studies which report the Curvature parameter for the light response curve as   () , and the values reported therein, of Themeda triandra ( red oat grass)  under semi-arid environments. If no data for this species exists, please default first to other species of the genus themeda  and then the SUBfamily Panicoideae  and then the tribe Andropogonea.</v>
      </c>
      <c r="I12" t="s">
        <v>28</v>
      </c>
      <c r="J12" t="s">
        <v>69</v>
      </c>
      <c r="K12" t="s">
        <v>70</v>
      </c>
      <c r="N12">
        <v>2</v>
      </c>
      <c r="O12">
        <v>0.7</v>
      </c>
      <c r="P12">
        <v>0.93</v>
      </c>
      <c r="Q12">
        <v>0.83</v>
      </c>
      <c r="R12">
        <v>0.81499999999999995</v>
      </c>
      <c r="S12" t="s">
        <v>71</v>
      </c>
    </row>
    <row r="13" spans="1:22" x14ac:dyDescent="0.25">
      <c r="B13" t="s">
        <v>22</v>
      </c>
      <c r="C13" t="s">
        <v>23</v>
      </c>
      <c r="D13" t="s">
        <v>24</v>
      </c>
      <c r="E13" t="s">
        <v>25</v>
      </c>
      <c r="F13" t="s">
        <v>26</v>
      </c>
      <c r="G13" t="s">
        <v>27</v>
      </c>
      <c r="H13" t="str">
        <f t="shared" si="0"/>
        <v>studies which report the Relation between maximum electron transport rate and RubP saturated rate of carboxylation (ï¿½).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13" t="s">
        <v>28</v>
      </c>
      <c r="J13" t="s">
        <v>72</v>
      </c>
      <c r="K13" t="s">
        <v>73</v>
      </c>
      <c r="L13" t="s">
        <v>41</v>
      </c>
      <c r="M13" t="s">
        <v>42</v>
      </c>
      <c r="N13">
        <v>2</v>
      </c>
      <c r="O13">
        <v>1.85</v>
      </c>
      <c r="P13">
        <v>5.0999999999999996</v>
      </c>
      <c r="Q13">
        <v>2.1</v>
      </c>
      <c r="R13">
        <v>3.4750000000000001</v>
      </c>
      <c r="S13" t="s">
        <v>74</v>
      </c>
    </row>
    <row r="14" spans="1:22" x14ac:dyDescent="0.25">
      <c r="B14" t="s">
        <v>22</v>
      </c>
      <c r="C14" t="s">
        <v>23</v>
      </c>
      <c r="D14" t="s">
        <v>24</v>
      </c>
      <c r="E14" t="s">
        <v>25</v>
      </c>
      <c r="F14" t="s">
        <v>26</v>
      </c>
      <c r="G14" t="s">
        <v>27</v>
      </c>
      <c r="H14" t="str">
        <f t="shared" si="0"/>
        <v>studies which report the Relation between dark respiration rate and RubP saturated rate of carboxyla tion at 25 oC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14" t="s">
        <v>28</v>
      </c>
      <c r="J14" t="s">
        <v>75</v>
      </c>
      <c r="K14" t="s">
        <v>76</v>
      </c>
      <c r="L14" t="s">
        <v>41</v>
      </c>
      <c r="M14" t="s">
        <v>42</v>
      </c>
      <c r="N14">
        <v>2</v>
      </c>
      <c r="O14">
        <v>0.01</v>
      </c>
      <c r="P14">
        <v>0.05</v>
      </c>
      <c r="Q14">
        <v>0.03</v>
      </c>
      <c r="R14">
        <v>0.03</v>
      </c>
      <c r="S14" t="s">
        <v>68</v>
      </c>
    </row>
    <row r="15" spans="1:22" x14ac:dyDescent="0.25">
      <c r="B15" t="s">
        <v>22</v>
      </c>
      <c r="C15" t="s">
        <v>23</v>
      </c>
      <c r="D15" t="s">
        <v>24</v>
      </c>
      <c r="E15" t="s">
        <v>25</v>
      </c>
      <c r="F15" t="s">
        <v>26</v>
      </c>
      <c r="G15" t="s">
        <v>27</v>
      </c>
      <c r="H15" t="str">
        <f t="shared" si="0"/>
        <v>studies which report the Maximum instantaneous water use efficiency as milligrams of carbon dioxide per gram of water  (mg CO2 g^-1 H2O) , and the values reported therein, of Themeda triandra ( red oat grass)  under semi-arid environments. If no data for this species exists, please default first to other species of the genus themeda  and then the SUBfamily Panicoideae  and then the tribe Andropogonea.</v>
      </c>
      <c r="I15" t="s">
        <v>77</v>
      </c>
      <c r="J15" t="s">
        <v>78</v>
      </c>
      <c r="K15" t="s">
        <v>79</v>
      </c>
      <c r="L15" t="s">
        <v>80</v>
      </c>
      <c r="M15" t="s">
        <v>81</v>
      </c>
      <c r="N15">
        <v>1</v>
      </c>
      <c r="O15">
        <v>4.2</v>
      </c>
      <c r="P15">
        <v>8.56</v>
      </c>
      <c r="Q15">
        <v>6.56</v>
      </c>
      <c r="R15">
        <v>6.38</v>
      </c>
      <c r="S15" t="s">
        <v>82</v>
      </c>
    </row>
    <row r="16" spans="1:22" x14ac:dyDescent="0.25">
      <c r="B16" t="s">
        <v>22</v>
      </c>
      <c r="C16" t="s">
        <v>23</v>
      </c>
      <c r="D16" t="s">
        <v>24</v>
      </c>
      <c r="E16" t="s">
        <v>25</v>
      </c>
      <c r="F16" t="s">
        <v>26</v>
      </c>
      <c r="G16" t="s">
        <v>27</v>
      </c>
      <c r="H16" t="str">
        <f t="shared" si="0"/>
        <v>studies which report the minimum instantaneous water use efficiency as milligrams of carbon dioxide per gram of water  (mg CO2 g^-1 H2O) , and the values reported therein, of Themeda triandra ( red oat grass)  under semi-arid environments. If no data for this species exists, please default first to other species of the genus themeda  and then the SUBfamily Panicoideae  and then the tribe Andropogonea.</v>
      </c>
      <c r="I16" t="s">
        <v>77</v>
      </c>
      <c r="J16" t="s">
        <v>83</v>
      </c>
      <c r="K16" t="s">
        <v>84</v>
      </c>
      <c r="L16" t="s">
        <v>80</v>
      </c>
      <c r="M16" t="s">
        <v>81</v>
      </c>
      <c r="N16">
        <v>1</v>
      </c>
      <c r="O16">
        <v>1</v>
      </c>
      <c r="P16">
        <v>4.21</v>
      </c>
      <c r="Q16">
        <v>3.5</v>
      </c>
      <c r="R16">
        <v>2.6</v>
      </c>
      <c r="S16" t="s">
        <v>82</v>
      </c>
    </row>
    <row r="17" spans="2:22" x14ac:dyDescent="0.25">
      <c r="B17" t="s">
        <v>22</v>
      </c>
      <c r="C17" t="s">
        <v>23</v>
      </c>
      <c r="D17" t="s">
        <v>24</v>
      </c>
      <c r="E17" t="s">
        <v>25</v>
      </c>
      <c r="F17" t="s">
        <v>26</v>
      </c>
      <c r="G17" t="s">
        <v>27</v>
      </c>
      <c r="H17" t="str">
        <f t="shared" si="0"/>
        <v>studies which report the relative available soil water content at which drought affects photosynthesis activity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7" t="s">
        <v>77</v>
      </c>
      <c r="J17" t="s">
        <v>85</v>
      </c>
      <c r="K17" t="s">
        <v>86</v>
      </c>
      <c r="L17" t="s">
        <v>87</v>
      </c>
      <c r="N17">
        <v>2</v>
      </c>
      <c r="O17">
        <v>0.2</v>
      </c>
      <c r="P17">
        <v>0.7</v>
      </c>
      <c r="Q17">
        <v>0.25800000000000001</v>
      </c>
      <c r="R17">
        <v>0.45</v>
      </c>
      <c r="S17" t="s">
        <v>88</v>
      </c>
    </row>
    <row r="18" spans="2:22" x14ac:dyDescent="0.25">
      <c r="B18" t="s">
        <v>22</v>
      </c>
      <c r="C18" t="s">
        <v>23</v>
      </c>
      <c r="D18" t="s">
        <v>24</v>
      </c>
      <c r="E18" t="s">
        <v>25</v>
      </c>
      <c r="F18" t="s">
        <v>26</v>
      </c>
      <c r="G18" t="s">
        <v>27</v>
      </c>
      <c r="H18" t="str">
        <f t="shared" si="0"/>
        <v>studies which report the relative available soil water content below which restricted water availability triggers plant senescence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8" t="s">
        <v>77</v>
      </c>
      <c r="J18" t="s">
        <v>89</v>
      </c>
      <c r="K18" t="s">
        <v>90</v>
      </c>
      <c r="L18" t="s">
        <v>87</v>
      </c>
      <c r="N18">
        <v>2</v>
      </c>
      <c r="O18">
        <v>0.1</v>
      </c>
      <c r="P18">
        <v>0.35499999999999998</v>
      </c>
      <c r="Q18">
        <v>0.25</v>
      </c>
      <c r="R18">
        <v>0.22750000000000001</v>
      </c>
      <c r="S18" t="s">
        <v>91</v>
      </c>
    </row>
    <row r="19" spans="2:22" x14ac:dyDescent="0.25">
      <c r="B19" t="s">
        <v>22</v>
      </c>
      <c r="C19" t="s">
        <v>23</v>
      </c>
      <c r="D19" t="s">
        <v>24</v>
      </c>
      <c r="E19" t="s">
        <v>25</v>
      </c>
      <c r="F19" t="s">
        <v>26</v>
      </c>
      <c r="G19" t="s">
        <v>27</v>
      </c>
      <c r="H19" t="str">
        <f t="shared" si="0"/>
        <v>studies which report the relative available soil water content at which stomata are fully closed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9" t="s">
        <v>77</v>
      </c>
      <c r="J19" t="s">
        <v>92</v>
      </c>
      <c r="K19" t="s">
        <v>93</v>
      </c>
      <c r="L19" t="s">
        <v>87</v>
      </c>
      <c r="N19">
        <v>2</v>
      </c>
      <c r="O19">
        <v>0.15</v>
      </c>
      <c r="P19">
        <v>0.33</v>
      </c>
      <c r="Q19">
        <v>0.22</v>
      </c>
      <c r="R19">
        <v>0.24</v>
      </c>
      <c r="S19" t="s">
        <v>88</v>
      </c>
    </row>
    <row r="20" spans="2:22" ht="15.75" customHeight="1" x14ac:dyDescent="0.25">
      <c r="B20" t="s">
        <v>22</v>
      </c>
      <c r="C20" t="s">
        <v>23</v>
      </c>
      <c r="D20" t="s">
        <v>24</v>
      </c>
      <c r="E20" t="s">
        <v>25</v>
      </c>
      <c r="F20" t="s">
        <v>26</v>
      </c>
      <c r="G20" t="s">
        <v>27</v>
      </c>
      <c r="H20" t="str">
        <f t="shared" si="0"/>
        <v>studies which report the relative available soil water content below which flushing is affected by water
availability as   () , and the values reported therein, of Themeda triandra ( red oat grass)  under semi-arid environments. If no data for this species exists, please default first to other species of the genus themeda  and then the SUBfamily Panicoideae  and then the tribe Andropogonea.</v>
      </c>
      <c r="I20" t="s">
        <v>77</v>
      </c>
      <c r="J20" t="s">
        <v>94</v>
      </c>
      <c r="K20" s="1" t="s">
        <v>95</v>
      </c>
      <c r="N20">
        <v>2</v>
      </c>
      <c r="O20">
        <v>0.1</v>
      </c>
      <c r="P20">
        <v>0.3</v>
      </c>
      <c r="Q20">
        <v>0.15</v>
      </c>
      <c r="R20">
        <v>0.2</v>
      </c>
      <c r="S20" t="s">
        <v>96</v>
      </c>
    </row>
    <row r="21" spans="2:22" x14ac:dyDescent="0.25">
      <c r="B21" t="s">
        <v>22</v>
      </c>
      <c r="C21" t="s">
        <v>23</v>
      </c>
      <c r="D21" t="s">
        <v>24</v>
      </c>
      <c r="E21" t="s">
        <v>25</v>
      </c>
      <c r="F21" t="s">
        <v>26</v>
      </c>
      <c r="G21" t="s">
        <v>27</v>
      </c>
      <c r="H21" t="str">
        <f t="shared" si="0"/>
        <v>studies which report the relative available soil water content below which leaf growth is affected as   () , and the values reported therein, of Themeda triandra ( red oat grass)  under semi-arid environments. If no data for this species exists, please default first to other species of the genus themeda  and then the SUBfamily Panicoideae  and then the tribe Andropogonea.</v>
      </c>
      <c r="I21" t="s">
        <v>77</v>
      </c>
      <c r="J21" t="s">
        <v>97</v>
      </c>
      <c r="K21" t="s">
        <v>98</v>
      </c>
      <c r="N21">
        <v>2</v>
      </c>
      <c r="O21">
        <v>0.35</v>
      </c>
      <c r="P21">
        <v>0.55000000000000004</v>
      </c>
      <c r="Q21">
        <v>0.45</v>
      </c>
      <c r="R21">
        <v>0.45</v>
      </c>
      <c r="S21" t="s">
        <v>99</v>
      </c>
    </row>
    <row r="22" spans="2:22" x14ac:dyDescent="0.25">
      <c r="B22" t="s">
        <v>22</v>
      </c>
      <c r="C22" t="s">
        <v>23</v>
      </c>
      <c r="D22" t="s">
        <v>24</v>
      </c>
      <c r="E22" t="s">
        <v>25</v>
      </c>
      <c r="F22" t="s">
        <v>26</v>
      </c>
      <c r="G22" t="s">
        <v>27</v>
      </c>
      <c r="H22" t="str">
        <f t="shared" si="0"/>
        <v>studies which report the maximum stomatal conductivity  as millimols of h2o per square meter per second  (mmol H2O m^(-2) s^(-1)) , and the values reported therein, of Themeda triandra ( red oat grass)  under semi-arid environments. If no data for this species exists, please default first to other species of the genus themeda  and then the SUBfamily Panicoideae  and then the tribe Andropogonea.</v>
      </c>
      <c r="I22" t="s">
        <v>77</v>
      </c>
      <c r="J22" t="s">
        <v>100</v>
      </c>
      <c r="K22" t="s">
        <v>101</v>
      </c>
      <c r="L22" t="s">
        <v>102</v>
      </c>
      <c r="M22" t="s">
        <v>103</v>
      </c>
      <c r="N22">
        <v>1</v>
      </c>
      <c r="O22">
        <v>100</v>
      </c>
      <c r="P22">
        <v>661</v>
      </c>
      <c r="Q22">
        <v>661</v>
      </c>
      <c r="R22">
        <v>380.5</v>
      </c>
      <c r="S22" t="s">
        <v>104</v>
      </c>
      <c r="T22" t="s">
        <v>105</v>
      </c>
      <c r="U22" t="s">
        <v>106</v>
      </c>
      <c r="V22" t="s">
        <v>106</v>
      </c>
    </row>
    <row r="23" spans="2:22" x14ac:dyDescent="0.25">
      <c r="B23" t="s">
        <v>22</v>
      </c>
      <c r="C23" t="s">
        <v>23</v>
      </c>
      <c r="D23" t="s">
        <v>24</v>
      </c>
      <c r="E23" t="s">
        <v>25</v>
      </c>
      <c r="F23" t="s">
        <v>26</v>
      </c>
      <c r="G23" t="s">
        <v>27</v>
      </c>
      <c r="H23" t="str">
        <f t="shared" si="0"/>
        <v>studies which report the minimum stomatal conductivity  as millimols of h2o per square meter per second  (mmol H2O m^(-2) s^(-1)) , and the values reported therein, of Themeda triandra ( red oat grass)  under semi-arid environments. If no data for this species exists, please default first to other species of the genus themeda  and then the SUBfamily Panicoideae  and then the tribe Andropogonea.</v>
      </c>
      <c r="I23" t="s">
        <v>77</v>
      </c>
      <c r="J23" t="s">
        <v>107</v>
      </c>
      <c r="K23" t="s">
        <v>108</v>
      </c>
      <c r="L23" t="s">
        <v>102</v>
      </c>
      <c r="M23" t="s">
        <v>103</v>
      </c>
      <c r="N23">
        <v>1</v>
      </c>
      <c r="O23">
        <v>5</v>
      </c>
      <c r="P23">
        <v>25</v>
      </c>
      <c r="Q23">
        <v>15</v>
      </c>
      <c r="R23">
        <v>15</v>
      </c>
      <c r="S23" t="s">
        <v>109</v>
      </c>
      <c r="T23" t="s">
        <v>109</v>
      </c>
      <c r="U23" t="s">
        <v>109</v>
      </c>
      <c r="V23" t="s">
        <v>109</v>
      </c>
    </row>
    <row r="24" spans="2:22" x14ac:dyDescent="0.25">
      <c r="B24" t="s">
        <v>22</v>
      </c>
      <c r="C24" t="s">
        <v>23</v>
      </c>
      <c r="D24" t="s">
        <v>24</v>
      </c>
      <c r="E24" t="s">
        <v>25</v>
      </c>
      <c r="F24" t="s">
        <v>26</v>
      </c>
      <c r="G24" t="s">
        <v>27</v>
      </c>
      <c r="H24" t="str">
        <f t="shared" si="0"/>
        <v>studies which report the Biomass fraction of foliage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4" t="s">
        <v>110</v>
      </c>
      <c r="J24" t="s">
        <v>111</v>
      </c>
      <c r="K24" t="s">
        <v>112</v>
      </c>
      <c r="L24" t="s">
        <v>36</v>
      </c>
      <c r="N24">
        <v>2</v>
      </c>
      <c r="O24">
        <v>0.15</v>
      </c>
      <c r="P24">
        <v>0.4</v>
      </c>
      <c r="Q24">
        <v>0.25</v>
      </c>
      <c r="R24">
        <v>0.27500000000000002</v>
      </c>
      <c r="S24" t="s">
        <v>113</v>
      </c>
    </row>
    <row r="25" spans="2:22" x14ac:dyDescent="0.25">
      <c r="B25" t="s">
        <v>22</v>
      </c>
      <c r="C25" t="s">
        <v>23</v>
      </c>
      <c r="D25" t="s">
        <v>24</v>
      </c>
      <c r="E25" t="s">
        <v>25</v>
      </c>
      <c r="F25" t="s">
        <v>26</v>
      </c>
      <c r="G25" t="s">
        <v>27</v>
      </c>
      <c r="H25" t="str">
        <f t="shared" si="0"/>
        <v>studies which report the Biomass fraction of roots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5" t="s">
        <v>110</v>
      </c>
      <c r="J25" t="s">
        <v>114</v>
      </c>
      <c r="K25" t="s">
        <v>115</v>
      </c>
      <c r="L25" t="s">
        <v>36</v>
      </c>
      <c r="N25">
        <v>2</v>
      </c>
      <c r="O25">
        <v>0.5</v>
      </c>
      <c r="P25">
        <v>0.85</v>
      </c>
      <c r="Q25">
        <v>0.76700000000000002</v>
      </c>
      <c r="R25">
        <v>0.67500000000000004</v>
      </c>
      <c r="S25" t="s">
        <v>116</v>
      </c>
    </row>
    <row r="26" spans="2:22" x14ac:dyDescent="0.25">
      <c r="B26" t="s">
        <v>22</v>
      </c>
      <c r="C26" t="s">
        <v>23</v>
      </c>
      <c r="D26" t="s">
        <v>24</v>
      </c>
      <c r="E26" t="s">
        <v>25</v>
      </c>
      <c r="F26" t="s">
        <v>26</v>
      </c>
      <c r="G26" t="s">
        <v>27</v>
      </c>
      <c r="H26" t="str">
        <f t="shared" si="0"/>
        <v>studies which report the Biomass fraction of fruit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6" t="s">
        <v>110</v>
      </c>
      <c r="J26" t="s">
        <v>117</v>
      </c>
      <c r="K26" t="s">
        <v>118</v>
      </c>
      <c r="L26" t="s">
        <v>36</v>
      </c>
      <c r="N26">
        <v>2</v>
      </c>
      <c r="O26">
        <v>0</v>
      </c>
      <c r="P26">
        <v>0.1</v>
      </c>
      <c r="Q26">
        <v>1.4999999999999999E-2</v>
      </c>
      <c r="R26">
        <v>0.05</v>
      </c>
      <c r="S26" t="s">
        <v>119</v>
      </c>
    </row>
    <row r="27" spans="2:22" x14ac:dyDescent="0.25">
      <c r="B27" t="s">
        <v>22</v>
      </c>
      <c r="C27" t="s">
        <v>23</v>
      </c>
      <c r="D27" t="s">
        <v>24</v>
      </c>
      <c r="E27" t="s">
        <v>25</v>
      </c>
      <c r="F27" t="s">
        <v>26</v>
      </c>
      <c r="G27" t="s">
        <v>27</v>
      </c>
      <c r="H27" t="str">
        <f t="shared" si="0"/>
        <v>studies which report the Maximum relative growth rate for foliage as fraction   () , and the values reported therein, of Themeda triandra ( red oat grass)  under semi-arid environments. If no data for this species exists, please default first to other species of the genus themeda  and then the SUBfamily Panicoideae  and then the tribe Andropogonea.</v>
      </c>
      <c r="I27" t="s">
        <v>110</v>
      </c>
      <c r="J27" t="s">
        <v>120</v>
      </c>
      <c r="K27" t="s">
        <v>121</v>
      </c>
      <c r="L27" t="s">
        <v>122</v>
      </c>
      <c r="N27">
        <v>2</v>
      </c>
      <c r="O27">
        <v>0.08</v>
      </c>
      <c r="P27">
        <v>0.15</v>
      </c>
      <c r="Q27">
        <v>0.1</v>
      </c>
      <c r="R27">
        <v>0.115</v>
      </c>
      <c r="S27" t="s">
        <v>123</v>
      </c>
    </row>
    <row r="28" spans="2:22" x14ac:dyDescent="0.25">
      <c r="B28" t="s">
        <v>22</v>
      </c>
      <c r="C28" t="s">
        <v>23</v>
      </c>
      <c r="D28" t="s">
        <v>24</v>
      </c>
      <c r="E28" t="s">
        <v>25</v>
      </c>
      <c r="F28" t="s">
        <v>26</v>
      </c>
      <c r="G28" t="s">
        <v>27</v>
      </c>
      <c r="H28" t="str">
        <f t="shared" si="0"/>
        <v>studies which report the Foliage biomass under optimal, closed canopy condition (kg m-2) as kg per square meter  (kg m^-2) , and the values reported therein, of Themeda triandra ( red oat grass)  under semi-arid environments. If no data for this species exists, please default first to other species of the genus themeda  and then the SUBfamily Panicoideae  and then the tribe Andropogonea.</v>
      </c>
      <c r="I28" t="s">
        <v>110</v>
      </c>
      <c r="J28" t="s">
        <v>124</v>
      </c>
      <c r="K28" t="s">
        <v>125</v>
      </c>
      <c r="L28" t="s">
        <v>126</v>
      </c>
      <c r="M28" t="s">
        <v>127</v>
      </c>
      <c r="N28">
        <v>2</v>
      </c>
      <c r="O28">
        <v>0.15</v>
      </c>
      <c r="P28">
        <v>0.4</v>
      </c>
      <c r="Q28">
        <v>0.25</v>
      </c>
      <c r="R28">
        <v>0.27500000000000002</v>
      </c>
      <c r="S28" t="s">
        <v>119</v>
      </c>
    </row>
    <row r="29" spans="2:22" x14ac:dyDescent="0.25">
      <c r="B29" t="s">
        <v>22</v>
      </c>
      <c r="C29" t="s">
        <v>23</v>
      </c>
      <c r="D29" t="s">
        <v>24</v>
      </c>
      <c r="E29" t="s">
        <v>25</v>
      </c>
      <c r="F29" t="s">
        <v>26</v>
      </c>
      <c r="G29" t="s">
        <v>27</v>
      </c>
      <c r="H29" t="str">
        <f t="shared" si="0"/>
        <v>studies which report the Specific interception capacity of foliage  as meters per square meter of LAI  (m m^-2 LAI) , and the values reported therein, of Themeda triandra ( red oat grass)  under semi-arid environments. If no data for this species exists, please default first to other species of the genus themeda  and then the SUBfamily Panicoideae  and then the tribe Andropogonea.</v>
      </c>
      <c r="I29" t="s">
        <v>128</v>
      </c>
      <c r="J29" t="s">
        <v>129</v>
      </c>
      <c r="K29" t="s">
        <v>130</v>
      </c>
      <c r="L29" t="s">
        <v>131</v>
      </c>
      <c r="M29" t="s">
        <v>132</v>
      </c>
      <c r="N29">
        <v>5</v>
      </c>
      <c r="O29">
        <v>5.0000000000000002E-5</v>
      </c>
      <c r="P29">
        <v>5.0000000000000001E-4</v>
      </c>
      <c r="Q29">
        <v>3.5E-4</v>
      </c>
      <c r="R29">
        <v>2.7500000000000002E-4</v>
      </c>
      <c r="S29" t="s">
        <v>96</v>
      </c>
    </row>
    <row r="30" spans="2:22" x14ac:dyDescent="0.25">
      <c r="B30" t="s">
        <v>22</v>
      </c>
      <c r="C30" t="s">
        <v>23</v>
      </c>
      <c r="D30" t="s">
        <v>24</v>
      </c>
      <c r="E30" t="s">
        <v>25</v>
      </c>
      <c r="F30" t="s">
        <v>26</v>
      </c>
      <c r="G30" t="s">
        <v>27</v>
      </c>
      <c r="H30" t="str">
        <f t="shared" si="0"/>
        <v>studies which report the maximal net photosynthesis as nanomols of CO2 per gram per second  () , and the values reported therein, of Themeda triandra ( red oat grass)  under semi-arid environments. If no data for this species exists, please default first to other species of the genus themeda  and then the SUBfamily Panicoideae  and then the tribe Andropogonea.</v>
      </c>
      <c r="I30" t="s">
        <v>128</v>
      </c>
      <c r="J30" t="s">
        <v>133</v>
      </c>
      <c r="K30" t="s">
        <v>134</v>
      </c>
      <c r="L30" t="s">
        <v>135</v>
      </c>
      <c r="N30">
        <v>2</v>
      </c>
    </row>
    <row r="31" spans="2:22" x14ac:dyDescent="0.25">
      <c r="B31" t="s">
        <v>22</v>
      </c>
      <c r="C31" t="s">
        <v>23</v>
      </c>
      <c r="D31" t="s">
        <v>24</v>
      </c>
      <c r="E31" t="s">
        <v>25</v>
      </c>
      <c r="F31" t="s">
        <v>26</v>
      </c>
      <c r="G31" t="s">
        <v>27</v>
      </c>
      <c r="H31" t="str">
        <f t="shared" si="0"/>
        <v>studies which report the specific leaf area in the shade as square meters per kilogram  (m^2 kg^-1) , and the values reported therein, of Themeda triandra ( red oat grass)  under semi-arid environments. If no data for this species exists, please default first to other species of the genus themeda  and then the SUBfamily Panicoideae  and then the tribe Andropogonea.</v>
      </c>
      <c r="I31" t="s">
        <v>128</v>
      </c>
      <c r="J31" t="s">
        <v>136</v>
      </c>
      <c r="K31" t="s">
        <v>137</v>
      </c>
      <c r="L31" t="s">
        <v>138</v>
      </c>
      <c r="M31" t="s">
        <v>139</v>
      </c>
      <c r="N31">
        <v>1</v>
      </c>
      <c r="O31">
        <v>15</v>
      </c>
      <c r="P31">
        <v>30</v>
      </c>
      <c r="Q31">
        <v>25</v>
      </c>
      <c r="R31">
        <v>22.5</v>
      </c>
      <c r="S31" t="s">
        <v>140</v>
      </c>
    </row>
    <row r="32" spans="2:22" x14ac:dyDescent="0.25">
      <c r="B32" t="s">
        <v>22</v>
      </c>
      <c r="C32" t="s">
        <v>23</v>
      </c>
      <c r="D32" t="s">
        <v>24</v>
      </c>
      <c r="E32" t="s">
        <v>25</v>
      </c>
      <c r="F32" t="s">
        <v>26</v>
      </c>
      <c r="G32" t="s">
        <v>27</v>
      </c>
      <c r="H32" t="str">
        <f t="shared" si="0"/>
        <v>studies which report the specific leaf area under full sun as square meters per kilogram  (m^2 kg^-1) , and the values reported therein, of Themeda triandra ( red oat grass)  under semi-arid environments. If no data for this species exists, please default first to other species of the genus themeda  and then the SUBfamily Panicoideae  and then the tribe Andropogonea.</v>
      </c>
      <c r="I32" t="s">
        <v>128</v>
      </c>
      <c r="J32" t="s">
        <v>141</v>
      </c>
      <c r="K32" t="s">
        <v>142</v>
      </c>
      <c r="L32" t="s">
        <v>138</v>
      </c>
      <c r="M32" t="s">
        <v>139</v>
      </c>
      <c r="N32">
        <v>1</v>
      </c>
      <c r="O32">
        <v>2.0299999999999998</v>
      </c>
      <c r="P32">
        <v>19</v>
      </c>
      <c r="Q32">
        <v>15.12</v>
      </c>
      <c r="R32">
        <v>10.515000000000001</v>
      </c>
      <c r="S32" t="s">
        <v>143</v>
      </c>
    </row>
    <row r="33" spans="2:19" x14ac:dyDescent="0.25">
      <c r="B33" t="s">
        <v>22</v>
      </c>
      <c r="C33" t="s">
        <v>23</v>
      </c>
      <c r="D33" t="s">
        <v>24</v>
      </c>
      <c r="E33" t="s">
        <v>25</v>
      </c>
      <c r="F33" t="s">
        <v>26</v>
      </c>
      <c r="G33" t="s">
        <v>27</v>
      </c>
      <c r="H33" t="str">
        <f t="shared" si="0"/>
        <v>studies which report the Time interval necessary to complete growth of new foliage as days  () , and the values reported therein, of Themeda triandra ( red oat grass)  under semi-arid environments. If no data for this species exists, please default first to other species of the genus themeda  and then the SUBfamily Panicoideae  and then the tribe Andropogonea.</v>
      </c>
      <c r="I33" t="s">
        <v>144</v>
      </c>
      <c r="J33" t="s">
        <v>145</v>
      </c>
      <c r="K33" t="s">
        <v>146</v>
      </c>
      <c r="L33" t="s">
        <v>147</v>
      </c>
      <c r="N33">
        <v>0</v>
      </c>
      <c r="O33">
        <v>3</v>
      </c>
      <c r="P33">
        <v>24</v>
      </c>
      <c r="Q33">
        <v>10</v>
      </c>
      <c r="R33">
        <v>13.5</v>
      </c>
      <c r="S33" t="s">
        <v>148</v>
      </c>
    </row>
    <row r="34" spans="2:19" x14ac:dyDescent="0.25">
      <c r="B34" t="s">
        <v>22</v>
      </c>
      <c r="C34" t="s">
        <v>23</v>
      </c>
      <c r="D34" t="s">
        <v>24</v>
      </c>
      <c r="E34" t="s">
        <v>25</v>
      </c>
      <c r="F34" t="s">
        <v>26</v>
      </c>
      <c r="G34" t="s">
        <v>27</v>
      </c>
      <c r="H34" t="str">
        <f t="shared" si="0"/>
        <v>studies which report the duration of senescence  as days  () , and the values reported therein, of Themeda triandra ( red oat grass)  under semi-arid environments. If no data for this species exists, please default first to other species of the genus themeda  and then the SUBfamily Panicoideae  and then the tribe Andropogonea.</v>
      </c>
      <c r="I34" t="s">
        <v>144</v>
      </c>
      <c r="J34" t="s">
        <v>149</v>
      </c>
      <c r="K34" t="s">
        <v>150</v>
      </c>
      <c r="L34" t="s">
        <v>147</v>
      </c>
      <c r="N34">
        <v>0</v>
      </c>
      <c r="O34">
        <v>40</v>
      </c>
      <c r="P34">
        <v>180</v>
      </c>
      <c r="Q34">
        <v>180</v>
      </c>
      <c r="R34">
        <v>110</v>
      </c>
      <c r="S34" t="s">
        <v>151</v>
      </c>
    </row>
    <row r="35" spans="2:19" x14ac:dyDescent="0.25">
      <c r="B35" t="s">
        <v>22</v>
      </c>
      <c r="C35" t="s">
        <v>23</v>
      </c>
      <c r="D35" t="s">
        <v>24</v>
      </c>
      <c r="E35" t="s">
        <v>25</v>
      </c>
      <c r="F35" t="s">
        <v>26</v>
      </c>
      <c r="G35" t="s">
        <v>27</v>
      </c>
      <c r="H35" t="str">
        <f t="shared" si="0"/>
        <v>studies which report the base temperature for growing degree days as   () , and the values reported therein, of Themeda triandra ( red oat grass)  under semi-arid environments. If no data for this species exists, please default first to other species of the genus themeda  and then the SUBfamily Panicoideae  and then the tribe Andropogonea.</v>
      </c>
      <c r="I35" t="s">
        <v>144</v>
      </c>
      <c r="J35" t="s">
        <v>152</v>
      </c>
      <c r="K35" t="s">
        <v>153</v>
      </c>
      <c r="N35">
        <v>0</v>
      </c>
      <c r="O35">
        <v>10</v>
      </c>
      <c r="P35">
        <v>15</v>
      </c>
      <c r="Q35">
        <v>15</v>
      </c>
      <c r="R35">
        <v>12.5</v>
      </c>
      <c r="S35" t="s">
        <v>154</v>
      </c>
    </row>
    <row r="36" spans="2:19" x14ac:dyDescent="0.25">
      <c r="B36" t="s">
        <v>22</v>
      </c>
      <c r="C36" t="s">
        <v>23</v>
      </c>
      <c r="D36" t="s">
        <v>24</v>
      </c>
      <c r="E36" t="s">
        <v>25</v>
      </c>
      <c r="F36" t="s">
        <v>26</v>
      </c>
      <c r="G36" t="s">
        <v>27</v>
      </c>
      <c r="H36" t="str">
        <f t="shared" si="0"/>
        <v>studies which report the growing degree days until beginning of emergence as days  (GDD) , and the values reported therein, of Themeda triandra ( red oat grass)  under semi-arid environments. If no data for this species exists, please default first to other species of the genus themeda  and then the SUBfamily Panicoideae  and then the tribe Andropogonea.</v>
      </c>
      <c r="I36" t="s">
        <v>144</v>
      </c>
      <c r="J36" t="s">
        <v>155</v>
      </c>
      <c r="K36" t="s">
        <v>156</v>
      </c>
      <c r="L36" t="s">
        <v>147</v>
      </c>
      <c r="M36" t="s">
        <v>157</v>
      </c>
      <c r="N36">
        <v>0</v>
      </c>
      <c r="O36">
        <v>10</v>
      </c>
      <c r="P36">
        <v>150</v>
      </c>
      <c r="Q36">
        <v>130</v>
      </c>
      <c r="R36">
        <v>80</v>
      </c>
      <c r="S36" t="s">
        <v>158</v>
      </c>
    </row>
    <row r="37" spans="2:19" x14ac:dyDescent="0.25">
      <c r="B37" t="s">
        <v>22</v>
      </c>
      <c r="C37" t="s">
        <v>23</v>
      </c>
      <c r="D37" t="s">
        <v>24</v>
      </c>
      <c r="E37" t="s">
        <v>25</v>
      </c>
      <c r="F37" t="s">
        <v>26</v>
      </c>
      <c r="G37" t="s">
        <v>27</v>
      </c>
      <c r="H37" t="str">
        <f t="shared" si="0"/>
        <v>studies which report the growing degree days until maturity as days  (GDD) , and the values reported therein, of Themeda triandra ( red oat grass)  under semi-arid environments. If no data for this species exists, please default first to other species of the genus themeda  and then the SUBfamily Panicoideae  and then the tribe Andropogonea.</v>
      </c>
      <c r="I37" t="s">
        <v>144</v>
      </c>
      <c r="J37" t="s">
        <v>159</v>
      </c>
      <c r="K37" t="s">
        <v>160</v>
      </c>
      <c r="L37" t="s">
        <v>147</v>
      </c>
      <c r="M37" t="s">
        <v>157</v>
      </c>
      <c r="N37">
        <v>0</v>
      </c>
      <c r="O37">
        <v>1000</v>
      </c>
      <c r="P37">
        <v>2500</v>
      </c>
      <c r="Q37">
        <v>1800</v>
      </c>
      <c r="R37">
        <v>1750</v>
      </c>
      <c r="S37" t="s">
        <v>161</v>
      </c>
    </row>
    <row r="38" spans="2:19" x14ac:dyDescent="0.25">
      <c r="B38" t="s">
        <v>22</v>
      </c>
      <c r="C38" t="s">
        <v>23</v>
      </c>
      <c r="D38" t="s">
        <v>24</v>
      </c>
      <c r="E38" t="s">
        <v>25</v>
      </c>
      <c r="F38" t="s">
        <v>26</v>
      </c>
      <c r="G38" t="s">
        <v>27</v>
      </c>
      <c r="H38" t="str">
        <f t="shared" si="0"/>
        <v>studies which report the growing degree days until begin of stem elongation as days  (GDD) , and the values reported therein, of Themeda triandra ( red oat grass)  under semi-arid environments. If no data for this species exists, please default first to other species of the genus themeda  and then the SUBfamily Panicoideae  and then the tribe Andropogonea.</v>
      </c>
      <c r="I38" t="s">
        <v>144</v>
      </c>
      <c r="J38" t="s">
        <v>162</v>
      </c>
      <c r="K38" t="s">
        <v>163</v>
      </c>
      <c r="L38" t="s">
        <v>147</v>
      </c>
      <c r="M38" t="s">
        <v>157</v>
      </c>
      <c r="N38">
        <v>0</v>
      </c>
      <c r="O38">
        <v>800</v>
      </c>
      <c r="P38">
        <v>1000</v>
      </c>
      <c r="Q38">
        <v>900</v>
      </c>
      <c r="R38">
        <v>900</v>
      </c>
      <c r="S38" t="s">
        <v>164</v>
      </c>
    </row>
    <row r="39" spans="2:19" x14ac:dyDescent="0.25">
      <c r="B39" t="s">
        <v>22</v>
      </c>
      <c r="C39" t="s">
        <v>23</v>
      </c>
      <c r="D39" t="s">
        <v>24</v>
      </c>
      <c r="E39" t="s">
        <v>25</v>
      </c>
      <c r="F39" t="s">
        <v>26</v>
      </c>
      <c r="G39" t="s">
        <v>27</v>
      </c>
      <c r="H39" t="str">
        <f t="shared" si="0"/>
        <v>studies which report the growing degree days until downwards root growth ceases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39" t="s">
        <v>144</v>
      </c>
      <c r="J39" t="s">
        <v>165</v>
      </c>
      <c r="K39" t="s">
        <v>166</v>
      </c>
      <c r="L39" t="s">
        <v>167</v>
      </c>
      <c r="M39" t="s">
        <v>157</v>
      </c>
      <c r="N39">
        <v>0</v>
      </c>
      <c r="O39">
        <v>1200</v>
      </c>
      <c r="P39">
        <v>1800</v>
      </c>
      <c r="Q39">
        <v>1500</v>
      </c>
      <c r="R39">
        <v>1500</v>
      </c>
      <c r="S39" t="s">
        <v>168</v>
      </c>
    </row>
    <row r="40" spans="2:19" x14ac:dyDescent="0.25">
      <c r="B40" t="s">
        <v>22</v>
      </c>
      <c r="C40" t="s">
        <v>23</v>
      </c>
      <c r="D40" t="s">
        <v>24</v>
      </c>
      <c r="E40" t="s">
        <v>25</v>
      </c>
      <c r="F40" t="s">
        <v>26</v>
      </c>
      <c r="G40" t="s">
        <v>27</v>
      </c>
      <c r="H40" t="str">
        <f t="shared" si="0"/>
        <v>studies which report the minimum temperature sum for foliage activity onset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40" t="s">
        <v>144</v>
      </c>
      <c r="J40" t="s">
        <v>169</v>
      </c>
      <c r="K40" t="s">
        <v>170</v>
      </c>
      <c r="L40" t="s">
        <v>167</v>
      </c>
      <c r="M40" t="s">
        <v>157</v>
      </c>
      <c r="N40">
        <v>0</v>
      </c>
      <c r="O40">
        <v>100</v>
      </c>
      <c r="P40">
        <v>250</v>
      </c>
      <c r="Q40">
        <v>150</v>
      </c>
      <c r="R40">
        <v>175</v>
      </c>
      <c r="S40" t="s">
        <v>171</v>
      </c>
    </row>
    <row r="41" spans="2:19" x14ac:dyDescent="0.25">
      <c r="B41" t="s">
        <v>22</v>
      </c>
      <c r="C41" t="s">
        <v>23</v>
      </c>
      <c r="D41" t="s">
        <v>24</v>
      </c>
      <c r="E41" t="s">
        <v>25</v>
      </c>
      <c r="F41" t="s">
        <v>26</v>
      </c>
      <c r="G41" t="s">
        <v>27</v>
      </c>
      <c r="H41" t="str">
        <f t="shared" si="0"/>
        <v>studies which report the growing degree days to complete foliar production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41" t="s">
        <v>144</v>
      </c>
      <c r="J41" t="s">
        <v>172</v>
      </c>
      <c r="K41" t="s">
        <v>173</v>
      </c>
      <c r="L41" t="s">
        <v>167</v>
      </c>
      <c r="M41" t="s">
        <v>157</v>
      </c>
      <c r="N41">
        <v>0</v>
      </c>
      <c r="O41">
        <v>900</v>
      </c>
      <c r="P41">
        <v>1300</v>
      </c>
      <c r="Q41">
        <v>1100</v>
      </c>
      <c r="R41">
        <v>1100</v>
      </c>
      <c r="S41" t="s">
        <v>174</v>
      </c>
    </row>
    <row r="42" spans="2:19" x14ac:dyDescent="0.25">
      <c r="B42" t="s">
        <v>22</v>
      </c>
      <c r="C42" t="s">
        <v>23</v>
      </c>
      <c r="D42" t="s">
        <v>24</v>
      </c>
      <c r="E42" t="s">
        <v>25</v>
      </c>
      <c r="F42" t="s">
        <v>26</v>
      </c>
      <c r="G42" t="s">
        <v>27</v>
      </c>
      <c r="H42" t="str">
        <f t="shared" si="0"/>
        <v>studies which report the potential nitrogen fixation rate per plant dry matter tissue and day as kg N per kg DM per day  (kg N/kg DM/day) , and the values reported therein, of Themeda triandra ( red oat grass)  under semi-arid environments. If no data for this species exists, please default first to other species of the genus themeda  and then the SUBfamily Panicoideae  and then the tribe Andropogonea.</v>
      </c>
      <c r="I42" t="s">
        <v>175</v>
      </c>
      <c r="J42" t="s">
        <v>176</v>
      </c>
      <c r="K42" t="s">
        <v>177</v>
      </c>
      <c r="L42" t="s">
        <v>178</v>
      </c>
      <c r="M42" t="s">
        <v>179</v>
      </c>
      <c r="N42">
        <v>3</v>
      </c>
      <c r="O42">
        <v>0</v>
      </c>
      <c r="P42">
        <v>0</v>
      </c>
      <c r="Q42">
        <v>0</v>
      </c>
      <c r="R42">
        <v>0</v>
      </c>
      <c r="S42" t="s">
        <v>180</v>
      </c>
    </row>
    <row r="43" spans="2:19" x14ac:dyDescent="0.25">
      <c r="B43" t="s">
        <v>22</v>
      </c>
      <c r="C43" t="s">
        <v>23</v>
      </c>
      <c r="D43" t="s">
        <v>24</v>
      </c>
      <c r="E43" t="s">
        <v>25</v>
      </c>
      <c r="F43" t="s">
        <v>26</v>
      </c>
      <c r="G43" t="s">
        <v>27</v>
      </c>
      <c r="H43" t="str">
        <f t="shared" si="0"/>
        <v>studies which report the Optimum nitrogen concentration of foliage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3" t="s">
        <v>175</v>
      </c>
      <c r="J43" t="s">
        <v>181</v>
      </c>
      <c r="K43" t="s">
        <v>182</v>
      </c>
      <c r="L43" t="s">
        <v>183</v>
      </c>
      <c r="M43" t="s">
        <v>184</v>
      </c>
      <c r="N43">
        <v>2</v>
      </c>
      <c r="O43">
        <v>8.0000000000000002E-3</v>
      </c>
      <c r="P43">
        <v>0.02</v>
      </c>
      <c r="Q43">
        <v>1.2E-2</v>
      </c>
      <c r="R43">
        <v>1.4E-2</v>
      </c>
      <c r="S43" t="s">
        <v>185</v>
      </c>
    </row>
    <row r="44" spans="2:19" x14ac:dyDescent="0.25">
      <c r="B44" t="s">
        <v>22</v>
      </c>
      <c r="C44" t="s">
        <v>23</v>
      </c>
      <c r="D44" t="s">
        <v>24</v>
      </c>
      <c r="E44" t="s">
        <v>25</v>
      </c>
      <c r="F44" t="s">
        <v>26</v>
      </c>
      <c r="G44" t="s">
        <v>27</v>
      </c>
      <c r="H44" t="str">
        <f t="shared" si="0"/>
        <v>studies which report the Maximum (optimum) nitrogen concentration of fine roots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4" t="s">
        <v>175</v>
      </c>
      <c r="J44" t="s">
        <v>186</v>
      </c>
      <c r="K44" t="s">
        <v>187</v>
      </c>
      <c r="L44" t="s">
        <v>183</v>
      </c>
      <c r="M44" t="s">
        <v>184</v>
      </c>
      <c r="N44">
        <v>2</v>
      </c>
      <c r="O44">
        <v>6.4999999999999997E-3</v>
      </c>
      <c r="P44">
        <v>1.0999999999999999E-2</v>
      </c>
      <c r="Q44">
        <v>1.0999999999999999E-2</v>
      </c>
      <c r="R44">
        <v>8.7500000000000008E-3</v>
      </c>
      <c r="S44" t="s">
        <v>188</v>
      </c>
    </row>
    <row r="45" spans="2:19" x14ac:dyDescent="0.25">
      <c r="B45" t="s">
        <v>22</v>
      </c>
      <c r="C45" t="s">
        <v>23</v>
      </c>
      <c r="D45" t="s">
        <v>24</v>
      </c>
      <c r="E45" t="s">
        <v>25</v>
      </c>
      <c r="F45" t="s">
        <v>26</v>
      </c>
      <c r="G45" t="s">
        <v>27</v>
      </c>
      <c r="H45" t="str">
        <f t="shared" si="0"/>
        <v>studies which report the Minimum nitrogen concentration of fine roots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5" t="s">
        <v>175</v>
      </c>
      <c r="J45" t="s">
        <v>189</v>
      </c>
      <c r="K45" t="s">
        <v>190</v>
      </c>
      <c r="L45" t="s">
        <v>183</v>
      </c>
      <c r="M45" t="s">
        <v>184</v>
      </c>
      <c r="N45">
        <v>2</v>
      </c>
      <c r="O45">
        <v>3.0000000000000001E-3</v>
      </c>
      <c r="P45">
        <v>8.0000000000000002E-3</v>
      </c>
      <c r="Q45">
        <v>3.0000000000000001E-3</v>
      </c>
      <c r="R45">
        <v>5.4999999999999997E-3</v>
      </c>
      <c r="S45" t="s">
        <v>191</v>
      </c>
    </row>
    <row r="46" spans="2:19" x14ac:dyDescent="0.25">
      <c r="B46" t="s">
        <v>22</v>
      </c>
      <c r="C46" t="s">
        <v>23</v>
      </c>
      <c r="D46" t="s">
        <v>24</v>
      </c>
      <c r="E46" t="s">
        <v>25</v>
      </c>
      <c r="F46" t="s">
        <v>26</v>
      </c>
      <c r="G46" t="s">
        <v>27</v>
      </c>
      <c r="H46" t="str">
        <f t="shared" si="0"/>
        <v>studies which report the Optimum nitrogen concentration of living structural tissue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6" t="s">
        <v>175</v>
      </c>
      <c r="J46" t="s">
        <v>192</v>
      </c>
      <c r="K46" t="s">
        <v>193</v>
      </c>
      <c r="L46" t="s">
        <v>183</v>
      </c>
      <c r="M46" t="s">
        <v>184</v>
      </c>
      <c r="N46">
        <v>2</v>
      </c>
      <c r="O46">
        <v>7.0000000000000001E-3</v>
      </c>
      <c r="P46">
        <v>1.0999999999999999E-2</v>
      </c>
      <c r="Q46">
        <v>8.9999999999999993E-3</v>
      </c>
      <c r="R46">
        <v>8.9999999999999993E-3</v>
      </c>
      <c r="S46" t="s">
        <v>194</v>
      </c>
    </row>
    <row r="47" spans="2:19" x14ac:dyDescent="0.25">
      <c r="B47" t="s">
        <v>22</v>
      </c>
      <c r="C47" t="s">
        <v>23</v>
      </c>
      <c r="D47" t="s">
        <v>24</v>
      </c>
      <c r="E47" t="s">
        <v>25</v>
      </c>
      <c r="F47" t="s">
        <v>26</v>
      </c>
      <c r="G47" t="s">
        <v>27</v>
      </c>
      <c r="H47" t="str">
        <f t="shared" si="0"/>
        <v>studies which report the Minimum nitrogen concentration of living structural tissue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7" t="s">
        <v>175</v>
      </c>
      <c r="J47" t="s">
        <v>195</v>
      </c>
      <c r="K47" t="s">
        <v>196</v>
      </c>
      <c r="L47" t="s">
        <v>183</v>
      </c>
      <c r="M47" t="s">
        <v>184</v>
      </c>
      <c r="N47">
        <v>2</v>
      </c>
      <c r="O47">
        <v>3.0000000000000001E-3</v>
      </c>
      <c r="P47">
        <v>5.0000000000000001E-3</v>
      </c>
      <c r="Q47">
        <v>4.0000000000000001E-3</v>
      </c>
      <c r="R47">
        <v>4.0000000000000001E-3</v>
      </c>
      <c r="S47" t="s">
        <v>194</v>
      </c>
    </row>
    <row r="48" spans="2:19" x14ac:dyDescent="0.25">
      <c r="B48" t="s">
        <v>22</v>
      </c>
      <c r="C48" t="s">
        <v>23</v>
      </c>
      <c r="D48" t="s">
        <v>24</v>
      </c>
      <c r="E48" t="s">
        <v>25</v>
      </c>
      <c r="F48" t="s">
        <v>26</v>
      </c>
      <c r="G48" t="s">
        <v>27</v>
      </c>
      <c r="H48" t="str">
        <f t="shared" si="0"/>
        <v>studies which report the Ratio between fine root- and foliage biomass under standard conditions. as ratio  () , and the values reported therein, of Themeda triandra ( red oat grass)  under semi-arid environments. If no data for this species exists, please default first to other species of the genus themeda  and then the SUBfamily Panicoideae  and then the tribe Andropogonea.</v>
      </c>
      <c r="I48" t="s">
        <v>110</v>
      </c>
      <c r="J48" t="s">
        <v>197</v>
      </c>
      <c r="K48" t="s">
        <v>198</v>
      </c>
      <c r="L48" t="s">
        <v>199</v>
      </c>
      <c r="N48">
        <v>2</v>
      </c>
      <c r="O48">
        <v>0.5</v>
      </c>
      <c r="P48">
        <v>2</v>
      </c>
      <c r="Q48">
        <v>1</v>
      </c>
      <c r="R48">
        <v>1.25</v>
      </c>
      <c r="S48" t="s">
        <v>200</v>
      </c>
    </row>
    <row r="49" spans="2:19" x14ac:dyDescent="0.25">
      <c r="B49" t="s">
        <v>201</v>
      </c>
      <c r="C49" t="s">
        <v>202</v>
      </c>
      <c r="D49" t="s">
        <v>203</v>
      </c>
      <c r="E49" t="s">
        <v>204</v>
      </c>
      <c r="F49" t="s">
        <v>205</v>
      </c>
      <c r="G49" t="s">
        <v>206</v>
      </c>
      <c r="H49" t="str">
        <f t="shared" si="0"/>
        <v>studies which report the Michaelis Menten constant for O2 at 25 degrees C as millimols per mol per mbar  (mmol mol-1 mbar-1)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49" t="str">
        <f t="shared" ref="I49:N49" si="1">I2</f>
        <v>co2</v>
      </c>
      <c r="J49" t="str">
        <f t="shared" si="1"/>
        <v>KO25</v>
      </c>
      <c r="K49" t="str">
        <f t="shared" si="1"/>
        <v>Michaelis Menten constant for O2 at 25 degrees C</v>
      </c>
      <c r="L49" t="str">
        <f t="shared" si="1"/>
        <v>millimols per mol per mbar</v>
      </c>
      <c r="M49" t="str">
        <f t="shared" si="1"/>
        <v>mmol mol-1 mbar-1</v>
      </c>
      <c r="N49">
        <f t="shared" si="1"/>
        <v>2</v>
      </c>
      <c r="O49">
        <v>300</v>
      </c>
      <c r="P49">
        <v>450</v>
      </c>
      <c r="Q49">
        <v>450</v>
      </c>
      <c r="R49">
        <v>375</v>
      </c>
      <c r="S49" t="s">
        <v>207</v>
      </c>
    </row>
    <row r="50" spans="2:19" x14ac:dyDescent="0.25">
      <c r="B50" t="s">
        <v>201</v>
      </c>
      <c r="C50" t="s">
        <v>202</v>
      </c>
      <c r="D50" t="s">
        <v>203</v>
      </c>
      <c r="E50" t="s">
        <v>204</v>
      </c>
      <c r="F50" t="s">
        <v>205</v>
      </c>
      <c r="H50" t="e">
        <f t="shared" si="0"/>
        <v>#NAME?</v>
      </c>
      <c r="I50" t="str">
        <f t="shared" ref="I50:L69" si="2">I3</f>
        <v>co2</v>
      </c>
      <c r="J50" t="str">
        <f t="shared" si="2"/>
        <v>KM20</v>
      </c>
      <c r="K50" t="str">
        <f t="shared" si="2"/>
        <v>Maintenance coefficient at reference temperature</v>
      </c>
      <c r="L50" t="str">
        <f t="shared" si="2"/>
        <v>fraction</v>
      </c>
      <c r="M50" t="e">
        <f t="array" ref="M50">M</f>
        <v>#NAME?</v>
      </c>
      <c r="N50">
        <f t="shared" ref="N50:N113" si="3">N3</f>
        <v>2</v>
      </c>
      <c r="O50">
        <v>0.01</v>
      </c>
      <c r="P50">
        <v>1.4999999999999999E-2</v>
      </c>
      <c r="Q50">
        <v>1.4999999999999999E-2</v>
      </c>
      <c r="R50">
        <v>1.2500000000000001E-2</v>
      </c>
      <c r="S50" t="s">
        <v>38</v>
      </c>
    </row>
    <row r="51" spans="2:19" x14ac:dyDescent="0.25">
      <c r="B51" t="s">
        <v>201</v>
      </c>
      <c r="C51" t="s">
        <v>202</v>
      </c>
      <c r="D51" t="s">
        <v>203</v>
      </c>
      <c r="E51" t="s">
        <v>204</v>
      </c>
      <c r="F51" t="s">
        <v>205</v>
      </c>
      <c r="H51" t="str">
        <f t="shared" si="0"/>
        <v>studies which report the Maximum RubP saturated rate of carboxylation at 25oC for sun leaves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1" t="str">
        <f t="shared" si="2"/>
        <v>co2</v>
      </c>
      <c r="J51" t="str">
        <f t="shared" si="2"/>
        <v>VCMAX25</v>
      </c>
      <c r="K51" t="str">
        <f t="shared" si="2"/>
        <v>Maximum RubP saturated rate of carboxylation at 25oC for sun leaves</v>
      </c>
      <c r="L51" t="str">
        <f t="shared" si="2"/>
        <v>micromols per square meter per second</v>
      </c>
      <c r="M51" t="str">
        <f t="shared" ref="M51:M114" si="4">M4</f>
        <v>umol m^-2 s^-1</v>
      </c>
      <c r="N51">
        <f t="shared" si="3"/>
        <v>2</v>
      </c>
      <c r="O51">
        <v>24.4</v>
      </c>
      <c r="P51">
        <v>62.1</v>
      </c>
      <c r="Q51">
        <v>60</v>
      </c>
      <c r="R51">
        <v>43.25</v>
      </c>
      <c r="S51" t="s">
        <v>208</v>
      </c>
    </row>
    <row r="52" spans="2:19" x14ac:dyDescent="0.25">
      <c r="B52" t="s">
        <v>201</v>
      </c>
      <c r="C52" t="s">
        <v>202</v>
      </c>
      <c r="D52" t="s">
        <v>203</v>
      </c>
      <c r="E52" t="s">
        <v>204</v>
      </c>
      <c r="F52" t="s">
        <v>205</v>
      </c>
      <c r="H52" t="str">
        <f t="shared" si="0"/>
        <v>studies which report the Activation energy for electron transport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2" t="str">
        <f t="shared" si="2"/>
        <v>co2</v>
      </c>
      <c r="J52" t="str">
        <f t="shared" si="2"/>
        <v>AEJM</v>
      </c>
      <c r="K52" t="str">
        <f t="shared" si="2"/>
        <v>Activation energy for electron transport</v>
      </c>
      <c r="L52" t="str">
        <f t="shared" si="2"/>
        <v>Joules per mol</v>
      </c>
      <c r="M52" t="str">
        <f t="shared" si="4"/>
        <v>J mol^-1</v>
      </c>
      <c r="N52">
        <f t="shared" si="3"/>
        <v>0</v>
      </c>
      <c r="O52">
        <v>45000</v>
      </c>
      <c r="P52">
        <v>77900</v>
      </c>
      <c r="Q52">
        <v>45000</v>
      </c>
      <c r="R52">
        <v>61450</v>
      </c>
      <c r="S52" t="s">
        <v>209</v>
      </c>
    </row>
    <row r="53" spans="2:19" x14ac:dyDescent="0.25">
      <c r="B53" t="s">
        <v>201</v>
      </c>
      <c r="C53" t="s">
        <v>202</v>
      </c>
      <c r="D53" t="s">
        <v>203</v>
      </c>
      <c r="E53" t="s">
        <v>204</v>
      </c>
      <c r="F53" t="s">
        <v>205</v>
      </c>
      <c r="H53" t="str">
        <f t="shared" si="0"/>
        <v>studies which report the Activation energy for Michaelis-Menten constant for CO2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3" t="str">
        <f t="shared" si="2"/>
        <v>co2</v>
      </c>
      <c r="J53" t="str">
        <f t="shared" si="2"/>
        <v>AEKC</v>
      </c>
      <c r="K53" t="str">
        <f t="shared" si="2"/>
        <v>Activation energy for Michaelis-Menten constant for CO2</v>
      </c>
      <c r="L53" t="str">
        <f t="shared" si="2"/>
        <v>Joules per mol</v>
      </c>
      <c r="M53" t="str">
        <f t="shared" si="4"/>
        <v>J mol^-1</v>
      </c>
      <c r="N53">
        <f t="shared" si="3"/>
        <v>0</v>
      </c>
      <c r="O53">
        <v>64200</v>
      </c>
      <c r="P53">
        <v>79430</v>
      </c>
      <c r="Q53">
        <v>65300</v>
      </c>
      <c r="R53">
        <v>71815</v>
      </c>
      <c r="S53" t="s">
        <v>210</v>
      </c>
    </row>
    <row r="54" spans="2:19" x14ac:dyDescent="0.25">
      <c r="B54" t="s">
        <v>201</v>
      </c>
      <c r="C54" t="s">
        <v>202</v>
      </c>
      <c r="D54" t="s">
        <v>203</v>
      </c>
      <c r="E54" t="s">
        <v>204</v>
      </c>
      <c r="F54" t="s">
        <v>205</v>
      </c>
      <c r="H54" t="str">
        <f t="shared" si="0"/>
        <v>studies which report the Activation energy for Michaelis-Menten constant for O2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4" t="str">
        <f t="shared" si="2"/>
        <v>co2</v>
      </c>
      <c r="J54" t="str">
        <f t="shared" si="2"/>
        <v>AEKO</v>
      </c>
      <c r="K54" t="str">
        <f t="shared" si="2"/>
        <v>Activation energy for Michaelis-Menten constant for O2</v>
      </c>
      <c r="L54" t="str">
        <f t="shared" si="2"/>
        <v>Joules per mol</v>
      </c>
      <c r="M54" t="str">
        <f t="shared" si="4"/>
        <v>J mol^-1</v>
      </c>
      <c r="N54">
        <f t="shared" si="3"/>
        <v>0</v>
      </c>
      <c r="O54">
        <v>10500</v>
      </c>
      <c r="P54">
        <v>36380</v>
      </c>
      <c r="Q54">
        <v>36380</v>
      </c>
      <c r="R54">
        <v>23440</v>
      </c>
      <c r="S54" t="s">
        <v>211</v>
      </c>
    </row>
    <row r="55" spans="2:19" x14ac:dyDescent="0.25">
      <c r="B55" t="s">
        <v>201</v>
      </c>
      <c r="C55" t="s">
        <v>202</v>
      </c>
      <c r="D55" t="s">
        <v>203</v>
      </c>
      <c r="E55" t="s">
        <v>204</v>
      </c>
      <c r="F55" t="s">
        <v>205</v>
      </c>
      <c r="H55" t="str">
        <f t="shared" si="0"/>
        <v>studies which report the Activation energy for dark respiration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5" t="str">
        <f t="shared" si="2"/>
        <v>co2</v>
      </c>
      <c r="J55" t="str">
        <f t="shared" si="2"/>
        <v>AERD</v>
      </c>
      <c r="K55" t="str">
        <f t="shared" si="2"/>
        <v>Activation energy for dark respiration</v>
      </c>
      <c r="L55" t="str">
        <f t="shared" si="2"/>
        <v>Joules per mol</v>
      </c>
      <c r="M55" t="str">
        <f t="shared" si="4"/>
        <v>J mol^-1</v>
      </c>
      <c r="N55">
        <f t="shared" si="3"/>
        <v>0</v>
      </c>
      <c r="O55">
        <v>46390</v>
      </c>
      <c r="P55">
        <v>53300</v>
      </c>
      <c r="Q55">
        <v>50100</v>
      </c>
      <c r="R55">
        <v>49845</v>
      </c>
      <c r="S55" t="s">
        <v>212</v>
      </c>
    </row>
    <row r="56" spans="2:19" x14ac:dyDescent="0.25">
      <c r="B56" t="s">
        <v>201</v>
      </c>
      <c r="C56" t="s">
        <v>202</v>
      </c>
      <c r="D56" t="s">
        <v>203</v>
      </c>
      <c r="E56" t="s">
        <v>204</v>
      </c>
      <c r="F56" t="s">
        <v>205</v>
      </c>
      <c r="H56" t="str">
        <f t="shared" si="0"/>
        <v>studies which report the Activation energy for photosynthesis as Joules per mol  (J mol^-2)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6" t="str">
        <f t="shared" si="2"/>
        <v>co2</v>
      </c>
      <c r="J56" t="str">
        <f t="shared" si="2"/>
        <v>AEVC</v>
      </c>
      <c r="K56" t="str">
        <f t="shared" si="2"/>
        <v>Activation energy for photosynthesis</v>
      </c>
      <c r="L56" t="str">
        <f t="shared" si="2"/>
        <v>Joules per mol</v>
      </c>
      <c r="M56" t="str">
        <f t="shared" si="4"/>
        <v>J mol^-2</v>
      </c>
      <c r="N56">
        <f t="shared" si="3"/>
        <v>0</v>
      </c>
      <c r="O56">
        <v>50100</v>
      </c>
      <c r="P56">
        <v>78000</v>
      </c>
      <c r="Q56">
        <v>65300</v>
      </c>
      <c r="R56">
        <v>64050</v>
      </c>
      <c r="S56" t="s">
        <v>213</v>
      </c>
    </row>
    <row r="57" spans="2:19" x14ac:dyDescent="0.25">
      <c r="B57" t="s">
        <v>201</v>
      </c>
      <c r="C57" t="s">
        <v>202</v>
      </c>
      <c r="D57" t="s">
        <v>203</v>
      </c>
      <c r="E57" t="s">
        <v>204</v>
      </c>
      <c r="F57" t="s">
        <v>205</v>
      </c>
      <c r="H57" t="str">
        <f t="shared" si="0"/>
        <v>studies which report the Activation energy for RubP oxygenation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7" t="str">
        <f t="shared" si="2"/>
        <v>co2</v>
      </c>
      <c r="J57" t="str">
        <f t="shared" si="2"/>
        <v>AEVO</v>
      </c>
      <c r="K57" t="str">
        <f t="shared" si="2"/>
        <v>Activation energy for RubP oxygenation</v>
      </c>
      <c r="L57" t="str">
        <f t="shared" si="2"/>
        <v>Joules per mol</v>
      </c>
      <c r="M57" t="str">
        <f t="shared" si="4"/>
        <v>J mol-1</v>
      </c>
      <c r="N57">
        <f t="shared" si="3"/>
        <v>0</v>
      </c>
      <c r="O57">
        <v>37530</v>
      </c>
      <c r="P57">
        <v>37530</v>
      </c>
      <c r="Q57">
        <v>37530</v>
      </c>
      <c r="R57">
        <v>37530</v>
      </c>
      <c r="S57" t="s">
        <v>214</v>
      </c>
    </row>
    <row r="58" spans="2:19" x14ac:dyDescent="0.25">
      <c r="B58" t="s">
        <v>201</v>
      </c>
      <c r="C58" t="s">
        <v>202</v>
      </c>
      <c r="D58" t="s">
        <v>203</v>
      </c>
      <c r="E58" t="s">
        <v>204</v>
      </c>
      <c r="F58" t="s">
        <v>205</v>
      </c>
      <c r="H58" t="str">
        <f t="shared" si="0"/>
        <v>studies which report the Relation between maximum electron transport rate and RubP saturated rate of carboxylation as micromols per mol per mbar  (umol mol-1 ubar-1))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8" t="str">
        <f t="shared" si="2"/>
        <v>co2</v>
      </c>
      <c r="J58" t="str">
        <f t="shared" si="2"/>
        <v>KC25</v>
      </c>
      <c r="K58" t="str">
        <f t="shared" si="2"/>
        <v>Relation between maximum electron transport rate and RubP saturated rate of carboxylation</v>
      </c>
      <c r="L58" t="str">
        <f t="shared" si="2"/>
        <v>micromols per mol per mbar</v>
      </c>
      <c r="M58" t="str">
        <f t="shared" si="4"/>
        <v>umol mol-1 ubar-1)</v>
      </c>
      <c r="N58">
        <f t="shared" si="3"/>
        <v>2</v>
      </c>
      <c r="O58">
        <v>626</v>
      </c>
      <c r="P58">
        <v>1210</v>
      </c>
      <c r="Q58">
        <v>650</v>
      </c>
      <c r="R58">
        <v>918</v>
      </c>
      <c r="S58" t="s">
        <v>207</v>
      </c>
    </row>
    <row r="59" spans="2:19" x14ac:dyDescent="0.25">
      <c r="B59" t="s">
        <v>201</v>
      </c>
      <c r="C59" t="s">
        <v>202</v>
      </c>
      <c r="D59" t="s">
        <v>203</v>
      </c>
      <c r="E59" t="s">
        <v>204</v>
      </c>
      <c r="F59" t="s">
        <v>205</v>
      </c>
      <c r="H59" t="str">
        <f t="shared" si="0"/>
        <v>studies which report the Curvature parameter for the light response curve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9" t="str">
        <f t="shared" si="2"/>
        <v>co2</v>
      </c>
      <c r="J59" t="str">
        <f t="shared" si="2"/>
        <v>THETA</v>
      </c>
      <c r="K59" t="str">
        <f t="shared" si="2"/>
        <v>Curvature parameter for the light response curve</v>
      </c>
      <c r="L59">
        <f t="shared" si="2"/>
        <v>0</v>
      </c>
      <c r="M59">
        <f t="shared" si="4"/>
        <v>0</v>
      </c>
      <c r="N59">
        <f t="shared" si="3"/>
        <v>2</v>
      </c>
      <c r="O59">
        <v>0.65</v>
      </c>
      <c r="P59">
        <v>0.9</v>
      </c>
      <c r="Q59">
        <v>0.7</v>
      </c>
      <c r="R59">
        <v>0.77500000000000002</v>
      </c>
      <c r="S59" t="s">
        <v>215</v>
      </c>
    </row>
    <row r="60" spans="2:19" x14ac:dyDescent="0.25">
      <c r="B60" t="s">
        <v>201</v>
      </c>
      <c r="C60" t="s">
        <v>202</v>
      </c>
      <c r="D60" t="s">
        <v>203</v>
      </c>
      <c r="E60" t="s">
        <v>204</v>
      </c>
      <c r="F60" t="s">
        <v>205</v>
      </c>
      <c r="H60" t="str">
        <f t="shared" si="0"/>
        <v>studies which report the Relation between maximum electron transport rate and RubP saturated rate of carboxylation (ï¿½).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0" t="str">
        <f t="shared" si="2"/>
        <v>co2</v>
      </c>
      <c r="J60" t="str">
        <f t="shared" si="2"/>
        <v>QJVC</v>
      </c>
      <c r="K60" t="str">
        <f t="shared" si="2"/>
        <v>Relation between maximum electron transport rate and RubP saturated rate of carboxylation (ï¿½).</v>
      </c>
      <c r="L60" t="str">
        <f t="shared" si="2"/>
        <v>micromols per square meter per second</v>
      </c>
      <c r="M60" t="str">
        <f t="shared" si="4"/>
        <v>umol m^-2 s^-1</v>
      </c>
      <c r="N60">
        <f t="shared" si="3"/>
        <v>2</v>
      </c>
      <c r="O60">
        <v>1.6</v>
      </c>
      <c r="P60">
        <v>4.5</v>
      </c>
      <c r="Q60">
        <v>3.5</v>
      </c>
      <c r="R60">
        <v>3.05</v>
      </c>
      <c r="S60" t="s">
        <v>216</v>
      </c>
    </row>
    <row r="61" spans="2:19" x14ac:dyDescent="0.25">
      <c r="B61" t="s">
        <v>201</v>
      </c>
      <c r="C61" t="s">
        <v>202</v>
      </c>
      <c r="D61" t="s">
        <v>203</v>
      </c>
      <c r="E61" t="s">
        <v>204</v>
      </c>
      <c r="F61" t="s">
        <v>205</v>
      </c>
      <c r="H61" t="str">
        <f t="shared" si="0"/>
        <v>studies which report the Relation between dark respiration rate and RubP saturated rate of carboxyla tion at 25 oC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1" t="str">
        <f t="shared" si="2"/>
        <v>co2</v>
      </c>
      <c r="J61" t="str">
        <f t="shared" si="2"/>
        <v>QRD25</v>
      </c>
      <c r="K61" t="str">
        <f t="shared" si="2"/>
        <v>Relation between dark respiration rate and RubP saturated rate of carboxyla tion at 25 oC</v>
      </c>
      <c r="L61" t="str">
        <f t="shared" si="2"/>
        <v>micromols per square meter per second</v>
      </c>
      <c r="M61" t="str">
        <f t="shared" si="4"/>
        <v>umol m^-2 s^-1</v>
      </c>
      <c r="N61">
        <f t="shared" si="3"/>
        <v>2</v>
      </c>
      <c r="O61">
        <v>0.01</v>
      </c>
      <c r="P61">
        <v>3.7999999999999999E-2</v>
      </c>
      <c r="Q61">
        <v>1.2500000000000001E-2</v>
      </c>
      <c r="R61">
        <v>2.4E-2</v>
      </c>
      <c r="S61" t="s">
        <v>217</v>
      </c>
    </row>
    <row r="62" spans="2:19" x14ac:dyDescent="0.25">
      <c r="B62" t="s">
        <v>201</v>
      </c>
      <c r="C62" t="s">
        <v>202</v>
      </c>
      <c r="D62" t="s">
        <v>203</v>
      </c>
      <c r="E62" t="s">
        <v>204</v>
      </c>
      <c r="F62" t="s">
        <v>205</v>
      </c>
      <c r="H62" t="str">
        <f t="shared" si="0"/>
        <v>studies which report the Maximum instantaneous water use efficiency as milligrams of carbon dioxide per gram of water  (mg CO2 g^-1 H2O)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2" t="str">
        <f t="shared" si="2"/>
        <v>water</v>
      </c>
      <c r="J62" t="str">
        <f t="shared" si="2"/>
        <v>WUECMAX</v>
      </c>
      <c r="K62" t="str">
        <f t="shared" si="2"/>
        <v>Maximum instantaneous water use efficiency</v>
      </c>
      <c r="L62" t="str">
        <f t="shared" si="2"/>
        <v>milligrams of carbon dioxide per gram of water</v>
      </c>
      <c r="M62" t="str">
        <f t="shared" si="4"/>
        <v>mg CO2 g^-1 H2O</v>
      </c>
      <c r="N62">
        <f t="shared" si="3"/>
        <v>1</v>
      </c>
      <c r="O62">
        <v>2</v>
      </c>
      <c r="P62">
        <v>5.25</v>
      </c>
      <c r="Q62">
        <v>4.5</v>
      </c>
      <c r="R62">
        <v>3.625</v>
      </c>
      <c r="S62" t="s">
        <v>218</v>
      </c>
    </row>
    <row r="63" spans="2:19" x14ac:dyDescent="0.25">
      <c r="B63" t="s">
        <v>201</v>
      </c>
      <c r="C63" t="s">
        <v>202</v>
      </c>
      <c r="D63" t="s">
        <v>203</v>
      </c>
      <c r="E63" t="s">
        <v>204</v>
      </c>
      <c r="F63" t="s">
        <v>205</v>
      </c>
      <c r="H63" t="str">
        <f t="shared" si="0"/>
        <v>studies which report the minimum instantaneous water use efficiency as milligrams of carbon dioxide per gram of water  (mg CO2 g^-1 H2O)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3" t="str">
        <f t="shared" si="2"/>
        <v>water</v>
      </c>
      <c r="J63" t="str">
        <f t="shared" si="2"/>
        <v>WUECMIN</v>
      </c>
      <c r="K63" t="str">
        <f t="shared" si="2"/>
        <v>minimum instantaneous water use efficiency</v>
      </c>
      <c r="L63" t="str">
        <f t="shared" si="2"/>
        <v>milligrams of carbon dioxide per gram of water</v>
      </c>
      <c r="M63" t="str">
        <f t="shared" si="4"/>
        <v>mg CO2 g^-1 H2O</v>
      </c>
      <c r="N63">
        <f t="shared" si="3"/>
        <v>1</v>
      </c>
      <c r="O63">
        <v>2</v>
      </c>
      <c r="P63">
        <v>5</v>
      </c>
      <c r="Q63">
        <v>2.15</v>
      </c>
      <c r="R63">
        <v>3.5</v>
      </c>
      <c r="S63" t="s">
        <v>218</v>
      </c>
    </row>
    <row r="64" spans="2:19" x14ac:dyDescent="0.25">
      <c r="B64" t="s">
        <v>201</v>
      </c>
      <c r="C64" t="s">
        <v>202</v>
      </c>
      <c r="D64" t="s">
        <v>203</v>
      </c>
      <c r="E64" t="s">
        <v>204</v>
      </c>
      <c r="F64" t="s">
        <v>205</v>
      </c>
      <c r="H64" t="str">
        <f t="shared" si="0"/>
        <v>studies which report the relative available soil water content at which drought affects photosynthesis activity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4" t="str">
        <f t="shared" si="2"/>
        <v>water</v>
      </c>
      <c r="J64" t="str">
        <f t="shared" si="2"/>
        <v>H2OREF_A</v>
      </c>
      <c r="K64" t="str">
        <f t="shared" si="2"/>
        <v>relative available soil water content at which drought affects photosynthesis activity</v>
      </c>
      <c r="L64" t="str">
        <f t="shared" si="2"/>
        <v xml:space="preserve">a fraction </v>
      </c>
      <c r="M64">
        <f t="shared" si="4"/>
        <v>0</v>
      </c>
      <c r="N64">
        <f t="shared" si="3"/>
        <v>2</v>
      </c>
      <c r="O64">
        <v>0.3</v>
      </c>
      <c r="P64">
        <v>0.7</v>
      </c>
      <c r="Q64">
        <v>0.45</v>
      </c>
      <c r="R64">
        <v>0.5</v>
      </c>
      <c r="S64" t="s">
        <v>219</v>
      </c>
    </row>
    <row r="65" spans="2:19" x14ac:dyDescent="0.25">
      <c r="B65" t="s">
        <v>201</v>
      </c>
      <c r="C65" t="s">
        <v>202</v>
      </c>
      <c r="D65" t="s">
        <v>203</v>
      </c>
      <c r="E65" t="s">
        <v>204</v>
      </c>
      <c r="F65" t="s">
        <v>205</v>
      </c>
      <c r="H65" t="str">
        <f t="shared" si="0"/>
        <v>studies which report the relative available soil water content below which restricted water availability triggers plant senescence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5" t="str">
        <f t="shared" si="2"/>
        <v>water</v>
      </c>
      <c r="J65" t="str">
        <f t="shared" si="2"/>
        <v>H2OREF_SENESCENCE</v>
      </c>
      <c r="K65" t="str">
        <f t="shared" si="2"/>
        <v>relative available soil water content below which restricted water availability triggers plant senescence</v>
      </c>
      <c r="L65" t="str">
        <f t="shared" si="2"/>
        <v xml:space="preserve">a fraction </v>
      </c>
      <c r="M65">
        <f t="shared" si="4"/>
        <v>0</v>
      </c>
      <c r="N65">
        <f t="shared" si="3"/>
        <v>2</v>
      </c>
      <c r="O65">
        <v>0</v>
      </c>
      <c r="P65">
        <v>0.2</v>
      </c>
      <c r="Q65">
        <v>0</v>
      </c>
      <c r="R65">
        <v>0.1</v>
      </c>
      <c r="S65" t="s">
        <v>220</v>
      </c>
    </row>
    <row r="66" spans="2:19" x14ac:dyDescent="0.25">
      <c r="B66" t="s">
        <v>201</v>
      </c>
      <c r="C66" t="s">
        <v>202</v>
      </c>
      <c r="D66" t="s">
        <v>203</v>
      </c>
      <c r="E66" t="s">
        <v>204</v>
      </c>
      <c r="F66" t="s">
        <v>205</v>
      </c>
      <c r="H66" t="str">
        <f t="shared" ref="H66:H129" si="5">_xlfn.CONCAT("studies which report the ", K66," as ",L66,"  (",M66,") , and the values reported therein, of ", C66," ( ", B66,")  under semi-arid environments. If no data for this species exists, please default first to other species of the genus ", F66,"  and then the SUBfamily ", D66,"  and then the tribe ", E66,".")</f>
        <v>studies which report the relative available soil water content at which stomata are fully closed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6" t="str">
        <f t="shared" si="2"/>
        <v>water</v>
      </c>
      <c r="J66" t="str">
        <f t="shared" si="2"/>
        <v>H2OREF_GS</v>
      </c>
      <c r="K66" t="str">
        <f t="shared" si="2"/>
        <v>relative available soil water content at which stomata are fully closed</v>
      </c>
      <c r="L66" t="str">
        <f t="shared" si="2"/>
        <v xml:space="preserve">a fraction </v>
      </c>
      <c r="M66">
        <f t="shared" si="4"/>
        <v>0</v>
      </c>
      <c r="N66">
        <f t="shared" si="3"/>
        <v>2</v>
      </c>
      <c r="O66">
        <v>0.33</v>
      </c>
      <c r="P66">
        <v>0.4</v>
      </c>
      <c r="Q66">
        <v>0.33</v>
      </c>
      <c r="R66">
        <v>0.36499999999999999</v>
      </c>
      <c r="S66" t="s">
        <v>221</v>
      </c>
    </row>
    <row r="67" spans="2:19" x14ac:dyDescent="0.25">
      <c r="B67" t="s">
        <v>201</v>
      </c>
      <c r="C67" t="s">
        <v>202</v>
      </c>
      <c r="D67" t="s">
        <v>203</v>
      </c>
      <c r="E67" t="s">
        <v>204</v>
      </c>
      <c r="F67" t="s">
        <v>205</v>
      </c>
      <c r="G67" t="s">
        <v>27</v>
      </c>
      <c r="H67" t="str">
        <f t="shared" si="5"/>
        <v>studies which report the relative available soil water content below which flushing is affected by water
availability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7" t="str">
        <f t="shared" si="2"/>
        <v>water</v>
      </c>
      <c r="J67" t="str">
        <f t="shared" si="2"/>
        <v>H2OREF_FLUSHING</v>
      </c>
      <c r="K67" t="str">
        <f t="shared" si="2"/>
        <v>relative available soil water content below which flushing is affected by water
availability</v>
      </c>
      <c r="L67">
        <f t="shared" si="2"/>
        <v>0</v>
      </c>
      <c r="M67">
        <f t="shared" si="4"/>
        <v>0</v>
      </c>
      <c r="N67">
        <f t="shared" si="3"/>
        <v>2</v>
      </c>
      <c r="O67">
        <v>0.1</v>
      </c>
      <c r="P67">
        <v>0.3</v>
      </c>
      <c r="Q67">
        <v>0.15</v>
      </c>
      <c r="R67">
        <v>0.2</v>
      </c>
      <c r="S67" t="s">
        <v>222</v>
      </c>
    </row>
    <row r="68" spans="2:19" x14ac:dyDescent="0.25">
      <c r="B68" t="s">
        <v>201</v>
      </c>
      <c r="C68" t="s">
        <v>202</v>
      </c>
      <c r="D68" t="s">
        <v>203</v>
      </c>
      <c r="E68" t="s">
        <v>204</v>
      </c>
      <c r="F68" t="s">
        <v>205</v>
      </c>
      <c r="G68" t="s">
        <v>27</v>
      </c>
      <c r="H68" t="str">
        <f t="shared" si="5"/>
        <v>studies which report the relative available soil water content below which leaf growth is affected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8" t="str">
        <f t="shared" si="2"/>
        <v>water</v>
      </c>
      <c r="J68" t="str">
        <f t="shared" si="2"/>
        <v>H2OREF_LEAF_GROWTH</v>
      </c>
      <c r="K68" t="str">
        <f t="shared" si="2"/>
        <v>relative available soil water content below which leaf growth is affected</v>
      </c>
      <c r="L68">
        <f t="shared" si="2"/>
        <v>0</v>
      </c>
      <c r="M68">
        <f t="shared" si="4"/>
        <v>0</v>
      </c>
      <c r="N68">
        <f t="shared" si="3"/>
        <v>2</v>
      </c>
      <c r="O68">
        <v>0.3</v>
      </c>
      <c r="P68">
        <v>0.5</v>
      </c>
      <c r="Q68">
        <v>0.4</v>
      </c>
      <c r="R68">
        <v>0.4</v>
      </c>
      <c r="S68" t="s">
        <v>223</v>
      </c>
    </row>
    <row r="69" spans="2:19" x14ac:dyDescent="0.25">
      <c r="B69" t="s">
        <v>201</v>
      </c>
      <c r="C69" t="s">
        <v>202</v>
      </c>
      <c r="D69" t="s">
        <v>203</v>
      </c>
      <c r="E69" t="s">
        <v>204</v>
      </c>
      <c r="F69" t="s">
        <v>205</v>
      </c>
      <c r="H69" t="str">
        <f t="shared" si="5"/>
        <v>studies which report the maximum stomatal conductivity  as millimols of h2o per square meter per second  (mmol H2O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9" t="str">
        <f t="shared" si="2"/>
        <v>water</v>
      </c>
      <c r="J69" t="str">
        <f t="shared" si="2"/>
        <v>GSMAX</v>
      </c>
      <c r="K69" t="str">
        <f t="shared" si="2"/>
        <v xml:space="preserve">maximum stomatal conductivity </v>
      </c>
      <c r="L69" t="str">
        <f t="shared" si="2"/>
        <v>millimols of h2o per square meter per second</v>
      </c>
      <c r="M69" t="str">
        <f t="shared" si="4"/>
        <v>mmol H2O m^(-2) s^(-1)</v>
      </c>
      <c r="N69">
        <f t="shared" si="3"/>
        <v>1</v>
      </c>
      <c r="O69">
        <v>210</v>
      </c>
      <c r="P69">
        <v>620</v>
      </c>
      <c r="Q69">
        <v>210</v>
      </c>
      <c r="R69">
        <v>415</v>
      </c>
      <c r="S69" t="s">
        <v>224</v>
      </c>
    </row>
    <row r="70" spans="2:19" x14ac:dyDescent="0.25">
      <c r="B70" t="s">
        <v>201</v>
      </c>
      <c r="C70" t="s">
        <v>202</v>
      </c>
      <c r="D70" t="s">
        <v>203</v>
      </c>
      <c r="E70" t="s">
        <v>204</v>
      </c>
      <c r="F70" t="s">
        <v>205</v>
      </c>
      <c r="H70" t="str">
        <f t="shared" si="5"/>
        <v>studies which report the minimum stomatal conductivity  as millimols of h2o per square meter per second  (mmol H2O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0" t="str">
        <f t="shared" ref="I70:L89" si="6">I23</f>
        <v>water</v>
      </c>
      <c r="J70" t="str">
        <f t="shared" si="6"/>
        <v>GSMIN</v>
      </c>
      <c r="K70" t="str">
        <f t="shared" si="6"/>
        <v xml:space="preserve">minimum stomatal conductivity </v>
      </c>
      <c r="L70" t="str">
        <f t="shared" si="6"/>
        <v>millimols of h2o per square meter per second</v>
      </c>
      <c r="M70" t="str">
        <f t="shared" si="4"/>
        <v>mmol H2O m^(-2) s^(-1)</v>
      </c>
      <c r="N70">
        <f t="shared" si="3"/>
        <v>1</v>
      </c>
      <c r="O70">
        <v>2</v>
      </c>
      <c r="P70">
        <v>5</v>
      </c>
      <c r="Q70">
        <v>3.5</v>
      </c>
      <c r="R70">
        <v>3.5</v>
      </c>
      <c r="S70" t="s">
        <v>225</v>
      </c>
    </row>
    <row r="71" spans="2:19" x14ac:dyDescent="0.25">
      <c r="B71" t="s">
        <v>201</v>
      </c>
      <c r="C71" t="s">
        <v>202</v>
      </c>
      <c r="D71" t="s">
        <v>203</v>
      </c>
      <c r="E71" t="s">
        <v>204</v>
      </c>
      <c r="F71" t="s">
        <v>205</v>
      </c>
      <c r="H71" t="str">
        <f t="shared" si="5"/>
        <v>studies which report the Biomass fraction of foliage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1" t="str">
        <f t="shared" si="6"/>
        <v>biomass</v>
      </c>
      <c r="J71" t="str">
        <f t="shared" si="6"/>
        <v>FRACTION_FOLIAGE</v>
      </c>
      <c r="K71" t="str">
        <f t="shared" si="6"/>
        <v>Biomass fraction of foliage at maturity.</v>
      </c>
      <c r="L71" t="str">
        <f t="shared" si="6"/>
        <v>fraction</v>
      </c>
      <c r="M71">
        <f t="shared" si="4"/>
        <v>0</v>
      </c>
      <c r="N71">
        <f t="shared" si="3"/>
        <v>2</v>
      </c>
      <c r="O71">
        <v>0.2</v>
      </c>
      <c r="P71">
        <v>0.45</v>
      </c>
      <c r="Q71">
        <v>0.3</v>
      </c>
      <c r="R71">
        <v>0.32500000000000001</v>
      </c>
      <c r="S71" t="s">
        <v>226</v>
      </c>
    </row>
    <row r="72" spans="2:19" x14ac:dyDescent="0.25">
      <c r="B72" t="s">
        <v>201</v>
      </c>
      <c r="C72" t="s">
        <v>202</v>
      </c>
      <c r="D72" t="s">
        <v>203</v>
      </c>
      <c r="E72" t="s">
        <v>204</v>
      </c>
      <c r="F72" t="s">
        <v>205</v>
      </c>
      <c r="H72" t="str">
        <f t="shared" si="5"/>
        <v>studies which report the Biomass fraction of roots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2" t="str">
        <f t="shared" si="6"/>
        <v>biomass</v>
      </c>
      <c r="J72" t="str">
        <f t="shared" si="6"/>
        <v>FRACTION_ROOT</v>
      </c>
      <c r="K72" t="str">
        <f t="shared" si="6"/>
        <v>Biomass fraction of roots at maturity</v>
      </c>
      <c r="L72" t="str">
        <f t="shared" si="6"/>
        <v>fraction</v>
      </c>
      <c r="M72">
        <f t="shared" si="4"/>
        <v>0</v>
      </c>
      <c r="N72">
        <f t="shared" si="3"/>
        <v>2</v>
      </c>
      <c r="O72">
        <v>0.4</v>
      </c>
      <c r="P72">
        <v>0.65</v>
      </c>
      <c r="Q72">
        <v>0.5</v>
      </c>
      <c r="R72">
        <v>0.52500000000000002</v>
      </c>
      <c r="S72" t="s">
        <v>227</v>
      </c>
    </row>
    <row r="73" spans="2:19" x14ac:dyDescent="0.25">
      <c r="B73" t="s">
        <v>201</v>
      </c>
      <c r="C73" t="s">
        <v>202</v>
      </c>
      <c r="D73" t="s">
        <v>203</v>
      </c>
      <c r="E73" t="s">
        <v>204</v>
      </c>
      <c r="F73" t="s">
        <v>205</v>
      </c>
      <c r="H73" t="str">
        <f t="shared" si="5"/>
        <v>studies which report the Biomass fraction of fruit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3" t="str">
        <f t="shared" si="6"/>
        <v>biomass</v>
      </c>
      <c r="J73" t="str">
        <f t="shared" si="6"/>
        <v>FRACTION_FRUIT</v>
      </c>
      <c r="K73" t="str">
        <f t="shared" si="6"/>
        <v>Biomass fraction of fruit at maturity.</v>
      </c>
      <c r="L73" t="str">
        <f t="shared" si="6"/>
        <v>fraction</v>
      </c>
      <c r="M73">
        <f t="shared" si="4"/>
        <v>0</v>
      </c>
      <c r="N73">
        <f t="shared" si="3"/>
        <v>2</v>
      </c>
    </row>
    <row r="74" spans="2:19" x14ac:dyDescent="0.25">
      <c r="B74" t="s">
        <v>201</v>
      </c>
      <c r="C74" t="s">
        <v>202</v>
      </c>
      <c r="D74" t="s">
        <v>203</v>
      </c>
      <c r="E74" t="s">
        <v>204</v>
      </c>
      <c r="F74" t="s">
        <v>205</v>
      </c>
      <c r="H74" t="str">
        <f t="shared" si="5"/>
        <v>studies which report the Maximum relative growth rate for foliage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4" t="str">
        <f t="shared" si="6"/>
        <v>biomass</v>
      </c>
      <c r="J74" t="str">
        <f t="shared" si="6"/>
        <v>FOLRELGROMAX</v>
      </c>
      <c r="K74" t="str">
        <f t="shared" si="6"/>
        <v>Maximum relative growth rate for foliage</v>
      </c>
      <c r="L74" t="str">
        <f t="shared" si="6"/>
        <v xml:space="preserve">fraction </v>
      </c>
      <c r="M74">
        <f t="shared" si="4"/>
        <v>0</v>
      </c>
      <c r="N74">
        <f t="shared" si="3"/>
        <v>2</v>
      </c>
      <c r="O74">
        <v>0.08</v>
      </c>
      <c r="P74">
        <v>0.15</v>
      </c>
      <c r="Q74">
        <v>0.1</v>
      </c>
      <c r="R74">
        <v>0.115</v>
      </c>
      <c r="S74" t="s">
        <v>123</v>
      </c>
    </row>
    <row r="75" spans="2:19" x14ac:dyDescent="0.25">
      <c r="B75" t="s">
        <v>201</v>
      </c>
      <c r="C75" t="s">
        <v>202</v>
      </c>
      <c r="D75" t="s">
        <v>203</v>
      </c>
      <c r="E75" t="s">
        <v>204</v>
      </c>
      <c r="F75" t="s">
        <v>205</v>
      </c>
      <c r="H75" t="str">
        <f t="shared" si="5"/>
        <v>studies which report the Foliage biomass under optimal, closed canopy condition (kg m-2) as kg per square meter  (kg m^-2)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5" t="str">
        <f t="shared" si="6"/>
        <v>biomass</v>
      </c>
      <c r="J75" t="str">
        <f t="shared" si="6"/>
        <v>MFOLOPT</v>
      </c>
      <c r="K75" t="str">
        <f t="shared" si="6"/>
        <v>Foliage biomass under optimal, closed canopy condition (kg m-2)</v>
      </c>
      <c r="L75" t="str">
        <f t="shared" si="6"/>
        <v>kg per square meter</v>
      </c>
      <c r="M75" t="str">
        <f t="shared" si="4"/>
        <v>kg m^-2</v>
      </c>
      <c r="N75">
        <f t="shared" si="3"/>
        <v>2</v>
      </c>
      <c r="O75">
        <v>0.2</v>
      </c>
      <c r="P75">
        <v>0.6</v>
      </c>
      <c r="Q75">
        <v>0.35</v>
      </c>
      <c r="R75">
        <v>0.4</v>
      </c>
      <c r="S75" t="s">
        <v>228</v>
      </c>
    </row>
    <row r="76" spans="2:19" x14ac:dyDescent="0.25">
      <c r="B76" t="s">
        <v>201</v>
      </c>
      <c r="C76" t="s">
        <v>202</v>
      </c>
      <c r="D76" t="s">
        <v>203</v>
      </c>
      <c r="E76" t="s">
        <v>204</v>
      </c>
      <c r="F76" t="s">
        <v>205</v>
      </c>
      <c r="H76" t="str">
        <f t="shared" si="5"/>
        <v>studies which report the Specific interception capacity of foliage  as meters per square meter of LAI  (m m^-2 LAI)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6" t="str">
        <f t="shared" si="6"/>
        <v>light &amp; photosynthesis</v>
      </c>
      <c r="J76" t="str">
        <f t="shared" si="6"/>
        <v>MWFM</v>
      </c>
      <c r="K76" t="str">
        <f t="shared" si="6"/>
        <v xml:space="preserve">Specific interception capacity of foliage </v>
      </c>
      <c r="L76" t="str">
        <f t="shared" si="6"/>
        <v>meters per square meter of LAI</v>
      </c>
      <c r="M76" t="str">
        <f t="shared" si="4"/>
        <v>m m^-2 LAI</v>
      </c>
      <c r="N76">
        <f t="shared" si="3"/>
        <v>5</v>
      </c>
      <c r="O76">
        <v>1E-4</v>
      </c>
      <c r="P76">
        <v>2.0000000000000001E-4</v>
      </c>
      <c r="Q76">
        <v>1.4999999999999999E-4</v>
      </c>
      <c r="R76">
        <v>1.4999999999999999E-4</v>
      </c>
      <c r="S76" t="s">
        <v>229</v>
      </c>
    </row>
    <row r="77" spans="2:19" x14ac:dyDescent="0.25">
      <c r="B77" t="s">
        <v>201</v>
      </c>
      <c r="C77" t="s">
        <v>202</v>
      </c>
      <c r="D77" t="s">
        <v>203</v>
      </c>
      <c r="E77" t="s">
        <v>204</v>
      </c>
      <c r="F77" t="s">
        <v>205</v>
      </c>
      <c r="H77" t="str">
        <f t="shared" si="5"/>
        <v>studies which report the maximal net photosynthesis as nanomols of CO2 per gram per second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7" t="str">
        <f t="shared" si="6"/>
        <v>light &amp; photosynthesis</v>
      </c>
      <c r="J77" t="str">
        <f t="shared" si="6"/>
        <v>AMAXB</v>
      </c>
      <c r="K77" t="str">
        <f t="shared" si="6"/>
        <v>maximal net photosynthesis</v>
      </c>
      <c r="L77" t="str">
        <f t="shared" si="6"/>
        <v>nanomols of CO2 per gram per second</v>
      </c>
      <c r="M77">
        <f t="shared" si="4"/>
        <v>0</v>
      </c>
      <c r="N77">
        <f t="shared" si="3"/>
        <v>2</v>
      </c>
      <c r="O77">
        <v>400</v>
      </c>
      <c r="P77">
        <v>600</v>
      </c>
      <c r="Q77">
        <v>440</v>
      </c>
      <c r="R77">
        <v>500</v>
      </c>
      <c r="S77" t="s">
        <v>230</v>
      </c>
    </row>
    <row r="78" spans="2:19" x14ac:dyDescent="0.25">
      <c r="B78" t="s">
        <v>201</v>
      </c>
      <c r="C78" t="s">
        <v>202</v>
      </c>
      <c r="D78" t="s">
        <v>203</v>
      </c>
      <c r="E78" t="s">
        <v>204</v>
      </c>
      <c r="F78" t="s">
        <v>205</v>
      </c>
      <c r="H78" t="str">
        <f t="shared" si="5"/>
        <v>studies which report the specific leaf area in the shade as square meters per kilogram  (m^2 kg^-1)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8" t="str">
        <f t="shared" si="6"/>
        <v>light &amp; photosynthesis</v>
      </c>
      <c r="J78" t="str">
        <f t="shared" si="6"/>
        <v>SLAMAX</v>
      </c>
      <c r="K78" t="str">
        <f t="shared" si="6"/>
        <v>specific leaf area in the shade</v>
      </c>
      <c r="L78" t="str">
        <f t="shared" si="6"/>
        <v>square meters per kilogram</v>
      </c>
      <c r="M78" t="str">
        <f t="shared" si="4"/>
        <v>m^2 kg^-1</v>
      </c>
      <c r="N78">
        <f t="shared" si="3"/>
        <v>1</v>
      </c>
      <c r="O78">
        <v>30</v>
      </c>
      <c r="P78">
        <v>35.799999999999997</v>
      </c>
      <c r="Q78">
        <v>34</v>
      </c>
      <c r="R78">
        <v>32.9</v>
      </c>
      <c r="S78" t="s">
        <v>231</v>
      </c>
    </row>
    <row r="79" spans="2:19" x14ac:dyDescent="0.25">
      <c r="B79" t="s">
        <v>201</v>
      </c>
      <c r="C79" t="s">
        <v>202</v>
      </c>
      <c r="D79" t="s">
        <v>203</v>
      </c>
      <c r="E79" t="s">
        <v>204</v>
      </c>
      <c r="F79" t="s">
        <v>205</v>
      </c>
      <c r="H79" t="str">
        <f t="shared" si="5"/>
        <v>studies which report the specific leaf area under full sun as square meters per kilogram  (m^2 kg^-1)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9" t="str">
        <f t="shared" si="6"/>
        <v>light &amp; photosynthesis</v>
      </c>
      <c r="J79" t="str">
        <f t="shared" si="6"/>
        <v>SLAMIN</v>
      </c>
      <c r="K79" t="str">
        <f t="shared" si="6"/>
        <v>specific leaf area under full sun</v>
      </c>
      <c r="L79" t="str">
        <f t="shared" si="6"/>
        <v>square meters per kilogram</v>
      </c>
      <c r="M79" t="str">
        <f t="shared" si="4"/>
        <v>m^2 kg^-1</v>
      </c>
      <c r="N79">
        <f t="shared" si="3"/>
        <v>1</v>
      </c>
      <c r="O79">
        <v>13</v>
      </c>
      <c r="P79">
        <v>13.9</v>
      </c>
      <c r="Q79">
        <v>13</v>
      </c>
      <c r="R79">
        <v>13.45</v>
      </c>
      <c r="S79" t="s">
        <v>232</v>
      </c>
    </row>
    <row r="80" spans="2:19" x14ac:dyDescent="0.25">
      <c r="B80" t="s">
        <v>201</v>
      </c>
      <c r="C80" t="s">
        <v>202</v>
      </c>
      <c r="D80" t="s">
        <v>203</v>
      </c>
      <c r="E80" t="s">
        <v>204</v>
      </c>
      <c r="F80" t="s">
        <v>205</v>
      </c>
      <c r="H80" t="str">
        <f t="shared" si="5"/>
        <v>studies which report the Time interval necessary to complete growth of new foliage as days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0" t="str">
        <f t="shared" si="6"/>
        <v>phenology</v>
      </c>
      <c r="J80" t="str">
        <f t="shared" si="6"/>
        <v>NDFLUSH</v>
      </c>
      <c r="K80" t="str">
        <f t="shared" si="6"/>
        <v>Time interval necessary to complete growth of new foliage</v>
      </c>
      <c r="L80" t="str">
        <f t="shared" si="6"/>
        <v>days</v>
      </c>
      <c r="M80">
        <f t="shared" si="4"/>
        <v>0</v>
      </c>
      <c r="N80">
        <f t="shared" si="3"/>
        <v>0</v>
      </c>
      <c r="O80">
        <v>15</v>
      </c>
      <c r="P80">
        <v>45</v>
      </c>
      <c r="Q80">
        <v>30</v>
      </c>
      <c r="R80">
        <v>30</v>
      </c>
      <c r="S80" t="s">
        <v>233</v>
      </c>
    </row>
    <row r="81" spans="2:19" x14ac:dyDescent="0.25">
      <c r="B81" t="s">
        <v>201</v>
      </c>
      <c r="C81" t="s">
        <v>202</v>
      </c>
      <c r="D81" t="s">
        <v>203</v>
      </c>
      <c r="E81" t="s">
        <v>204</v>
      </c>
      <c r="F81" t="s">
        <v>205</v>
      </c>
      <c r="H81" t="str">
        <f t="shared" si="5"/>
        <v>studies which report the duration of senescence  as days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1" t="str">
        <f t="shared" si="6"/>
        <v>phenology</v>
      </c>
      <c r="J81" t="str">
        <f t="shared" si="6"/>
        <v>NDMORTA</v>
      </c>
      <c r="K81" t="str">
        <f t="shared" si="6"/>
        <v xml:space="preserve">duration of senescence </v>
      </c>
      <c r="L81" t="str">
        <f t="shared" si="6"/>
        <v>days</v>
      </c>
      <c r="M81">
        <f t="shared" si="4"/>
        <v>0</v>
      </c>
      <c r="N81">
        <f t="shared" si="3"/>
        <v>0</v>
      </c>
      <c r="O81">
        <v>40</v>
      </c>
      <c r="P81">
        <v>120</v>
      </c>
      <c r="Q81">
        <v>80</v>
      </c>
      <c r="R81">
        <v>100</v>
      </c>
      <c r="S81" t="s">
        <v>233</v>
      </c>
    </row>
    <row r="82" spans="2:19" x14ac:dyDescent="0.25">
      <c r="B82" t="s">
        <v>201</v>
      </c>
      <c r="C82" t="s">
        <v>202</v>
      </c>
      <c r="D82" t="s">
        <v>203</v>
      </c>
      <c r="E82" t="s">
        <v>204</v>
      </c>
      <c r="F82" t="s">
        <v>205</v>
      </c>
      <c r="H82" t="str">
        <f t="shared" si="5"/>
        <v>studies which report the base temperature for growing degree days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2" t="str">
        <f t="shared" si="6"/>
        <v>phenology</v>
      </c>
      <c r="J82" t="str">
        <f t="shared" si="6"/>
        <v>GDD_BASE_TEMPERATURE</v>
      </c>
      <c r="K82" t="str">
        <f t="shared" si="6"/>
        <v>base temperature for growing degree days</v>
      </c>
      <c r="L82">
        <f t="shared" si="6"/>
        <v>0</v>
      </c>
      <c r="M82">
        <f t="shared" si="4"/>
        <v>0</v>
      </c>
      <c r="N82">
        <f t="shared" si="3"/>
        <v>0</v>
      </c>
      <c r="O82">
        <v>7.7</v>
      </c>
      <c r="P82">
        <v>15</v>
      </c>
      <c r="Q82">
        <v>10</v>
      </c>
      <c r="R82">
        <v>11.35</v>
      </c>
      <c r="S82" t="s">
        <v>234</v>
      </c>
    </row>
    <row r="83" spans="2:19" x14ac:dyDescent="0.25">
      <c r="B83" t="s">
        <v>201</v>
      </c>
      <c r="C83" t="s">
        <v>202</v>
      </c>
      <c r="D83" t="s">
        <v>203</v>
      </c>
      <c r="E83" t="s">
        <v>204</v>
      </c>
      <c r="F83" t="s">
        <v>205</v>
      </c>
      <c r="H83" t="str">
        <f t="shared" si="5"/>
        <v>studies which report the growing degree days until beginning of emergence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3" t="str">
        <f t="shared" si="6"/>
        <v>phenology</v>
      </c>
      <c r="J83" t="str">
        <f t="shared" si="6"/>
        <v>GDD_EMERG</v>
      </c>
      <c r="K83" t="str">
        <f t="shared" si="6"/>
        <v>growing degree days until beginning of emergence</v>
      </c>
      <c r="L83" t="str">
        <f t="shared" si="6"/>
        <v>days</v>
      </c>
      <c r="M83" t="str">
        <f t="shared" si="4"/>
        <v>GDD</v>
      </c>
      <c r="N83">
        <f t="shared" si="3"/>
        <v>0</v>
      </c>
      <c r="O83">
        <v>100</v>
      </c>
      <c r="P83">
        <v>230</v>
      </c>
      <c r="Q83">
        <v>140</v>
      </c>
      <c r="R83">
        <v>165</v>
      </c>
      <c r="S83" t="s">
        <v>235</v>
      </c>
    </row>
    <row r="84" spans="2:19" x14ac:dyDescent="0.25">
      <c r="B84" t="s">
        <v>201</v>
      </c>
      <c r="C84" t="s">
        <v>202</v>
      </c>
      <c r="D84" t="s">
        <v>203</v>
      </c>
      <c r="E84" t="s">
        <v>204</v>
      </c>
      <c r="F84" t="s">
        <v>205</v>
      </c>
      <c r="H84" t="str">
        <f t="shared" si="5"/>
        <v>studies which report the growing degree days until maturity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4" t="str">
        <f t="shared" si="6"/>
        <v>phenology</v>
      </c>
      <c r="J84" t="str">
        <f t="shared" si="6"/>
        <v>GDD_MATURITY</v>
      </c>
      <c r="K84" t="str">
        <f t="shared" si="6"/>
        <v>growing degree days until maturity</v>
      </c>
      <c r="L84" t="str">
        <f t="shared" si="6"/>
        <v>days</v>
      </c>
      <c r="M84" t="str">
        <f t="shared" si="4"/>
        <v>GDD</v>
      </c>
      <c r="N84">
        <f t="shared" si="3"/>
        <v>0</v>
      </c>
      <c r="O84">
        <v>600</v>
      </c>
      <c r="P84">
        <v>2000</v>
      </c>
      <c r="Q84">
        <v>1500</v>
      </c>
      <c r="R84">
        <v>1300</v>
      </c>
      <c r="S84" t="s">
        <v>236</v>
      </c>
    </row>
    <row r="85" spans="2:19" x14ac:dyDescent="0.25">
      <c r="B85" t="s">
        <v>201</v>
      </c>
      <c r="C85" t="s">
        <v>202</v>
      </c>
      <c r="D85" t="s">
        <v>203</v>
      </c>
      <c r="E85" t="s">
        <v>204</v>
      </c>
      <c r="F85" t="s">
        <v>205</v>
      </c>
      <c r="H85" t="str">
        <f t="shared" si="5"/>
        <v>studies which report the growing degree days until begin of stem elongation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5" t="str">
        <f t="shared" si="6"/>
        <v>phenology</v>
      </c>
      <c r="J85" t="str">
        <f t="shared" si="6"/>
        <v>GDD_STEM_ELONGATION</v>
      </c>
      <c r="K85" t="str">
        <f t="shared" si="6"/>
        <v>growing degree days until begin of stem elongation</v>
      </c>
      <c r="L85" t="str">
        <f t="shared" si="6"/>
        <v>days</v>
      </c>
      <c r="M85" t="str">
        <f t="shared" si="4"/>
        <v>GDD</v>
      </c>
      <c r="N85">
        <f t="shared" si="3"/>
        <v>0</v>
      </c>
      <c r="O85">
        <v>200</v>
      </c>
      <c r="P85">
        <v>500</v>
      </c>
      <c r="Q85">
        <v>400</v>
      </c>
      <c r="R85">
        <v>350</v>
      </c>
      <c r="S85" t="s">
        <v>237</v>
      </c>
    </row>
    <row r="86" spans="2:19" x14ac:dyDescent="0.25">
      <c r="B86" t="s">
        <v>201</v>
      </c>
      <c r="C86" t="s">
        <v>202</v>
      </c>
      <c r="D86" t="s">
        <v>203</v>
      </c>
      <c r="E86" t="s">
        <v>204</v>
      </c>
      <c r="F86" t="s">
        <v>205</v>
      </c>
      <c r="H86" t="str">
        <f t="shared" si="5"/>
        <v>studies which report the growing degree days until downwards root growth ceases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6" t="str">
        <f t="shared" si="6"/>
        <v>phenology</v>
      </c>
      <c r="J86" t="str">
        <f t="shared" si="6"/>
        <v>GDD_ROOTS_GROWN</v>
      </c>
      <c r="K86" t="str">
        <f t="shared" si="6"/>
        <v>growing degree days until downwards root growth ceases</v>
      </c>
      <c r="L86" t="str">
        <f t="shared" si="6"/>
        <v>growing degree days</v>
      </c>
      <c r="M86" t="str">
        <f t="shared" si="4"/>
        <v>GDD</v>
      </c>
      <c r="N86">
        <f t="shared" si="3"/>
        <v>0</v>
      </c>
      <c r="O86">
        <v>500</v>
      </c>
      <c r="P86">
        <v>1000</v>
      </c>
      <c r="Q86">
        <v>705</v>
      </c>
      <c r="R86">
        <v>750</v>
      </c>
      <c r="S86" t="s">
        <v>238</v>
      </c>
    </row>
    <row r="87" spans="2:19" x14ac:dyDescent="0.25">
      <c r="B87" t="s">
        <v>201</v>
      </c>
      <c r="C87" t="s">
        <v>202</v>
      </c>
      <c r="D87" t="s">
        <v>203</v>
      </c>
      <c r="E87" t="s">
        <v>204</v>
      </c>
      <c r="F87" t="s">
        <v>205</v>
      </c>
      <c r="H87" t="str">
        <f t="shared" si="5"/>
        <v>studies which report the minimum temperature sum for foliage activity onset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7" t="str">
        <f t="shared" si="6"/>
        <v>phenology</v>
      </c>
      <c r="J87" t="str">
        <f t="shared" si="6"/>
        <v>GDDFOLSTART</v>
      </c>
      <c r="K87" t="str">
        <f t="shared" si="6"/>
        <v>minimum temperature sum for foliage activity onset</v>
      </c>
      <c r="L87" t="str">
        <f t="shared" si="6"/>
        <v>growing degree days</v>
      </c>
      <c r="M87" t="str">
        <f t="shared" si="4"/>
        <v>GDD</v>
      </c>
      <c r="N87">
        <f t="shared" si="3"/>
        <v>0</v>
      </c>
      <c r="O87">
        <v>150</v>
      </c>
      <c r="P87">
        <v>500</v>
      </c>
      <c r="Q87">
        <v>400</v>
      </c>
      <c r="R87">
        <v>325</v>
      </c>
      <c r="S87" t="s">
        <v>229</v>
      </c>
    </row>
    <row r="88" spans="2:19" x14ac:dyDescent="0.25">
      <c r="B88" t="s">
        <v>201</v>
      </c>
      <c r="C88" t="s">
        <v>202</v>
      </c>
      <c r="D88" t="s">
        <v>203</v>
      </c>
      <c r="E88" t="s">
        <v>204</v>
      </c>
      <c r="F88" t="s">
        <v>205</v>
      </c>
      <c r="H88" t="str">
        <f t="shared" si="5"/>
        <v>studies which report the growing degree days to complete foliar production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8" t="str">
        <f t="shared" si="6"/>
        <v>phenology</v>
      </c>
      <c r="J88" t="str">
        <f t="shared" si="6"/>
        <v>GDDFOLEND</v>
      </c>
      <c r="K88" t="str">
        <f t="shared" si="6"/>
        <v>growing degree days to complete foliar production</v>
      </c>
      <c r="L88" t="str">
        <f t="shared" si="6"/>
        <v>growing degree days</v>
      </c>
      <c r="M88" t="str">
        <f t="shared" si="4"/>
        <v>GDD</v>
      </c>
      <c r="N88">
        <f t="shared" si="3"/>
        <v>0</v>
      </c>
      <c r="O88">
        <v>1100</v>
      </c>
      <c r="P88">
        <v>1400</v>
      </c>
      <c r="Q88">
        <v>1100</v>
      </c>
      <c r="R88">
        <v>1250</v>
      </c>
      <c r="S88" t="s">
        <v>174</v>
      </c>
    </row>
    <row r="89" spans="2:19" x14ac:dyDescent="0.25">
      <c r="B89" t="s">
        <v>201</v>
      </c>
      <c r="C89" t="s">
        <v>202</v>
      </c>
      <c r="D89" t="s">
        <v>203</v>
      </c>
      <c r="E89" t="s">
        <v>204</v>
      </c>
      <c r="F89" t="s">
        <v>205</v>
      </c>
      <c r="H89" t="str">
        <f t="shared" si="5"/>
        <v>studies which report the potential nitrogen fixation rate per plant dry matter tissue and day as kg N per kg DM per day  (kg N/kg DM/day)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9" t="str">
        <f t="shared" si="6"/>
        <v>nitrogen</v>
      </c>
      <c r="J89" t="str">
        <f t="shared" si="6"/>
        <v>NFIX_RATE</v>
      </c>
      <c r="K89" t="str">
        <f t="shared" si="6"/>
        <v>potential nitrogen fixation rate per plant dry matter tissue and day</v>
      </c>
      <c r="L89" t="str">
        <f t="shared" si="6"/>
        <v>kg N per kg DM per day</v>
      </c>
      <c r="M89" t="str">
        <f t="shared" si="4"/>
        <v>kg N/kg DM/day</v>
      </c>
      <c r="N89">
        <f t="shared" si="3"/>
        <v>3</v>
      </c>
    </row>
    <row r="90" spans="2:19" x14ac:dyDescent="0.25">
      <c r="B90" t="s">
        <v>201</v>
      </c>
      <c r="C90" t="s">
        <v>202</v>
      </c>
      <c r="D90" t="s">
        <v>203</v>
      </c>
      <c r="E90" t="s">
        <v>204</v>
      </c>
      <c r="F90" t="s">
        <v>205</v>
      </c>
      <c r="H90" t="str">
        <f t="shared" si="5"/>
        <v>studies which report the Optimum nitrogen concentration of foliage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0" t="str">
        <f t="shared" ref="I90:L109" si="7">I43</f>
        <v>nitrogen</v>
      </c>
      <c r="J90" t="str">
        <f t="shared" si="7"/>
        <v>NCFOLOPT</v>
      </c>
      <c r="K90" t="str">
        <f t="shared" si="7"/>
        <v>Optimum nitrogen concentration of foliage</v>
      </c>
      <c r="L90" t="str">
        <f t="shared" si="7"/>
        <v>kg per kg</v>
      </c>
      <c r="M90" t="str">
        <f t="shared" si="4"/>
        <v>kg/kg</v>
      </c>
      <c r="N90">
        <f t="shared" si="3"/>
        <v>2</v>
      </c>
    </row>
    <row r="91" spans="2:19" x14ac:dyDescent="0.25">
      <c r="B91" t="s">
        <v>201</v>
      </c>
      <c r="C91" t="s">
        <v>202</v>
      </c>
      <c r="D91" t="s">
        <v>203</v>
      </c>
      <c r="E91" t="s">
        <v>204</v>
      </c>
      <c r="F91" t="s">
        <v>205</v>
      </c>
      <c r="H91" t="str">
        <f t="shared" si="5"/>
        <v>studies which report the Maximum (optimum) nitrogen concentration of fine roots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1" t="str">
        <f t="shared" si="7"/>
        <v>nitrogen</v>
      </c>
      <c r="J91" t="str">
        <f t="shared" si="7"/>
        <v>NC_FINEROOTS_MAX</v>
      </c>
      <c r="K91" t="str">
        <f t="shared" si="7"/>
        <v>Maximum (optimum) nitrogen concentration of fine roots</v>
      </c>
      <c r="L91" t="str">
        <f t="shared" si="7"/>
        <v>kg per kg</v>
      </c>
      <c r="M91" t="str">
        <f t="shared" si="4"/>
        <v>kg/kg</v>
      </c>
      <c r="N91">
        <f t="shared" si="3"/>
        <v>2</v>
      </c>
    </row>
    <row r="92" spans="2:19" x14ac:dyDescent="0.25">
      <c r="B92" t="s">
        <v>201</v>
      </c>
      <c r="C92" t="s">
        <v>202</v>
      </c>
      <c r="D92" t="s">
        <v>203</v>
      </c>
      <c r="E92" t="s">
        <v>204</v>
      </c>
      <c r="F92" t="s">
        <v>205</v>
      </c>
      <c r="H92" t="str">
        <f t="shared" si="5"/>
        <v>studies which report the Minimum nitrogen concentration of fine roots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2" t="str">
        <f t="shared" si="7"/>
        <v>nitrogen</v>
      </c>
      <c r="J92" t="str">
        <f t="shared" si="7"/>
        <v>NC_FINEROOTS_MIN</v>
      </c>
      <c r="K92" t="str">
        <f t="shared" si="7"/>
        <v>Minimum nitrogen concentration of fine roots</v>
      </c>
      <c r="L92" t="str">
        <f t="shared" si="7"/>
        <v>kg per kg</v>
      </c>
      <c r="M92" t="str">
        <f t="shared" si="4"/>
        <v>kg/kg</v>
      </c>
      <c r="N92">
        <f t="shared" si="3"/>
        <v>2</v>
      </c>
    </row>
    <row r="93" spans="2:19" x14ac:dyDescent="0.25">
      <c r="B93" t="s">
        <v>201</v>
      </c>
      <c r="C93" t="s">
        <v>202</v>
      </c>
      <c r="D93" t="s">
        <v>203</v>
      </c>
      <c r="E93" t="s">
        <v>204</v>
      </c>
      <c r="F93" t="s">
        <v>205</v>
      </c>
      <c r="H93" t="str">
        <f t="shared" si="5"/>
        <v>studies which report the Optimum nitrogen concentration of living structural tissue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3" t="str">
        <f t="shared" si="7"/>
        <v>nitrogen</v>
      </c>
      <c r="J93" t="str">
        <f t="shared" si="7"/>
        <v>NC_STRUCTURAL_TISSUE_MAX</v>
      </c>
      <c r="K93" t="str">
        <f t="shared" si="7"/>
        <v>Optimum nitrogen concentration of living structural tissue</v>
      </c>
      <c r="L93" t="str">
        <f t="shared" si="7"/>
        <v>kg per kg</v>
      </c>
      <c r="M93" t="str">
        <f t="shared" si="4"/>
        <v>kg/kg</v>
      </c>
      <c r="N93">
        <f t="shared" si="3"/>
        <v>2</v>
      </c>
    </row>
    <row r="94" spans="2:19" x14ac:dyDescent="0.25">
      <c r="B94" t="s">
        <v>201</v>
      </c>
      <c r="C94" t="s">
        <v>202</v>
      </c>
      <c r="D94" t="s">
        <v>203</v>
      </c>
      <c r="E94" t="s">
        <v>204</v>
      </c>
      <c r="F94" t="s">
        <v>205</v>
      </c>
      <c r="H94" t="str">
        <f t="shared" si="5"/>
        <v>studies which report the Minimum nitrogen concentration of living structural tissue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4" t="str">
        <f t="shared" si="7"/>
        <v>nitrogen</v>
      </c>
      <c r="J94" t="str">
        <f t="shared" si="7"/>
        <v>NC_STRUCTURAL_TISSUE_MIN</v>
      </c>
      <c r="K94" t="str">
        <f t="shared" si="7"/>
        <v>Minimum nitrogen concentration of living structural tissue</v>
      </c>
      <c r="L94" t="str">
        <f t="shared" si="7"/>
        <v>kg per kg</v>
      </c>
      <c r="M94" t="str">
        <f t="shared" si="4"/>
        <v>kg/kg</v>
      </c>
      <c r="N94">
        <f t="shared" si="3"/>
        <v>2</v>
      </c>
    </row>
    <row r="95" spans="2:19" x14ac:dyDescent="0.25">
      <c r="B95" t="s">
        <v>239</v>
      </c>
      <c r="C95" t="s">
        <v>240</v>
      </c>
      <c r="D95" t="s">
        <v>24</v>
      </c>
      <c r="E95" t="s">
        <v>241</v>
      </c>
      <c r="F95" t="s">
        <v>242</v>
      </c>
      <c r="H95" t="str">
        <f t="shared" si="5"/>
        <v>studies which report the Ratio between fine root- and foliage biomass under standard conditions. as ratio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5" t="str">
        <f t="shared" si="7"/>
        <v>biomass</v>
      </c>
      <c r="J95" t="str">
        <f t="shared" si="7"/>
        <v>QRF</v>
      </c>
      <c r="K95" t="str">
        <f t="shared" si="7"/>
        <v>Ratio between fine root- and foliage biomass under standard conditions.</v>
      </c>
      <c r="L95" t="str">
        <f t="shared" si="7"/>
        <v>ratio</v>
      </c>
      <c r="M95">
        <f t="shared" si="4"/>
        <v>0</v>
      </c>
      <c r="N95">
        <f t="shared" si="3"/>
        <v>2</v>
      </c>
    </row>
    <row r="96" spans="2:19" x14ac:dyDescent="0.25">
      <c r="B96" t="s">
        <v>239</v>
      </c>
      <c r="C96" t="s">
        <v>240</v>
      </c>
      <c r="D96" t="s">
        <v>24</v>
      </c>
      <c r="E96" t="s">
        <v>241</v>
      </c>
      <c r="F96" t="s">
        <v>242</v>
      </c>
      <c r="H96" t="str">
        <f t="shared" si="5"/>
        <v>studies which report the Michaelis Menten constant for O2 at 25 degrees C as millimols per mol per mbar  (mmol mol-1 mbar-1)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6" t="str">
        <f t="shared" si="7"/>
        <v>co2</v>
      </c>
      <c r="J96" t="str">
        <f t="shared" si="7"/>
        <v>KO25</v>
      </c>
      <c r="K96" t="str">
        <f t="shared" si="7"/>
        <v>Michaelis Menten constant for O2 at 25 degrees C</v>
      </c>
      <c r="L96" t="str">
        <f t="shared" si="7"/>
        <v>millimols per mol per mbar</v>
      </c>
      <c r="M96" t="str">
        <f t="shared" si="4"/>
        <v>mmol mol-1 mbar-1</v>
      </c>
      <c r="N96">
        <f t="shared" si="3"/>
        <v>2</v>
      </c>
      <c r="O96">
        <v>625</v>
      </c>
      <c r="P96">
        <v>787</v>
      </c>
      <c r="Q96">
        <v>625</v>
      </c>
      <c r="R96">
        <v>706</v>
      </c>
      <c r="S96" t="s">
        <v>243</v>
      </c>
    </row>
    <row r="97" spans="2:19" x14ac:dyDescent="0.25">
      <c r="B97" t="s">
        <v>239</v>
      </c>
      <c r="C97" t="s">
        <v>240</v>
      </c>
      <c r="D97" t="s">
        <v>24</v>
      </c>
      <c r="E97" t="s">
        <v>241</v>
      </c>
      <c r="F97" t="s">
        <v>242</v>
      </c>
      <c r="H97" t="e">
        <f t="shared" si="5"/>
        <v>#NAME?</v>
      </c>
      <c r="I97" t="str">
        <f t="shared" si="7"/>
        <v>co2</v>
      </c>
      <c r="J97" t="str">
        <f t="shared" si="7"/>
        <v>KM20</v>
      </c>
      <c r="K97" t="str">
        <f t="shared" si="7"/>
        <v>Maintenance coefficient at reference temperature</v>
      </c>
      <c r="L97" t="str">
        <f t="shared" si="7"/>
        <v>fraction</v>
      </c>
      <c r="M97" t="e">
        <f t="shared" si="4"/>
        <v>#NAME?</v>
      </c>
      <c r="N97">
        <f t="shared" si="3"/>
        <v>2</v>
      </c>
      <c r="O97">
        <v>1.4999999999999999E-2</v>
      </c>
      <c r="P97">
        <v>2.5000000000000001E-2</v>
      </c>
      <c r="Q97">
        <v>0.02</v>
      </c>
      <c r="R97">
        <v>0.02</v>
      </c>
      <c r="S97" t="s">
        <v>244</v>
      </c>
    </row>
    <row r="98" spans="2:19" x14ac:dyDescent="0.25">
      <c r="B98" t="s">
        <v>239</v>
      </c>
      <c r="C98" t="s">
        <v>240</v>
      </c>
      <c r="D98" t="s">
        <v>24</v>
      </c>
      <c r="E98" t="s">
        <v>241</v>
      </c>
      <c r="F98" t="s">
        <v>242</v>
      </c>
      <c r="H98" t="str">
        <f t="shared" si="5"/>
        <v>studies which report the Maximum RubP saturated rate of carboxylation at 25oC for sun leaves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8" t="str">
        <f t="shared" si="7"/>
        <v>co2</v>
      </c>
      <c r="J98" t="str">
        <f t="shared" si="7"/>
        <v>VCMAX25</v>
      </c>
      <c r="K98" t="str">
        <f t="shared" si="7"/>
        <v>Maximum RubP saturated rate of carboxylation at 25oC for sun leaves</v>
      </c>
      <c r="L98" t="str">
        <f t="shared" si="7"/>
        <v>micromols per square meter per second</v>
      </c>
      <c r="M98" t="str">
        <f t="shared" si="4"/>
        <v>umol m^-2 s^-1</v>
      </c>
      <c r="N98">
        <f t="shared" si="3"/>
        <v>2</v>
      </c>
      <c r="O98">
        <v>60</v>
      </c>
      <c r="P98">
        <v>100</v>
      </c>
      <c r="Q98">
        <v>80</v>
      </c>
      <c r="R98">
        <v>80</v>
      </c>
      <c r="S98" t="s">
        <v>245</v>
      </c>
    </row>
    <row r="99" spans="2:19" x14ac:dyDescent="0.25">
      <c r="B99" t="s">
        <v>239</v>
      </c>
      <c r="C99" t="s">
        <v>240</v>
      </c>
      <c r="D99" t="s">
        <v>24</v>
      </c>
      <c r="E99" t="s">
        <v>241</v>
      </c>
      <c r="F99" t="s">
        <v>242</v>
      </c>
      <c r="H99" t="str">
        <f t="shared" si="5"/>
        <v>studies which report the Activation energy for electron transport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9" t="str">
        <f t="shared" si="7"/>
        <v>co2</v>
      </c>
      <c r="J99" t="str">
        <f t="shared" si="7"/>
        <v>AEJM</v>
      </c>
      <c r="K99" t="str">
        <f t="shared" si="7"/>
        <v>Activation energy for electron transport</v>
      </c>
      <c r="L99" t="str">
        <f t="shared" si="7"/>
        <v>Joules per mol</v>
      </c>
      <c r="M99" t="str">
        <f t="shared" si="4"/>
        <v>J mol^-1</v>
      </c>
      <c r="N99">
        <f t="shared" si="3"/>
        <v>0</v>
      </c>
      <c r="O99">
        <v>77900</v>
      </c>
      <c r="P99">
        <v>79500</v>
      </c>
      <c r="Q99">
        <v>79500</v>
      </c>
      <c r="R99">
        <v>78700</v>
      </c>
      <c r="S99" t="s">
        <v>96</v>
      </c>
    </row>
    <row r="100" spans="2:19" x14ac:dyDescent="0.25">
      <c r="B100" t="s">
        <v>239</v>
      </c>
      <c r="C100" t="s">
        <v>240</v>
      </c>
      <c r="D100" t="s">
        <v>24</v>
      </c>
      <c r="E100" t="s">
        <v>241</v>
      </c>
      <c r="F100" t="s">
        <v>242</v>
      </c>
      <c r="H100" t="str">
        <f t="shared" si="5"/>
        <v>studies which report the Activation energy for Michaelis-Menten constant for CO2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0" t="str">
        <f t="shared" si="7"/>
        <v>co2</v>
      </c>
      <c r="J100" t="str">
        <f t="shared" si="7"/>
        <v>AEKC</v>
      </c>
      <c r="K100" t="str">
        <f t="shared" si="7"/>
        <v>Activation energy for Michaelis-Menten constant for CO2</v>
      </c>
      <c r="L100" t="str">
        <f t="shared" si="7"/>
        <v>Joules per mol</v>
      </c>
      <c r="M100" t="str">
        <f t="shared" si="4"/>
        <v>J mol^-1</v>
      </c>
      <c r="N100">
        <f t="shared" si="3"/>
        <v>0</v>
      </c>
      <c r="O100">
        <v>54900</v>
      </c>
      <c r="P100">
        <v>64200</v>
      </c>
      <c r="Q100">
        <v>54900</v>
      </c>
      <c r="R100">
        <v>59550</v>
      </c>
      <c r="S100" t="s">
        <v>246</v>
      </c>
    </row>
    <row r="101" spans="2:19" x14ac:dyDescent="0.25">
      <c r="B101" t="s">
        <v>239</v>
      </c>
      <c r="C101" t="s">
        <v>240</v>
      </c>
      <c r="D101" t="s">
        <v>24</v>
      </c>
      <c r="E101" t="s">
        <v>241</v>
      </c>
      <c r="F101" t="s">
        <v>242</v>
      </c>
      <c r="H101" t="str">
        <f t="shared" si="5"/>
        <v>studies which report the Activation energy for Michaelis-Menten constant for O2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1" t="str">
        <f t="shared" si="7"/>
        <v>co2</v>
      </c>
      <c r="J101" t="str">
        <f t="shared" si="7"/>
        <v>AEKO</v>
      </c>
      <c r="K101" t="str">
        <f t="shared" si="7"/>
        <v>Activation energy for Michaelis-Menten constant for O2</v>
      </c>
      <c r="L101" t="str">
        <f t="shared" si="7"/>
        <v>Joules per mol</v>
      </c>
      <c r="M101" t="str">
        <f t="shared" si="4"/>
        <v>J mol^-1</v>
      </c>
      <c r="N101">
        <f t="shared" si="3"/>
        <v>0</v>
      </c>
      <c r="O101">
        <v>10500</v>
      </c>
      <c r="P101">
        <v>36000</v>
      </c>
      <c r="Q101">
        <v>10500</v>
      </c>
      <c r="R101">
        <v>23250</v>
      </c>
      <c r="S101" t="s">
        <v>247</v>
      </c>
    </row>
    <row r="102" spans="2:19" x14ac:dyDescent="0.25">
      <c r="B102" t="s">
        <v>239</v>
      </c>
      <c r="C102" t="s">
        <v>240</v>
      </c>
      <c r="D102" t="s">
        <v>24</v>
      </c>
      <c r="E102" t="s">
        <v>241</v>
      </c>
      <c r="F102" t="s">
        <v>242</v>
      </c>
      <c r="H102" t="str">
        <f t="shared" si="5"/>
        <v>studies which report the Activation energy for dark respiration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2" t="str">
        <f t="shared" si="7"/>
        <v>co2</v>
      </c>
      <c r="J102" t="str">
        <f t="shared" si="7"/>
        <v>AERD</v>
      </c>
      <c r="K102" t="str">
        <f t="shared" si="7"/>
        <v>Activation energy for dark respiration</v>
      </c>
      <c r="L102" t="str">
        <f t="shared" si="7"/>
        <v>Joules per mol</v>
      </c>
      <c r="M102" t="str">
        <f t="shared" si="4"/>
        <v>J mol^-1</v>
      </c>
      <c r="N102">
        <f t="shared" si="3"/>
        <v>0</v>
      </c>
      <c r="O102">
        <v>46390</v>
      </c>
      <c r="P102">
        <v>53000</v>
      </c>
      <c r="Q102">
        <v>50967</v>
      </c>
      <c r="R102">
        <v>49695</v>
      </c>
      <c r="S102" t="s">
        <v>248</v>
      </c>
    </row>
    <row r="103" spans="2:19" x14ac:dyDescent="0.25">
      <c r="B103" t="s">
        <v>239</v>
      </c>
      <c r="C103" t="s">
        <v>240</v>
      </c>
      <c r="D103" t="s">
        <v>24</v>
      </c>
      <c r="E103" t="s">
        <v>241</v>
      </c>
      <c r="F103" t="s">
        <v>242</v>
      </c>
      <c r="H103" t="str">
        <f t="shared" si="5"/>
        <v>studies which report the Activation energy for photosynthesis as Joules per mol  (J mol^-2)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3" t="str">
        <f t="shared" si="7"/>
        <v>co2</v>
      </c>
      <c r="J103" t="str">
        <f t="shared" si="7"/>
        <v>AEVC</v>
      </c>
      <c r="K103" t="str">
        <f t="shared" si="7"/>
        <v>Activation energy for photosynthesis</v>
      </c>
      <c r="L103" t="str">
        <f t="shared" si="7"/>
        <v>Joules per mol</v>
      </c>
      <c r="M103" t="str">
        <f t="shared" si="4"/>
        <v>J mol^-2</v>
      </c>
      <c r="N103">
        <f t="shared" si="3"/>
        <v>0</v>
      </c>
      <c r="O103">
        <v>58520</v>
      </c>
      <c r="P103">
        <v>69900</v>
      </c>
      <c r="Q103">
        <v>69900</v>
      </c>
      <c r="R103">
        <v>64210</v>
      </c>
      <c r="S103" t="s">
        <v>246</v>
      </c>
    </row>
    <row r="104" spans="2:19" x14ac:dyDescent="0.25">
      <c r="B104" t="s">
        <v>239</v>
      </c>
      <c r="C104" t="s">
        <v>240</v>
      </c>
      <c r="D104" t="s">
        <v>24</v>
      </c>
      <c r="E104" t="s">
        <v>241</v>
      </c>
      <c r="F104" t="s">
        <v>242</v>
      </c>
      <c r="H104" t="str">
        <f t="shared" si="5"/>
        <v>studies which report the Activation energy for RubP oxygenation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4" t="str">
        <f t="shared" si="7"/>
        <v>co2</v>
      </c>
      <c r="J104" t="str">
        <f t="shared" si="7"/>
        <v>AEVO</v>
      </c>
      <c r="K104" t="str">
        <f t="shared" si="7"/>
        <v>Activation energy for RubP oxygenation</v>
      </c>
      <c r="L104" t="str">
        <f t="shared" si="7"/>
        <v>Joules per mol</v>
      </c>
      <c r="M104" t="str">
        <f t="shared" si="4"/>
        <v>J mol-1</v>
      </c>
      <c r="N104">
        <f t="shared" si="3"/>
        <v>0</v>
      </c>
      <c r="O104">
        <v>28500</v>
      </c>
      <c r="P104">
        <v>48390</v>
      </c>
      <c r="Q104">
        <v>37530</v>
      </c>
      <c r="R104">
        <v>38445</v>
      </c>
      <c r="S104" t="s">
        <v>63</v>
      </c>
    </row>
    <row r="105" spans="2:19" x14ac:dyDescent="0.25">
      <c r="B105" t="s">
        <v>239</v>
      </c>
      <c r="C105" t="s">
        <v>240</v>
      </c>
      <c r="D105" t="s">
        <v>24</v>
      </c>
      <c r="E105" t="s">
        <v>241</v>
      </c>
      <c r="F105" t="s">
        <v>242</v>
      </c>
      <c r="H105" t="str">
        <f t="shared" si="5"/>
        <v>studies which report the Relation between maximum electron transport rate and RubP saturated rate of carboxylation as micromols per mol per mbar  (umol mol-1 ubar-1))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5" t="str">
        <f t="shared" si="7"/>
        <v>co2</v>
      </c>
      <c r="J105" t="str">
        <f t="shared" si="7"/>
        <v>KC25</v>
      </c>
      <c r="K105" t="str">
        <f t="shared" si="7"/>
        <v>Relation between maximum electron transport rate and RubP saturated rate of carboxylation</v>
      </c>
      <c r="L105" t="str">
        <f t="shared" si="7"/>
        <v>micromols per mol per mbar</v>
      </c>
      <c r="M105" t="str">
        <f t="shared" si="4"/>
        <v>umol mol-1 ubar-1)</v>
      </c>
      <c r="N105">
        <f t="shared" si="3"/>
        <v>2</v>
      </c>
      <c r="O105">
        <v>626</v>
      </c>
      <c r="P105">
        <v>1210</v>
      </c>
      <c r="Q105">
        <v>650</v>
      </c>
      <c r="R105">
        <v>918</v>
      </c>
      <c r="S105" t="s">
        <v>249</v>
      </c>
    </row>
    <row r="106" spans="2:19" x14ac:dyDescent="0.25">
      <c r="B106" t="s">
        <v>239</v>
      </c>
      <c r="C106" t="s">
        <v>240</v>
      </c>
      <c r="D106" t="s">
        <v>24</v>
      </c>
      <c r="E106" t="s">
        <v>241</v>
      </c>
      <c r="F106" t="s">
        <v>242</v>
      </c>
      <c r="H106" t="str">
        <f t="shared" si="5"/>
        <v>studies which report the Curvature parameter for the light response curve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6" t="str">
        <f t="shared" si="7"/>
        <v>co2</v>
      </c>
      <c r="J106" t="str">
        <f t="shared" si="7"/>
        <v>THETA</v>
      </c>
      <c r="K106" t="str">
        <f t="shared" si="7"/>
        <v>Curvature parameter for the light response curve</v>
      </c>
      <c r="L106">
        <f t="shared" si="7"/>
        <v>0</v>
      </c>
      <c r="M106">
        <f t="shared" si="4"/>
        <v>0</v>
      </c>
      <c r="N106">
        <f t="shared" si="3"/>
        <v>2</v>
      </c>
      <c r="O106">
        <v>0.65</v>
      </c>
      <c r="P106">
        <v>0.85</v>
      </c>
      <c r="Q106">
        <v>0.7</v>
      </c>
      <c r="R106">
        <v>0.75</v>
      </c>
      <c r="S106" t="s">
        <v>250</v>
      </c>
    </row>
    <row r="107" spans="2:19" x14ac:dyDescent="0.25">
      <c r="B107" t="s">
        <v>239</v>
      </c>
      <c r="C107" t="s">
        <v>240</v>
      </c>
      <c r="D107" t="s">
        <v>24</v>
      </c>
      <c r="E107" t="s">
        <v>241</v>
      </c>
      <c r="F107" t="s">
        <v>242</v>
      </c>
      <c r="H107" t="str">
        <f t="shared" si="5"/>
        <v>studies which report the Relation between maximum electron transport rate and RubP saturated rate of carboxylation (ï¿½).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7" t="str">
        <f t="shared" si="7"/>
        <v>co2</v>
      </c>
      <c r="J107" t="str">
        <f t="shared" si="7"/>
        <v>QJVC</v>
      </c>
      <c r="K107" t="str">
        <f t="shared" si="7"/>
        <v>Relation between maximum electron transport rate and RubP saturated rate of carboxylation (ï¿½).</v>
      </c>
      <c r="L107" t="str">
        <f t="shared" si="7"/>
        <v>micromols per square meter per second</v>
      </c>
      <c r="M107" t="str">
        <f t="shared" si="4"/>
        <v>umol m^-2 s^-1</v>
      </c>
      <c r="N107">
        <f t="shared" si="3"/>
        <v>2</v>
      </c>
      <c r="O107">
        <v>1.6</v>
      </c>
      <c r="P107">
        <v>4.5</v>
      </c>
      <c r="Q107">
        <v>2.8</v>
      </c>
      <c r="R107">
        <v>3.05</v>
      </c>
      <c r="S107" t="s">
        <v>251</v>
      </c>
    </row>
    <row r="108" spans="2:19" x14ac:dyDescent="0.25">
      <c r="B108" t="s">
        <v>239</v>
      </c>
      <c r="C108" t="s">
        <v>240</v>
      </c>
      <c r="D108" t="s">
        <v>24</v>
      </c>
      <c r="E108" t="s">
        <v>241</v>
      </c>
      <c r="F108" t="s">
        <v>242</v>
      </c>
      <c r="H108" t="str">
        <f t="shared" si="5"/>
        <v>studies which report the Relation between dark respiration rate and RubP saturated rate of carboxyla tion at 25 oC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8" t="str">
        <f t="shared" si="7"/>
        <v>co2</v>
      </c>
      <c r="J108" t="str">
        <f t="shared" si="7"/>
        <v>QRD25</v>
      </c>
      <c r="K108" t="str">
        <f t="shared" si="7"/>
        <v>Relation between dark respiration rate and RubP saturated rate of carboxyla tion at 25 oC</v>
      </c>
      <c r="L108" t="str">
        <f t="shared" si="7"/>
        <v>micromols per square meter per second</v>
      </c>
      <c r="M108" t="str">
        <f t="shared" si="4"/>
        <v>umol m^-2 s^-1</v>
      </c>
      <c r="N108">
        <f t="shared" si="3"/>
        <v>2</v>
      </c>
      <c r="O108">
        <v>0.01</v>
      </c>
      <c r="P108">
        <v>0.04</v>
      </c>
      <c r="Q108">
        <v>0.02</v>
      </c>
      <c r="R108">
        <v>2.5000000000000001E-2</v>
      </c>
      <c r="S108" t="s">
        <v>252</v>
      </c>
    </row>
    <row r="109" spans="2:19" x14ac:dyDescent="0.25">
      <c r="B109" t="s">
        <v>239</v>
      </c>
      <c r="C109" t="s">
        <v>240</v>
      </c>
      <c r="D109" t="s">
        <v>24</v>
      </c>
      <c r="E109" t="s">
        <v>241</v>
      </c>
      <c r="F109" t="s">
        <v>242</v>
      </c>
      <c r="H109" t="str">
        <f t="shared" si="5"/>
        <v>studies which report the Maximum instantaneous water use efficiency as milligrams of carbon dioxide per gram of water  (mg CO2 g^-1 H2O)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9" t="str">
        <f t="shared" si="7"/>
        <v>water</v>
      </c>
      <c r="J109" t="str">
        <f t="shared" si="7"/>
        <v>WUECMAX</v>
      </c>
      <c r="K109" t="str">
        <f t="shared" si="7"/>
        <v>Maximum instantaneous water use efficiency</v>
      </c>
      <c r="L109" t="str">
        <f t="shared" si="7"/>
        <v>milligrams of carbon dioxide per gram of water</v>
      </c>
      <c r="M109" t="str">
        <f t="shared" si="4"/>
        <v>mg CO2 g^-1 H2O</v>
      </c>
      <c r="N109">
        <f t="shared" si="3"/>
        <v>1</v>
      </c>
      <c r="O109">
        <v>5.3</v>
      </c>
      <c r="P109">
        <v>14</v>
      </c>
      <c r="Q109">
        <v>10.9</v>
      </c>
      <c r="R109">
        <v>9.65</v>
      </c>
      <c r="S109" t="s">
        <v>253</v>
      </c>
    </row>
    <row r="110" spans="2:19" x14ac:dyDescent="0.25">
      <c r="B110" t="s">
        <v>239</v>
      </c>
      <c r="C110" t="s">
        <v>240</v>
      </c>
      <c r="D110" t="s">
        <v>24</v>
      </c>
      <c r="E110" t="s">
        <v>241</v>
      </c>
      <c r="F110" t="s">
        <v>242</v>
      </c>
      <c r="H110" t="str">
        <f t="shared" si="5"/>
        <v>studies which report the minimum instantaneous water use efficiency as milligrams of carbon dioxide per gram of water  (mg CO2 g^-1 H2O)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0" t="str">
        <f t="shared" ref="I110:L129" si="8">I63</f>
        <v>water</v>
      </c>
      <c r="J110" t="str">
        <f t="shared" si="8"/>
        <v>WUECMIN</v>
      </c>
      <c r="K110" t="str">
        <f t="shared" si="8"/>
        <v>minimum instantaneous water use efficiency</v>
      </c>
      <c r="L110" t="str">
        <f t="shared" si="8"/>
        <v>milligrams of carbon dioxide per gram of water</v>
      </c>
      <c r="M110" t="str">
        <f t="shared" si="4"/>
        <v>mg CO2 g^-1 H2O</v>
      </c>
      <c r="N110">
        <f t="shared" si="3"/>
        <v>1</v>
      </c>
      <c r="O110">
        <v>2</v>
      </c>
      <c r="P110">
        <v>5.3</v>
      </c>
      <c r="Q110">
        <v>5.3</v>
      </c>
      <c r="R110">
        <v>3.65</v>
      </c>
      <c r="S110" t="s">
        <v>253</v>
      </c>
    </row>
    <row r="111" spans="2:19" x14ac:dyDescent="0.25">
      <c r="B111" t="s">
        <v>239</v>
      </c>
      <c r="C111" t="s">
        <v>240</v>
      </c>
      <c r="D111" t="s">
        <v>24</v>
      </c>
      <c r="E111" t="s">
        <v>241</v>
      </c>
      <c r="F111" t="s">
        <v>242</v>
      </c>
      <c r="H111" t="str">
        <f t="shared" si="5"/>
        <v>studies which report the relative available soil water content at which drought affects photosynthesis activity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1" t="str">
        <f t="shared" si="8"/>
        <v>water</v>
      </c>
      <c r="J111" t="str">
        <f t="shared" si="8"/>
        <v>H2OREF_A</v>
      </c>
      <c r="K111" t="str">
        <f t="shared" si="8"/>
        <v>relative available soil water content at which drought affects photosynthesis activity</v>
      </c>
      <c r="L111" t="str">
        <f t="shared" si="8"/>
        <v xml:space="preserve">a fraction </v>
      </c>
      <c r="M111">
        <f t="shared" si="4"/>
        <v>0</v>
      </c>
      <c r="N111">
        <f t="shared" si="3"/>
        <v>2</v>
      </c>
      <c r="O111">
        <v>0.2</v>
      </c>
      <c r="P111">
        <v>0.4</v>
      </c>
      <c r="Q111">
        <v>0.3</v>
      </c>
      <c r="R111">
        <v>0.35</v>
      </c>
      <c r="S111" t="s">
        <v>254</v>
      </c>
    </row>
    <row r="112" spans="2:19" x14ac:dyDescent="0.25">
      <c r="B112" t="s">
        <v>239</v>
      </c>
      <c r="C112" t="s">
        <v>240</v>
      </c>
      <c r="D112" t="s">
        <v>24</v>
      </c>
      <c r="E112" t="s">
        <v>241</v>
      </c>
      <c r="F112" t="s">
        <v>242</v>
      </c>
      <c r="H112" t="str">
        <f t="shared" si="5"/>
        <v>studies which report the relative available soil water content below which restricted water availability triggers plant senescence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2" t="str">
        <f t="shared" si="8"/>
        <v>water</v>
      </c>
      <c r="J112" t="str">
        <f t="shared" si="8"/>
        <v>H2OREF_SENESCENCE</v>
      </c>
      <c r="K112" t="str">
        <f t="shared" si="8"/>
        <v>relative available soil water content below which restricted water availability triggers plant senescence</v>
      </c>
      <c r="L112" t="str">
        <f t="shared" si="8"/>
        <v xml:space="preserve">a fraction </v>
      </c>
      <c r="M112">
        <f t="shared" si="4"/>
        <v>0</v>
      </c>
      <c r="N112">
        <f t="shared" si="3"/>
        <v>2</v>
      </c>
      <c r="O112">
        <v>0.1</v>
      </c>
      <c r="P112">
        <v>0.25</v>
      </c>
      <c r="Q112">
        <v>0.2</v>
      </c>
      <c r="R112">
        <v>0.17499999999999999</v>
      </c>
      <c r="S112" t="s">
        <v>254</v>
      </c>
    </row>
    <row r="113" spans="2:19" ht="21" customHeight="1" x14ac:dyDescent="0.25">
      <c r="B113" t="s">
        <v>239</v>
      </c>
      <c r="C113" t="s">
        <v>240</v>
      </c>
      <c r="D113" t="s">
        <v>24</v>
      </c>
      <c r="E113" t="s">
        <v>241</v>
      </c>
      <c r="F113" t="s">
        <v>242</v>
      </c>
      <c r="G113" t="s">
        <v>27</v>
      </c>
      <c r="H113" t="str">
        <f t="shared" si="5"/>
        <v>studies which report the relative available soil water content at which stomata are fully closed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3" t="str">
        <f t="shared" si="8"/>
        <v>water</v>
      </c>
      <c r="J113" t="str">
        <f t="shared" si="8"/>
        <v>H2OREF_GS</v>
      </c>
      <c r="K113" t="str">
        <f t="shared" si="8"/>
        <v>relative available soil water content at which stomata are fully closed</v>
      </c>
      <c r="L113" t="str">
        <f t="shared" si="8"/>
        <v xml:space="preserve">a fraction </v>
      </c>
      <c r="M113">
        <f t="shared" si="4"/>
        <v>0</v>
      </c>
      <c r="N113">
        <f t="shared" si="3"/>
        <v>2</v>
      </c>
      <c r="O113">
        <v>0.2</v>
      </c>
      <c r="P113">
        <v>0.5</v>
      </c>
      <c r="Q113">
        <v>0.3</v>
      </c>
      <c r="R113">
        <v>0.35</v>
      </c>
      <c r="S113" t="s">
        <v>254</v>
      </c>
    </row>
    <row r="114" spans="2:19" x14ac:dyDescent="0.25">
      <c r="B114" t="s">
        <v>239</v>
      </c>
      <c r="C114" t="s">
        <v>240</v>
      </c>
      <c r="D114" t="s">
        <v>24</v>
      </c>
      <c r="E114" t="s">
        <v>241</v>
      </c>
      <c r="F114" t="s">
        <v>242</v>
      </c>
      <c r="G114" t="s">
        <v>27</v>
      </c>
      <c r="H114" t="str">
        <f t="shared" si="5"/>
        <v>studies which report the relative available soil water content below which flushing is affected by water
availability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4" t="str">
        <f t="shared" si="8"/>
        <v>water</v>
      </c>
      <c r="J114" t="str">
        <f t="shared" si="8"/>
        <v>H2OREF_FLUSHING</v>
      </c>
      <c r="K114" t="str">
        <f t="shared" si="8"/>
        <v>relative available soil water content below which flushing is affected by water
availability</v>
      </c>
      <c r="L114">
        <f t="shared" si="8"/>
        <v>0</v>
      </c>
      <c r="M114">
        <f t="shared" si="4"/>
        <v>0</v>
      </c>
      <c r="N114">
        <f t="shared" ref="N114:N177" si="9">N67</f>
        <v>2</v>
      </c>
      <c r="O114">
        <v>0.1</v>
      </c>
      <c r="P114">
        <v>0.3</v>
      </c>
      <c r="Q114">
        <v>0.15</v>
      </c>
      <c r="R114">
        <v>0.2</v>
      </c>
      <c r="S114" t="s">
        <v>222</v>
      </c>
    </row>
    <row r="115" spans="2:19" x14ac:dyDescent="0.25">
      <c r="B115" t="s">
        <v>239</v>
      </c>
      <c r="C115" t="s">
        <v>240</v>
      </c>
      <c r="D115" t="s">
        <v>24</v>
      </c>
      <c r="E115" t="s">
        <v>241</v>
      </c>
      <c r="F115" t="s">
        <v>242</v>
      </c>
      <c r="H115" t="str">
        <f t="shared" si="5"/>
        <v>studies which report the relative available soil water content below which leaf growth is affected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5" t="str">
        <f t="shared" si="8"/>
        <v>water</v>
      </c>
      <c r="J115" t="str">
        <f t="shared" si="8"/>
        <v>H2OREF_LEAF_GROWTH</v>
      </c>
      <c r="K115" t="str">
        <f t="shared" si="8"/>
        <v>relative available soil water content below which leaf growth is affected</v>
      </c>
      <c r="L115">
        <f t="shared" si="8"/>
        <v>0</v>
      </c>
      <c r="M115">
        <f t="shared" ref="M115:M178" si="10">M68</f>
        <v>0</v>
      </c>
      <c r="N115">
        <f t="shared" si="9"/>
        <v>2</v>
      </c>
      <c r="O115">
        <v>0.35</v>
      </c>
      <c r="P115">
        <v>0.55000000000000004</v>
      </c>
      <c r="Q115">
        <v>0.45</v>
      </c>
      <c r="R115">
        <v>0.45</v>
      </c>
      <c r="S115" t="s">
        <v>222</v>
      </c>
    </row>
    <row r="116" spans="2:19" x14ac:dyDescent="0.25">
      <c r="B116" t="s">
        <v>239</v>
      </c>
      <c r="C116" t="s">
        <v>240</v>
      </c>
      <c r="D116" t="s">
        <v>24</v>
      </c>
      <c r="E116" t="s">
        <v>241</v>
      </c>
      <c r="F116" t="s">
        <v>242</v>
      </c>
      <c r="H116" t="str">
        <f t="shared" si="5"/>
        <v>studies which report the maximum stomatal conductivity  as millimols of h2o per square meter per second  (mmol H2O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6" t="str">
        <f t="shared" si="8"/>
        <v>water</v>
      </c>
      <c r="J116" t="str">
        <f t="shared" si="8"/>
        <v>GSMAX</v>
      </c>
      <c r="K116" t="str">
        <f t="shared" si="8"/>
        <v xml:space="preserve">maximum stomatal conductivity </v>
      </c>
      <c r="L116" t="str">
        <f t="shared" si="8"/>
        <v>millimols of h2o per square meter per second</v>
      </c>
      <c r="M116" t="str">
        <f t="shared" si="10"/>
        <v>mmol H2O m^(-2) s^(-1)</v>
      </c>
      <c r="N116">
        <f t="shared" si="9"/>
        <v>1</v>
      </c>
      <c r="O116">
        <v>250</v>
      </c>
      <c r="P116">
        <v>800</v>
      </c>
      <c r="Q116">
        <v>750</v>
      </c>
      <c r="R116">
        <v>525</v>
      </c>
      <c r="S116" t="s">
        <v>255</v>
      </c>
    </row>
    <row r="117" spans="2:19" x14ac:dyDescent="0.25">
      <c r="B117" t="s">
        <v>239</v>
      </c>
      <c r="C117" t="s">
        <v>240</v>
      </c>
      <c r="D117" t="s">
        <v>24</v>
      </c>
      <c r="E117" t="s">
        <v>241</v>
      </c>
      <c r="F117" t="s">
        <v>242</v>
      </c>
      <c r="H117" t="str">
        <f t="shared" si="5"/>
        <v>studies which report the minimum stomatal conductivity  as millimols of h2o per square meter per second  (mmol H2O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7" t="str">
        <f t="shared" si="8"/>
        <v>water</v>
      </c>
      <c r="J117" t="str">
        <f t="shared" si="8"/>
        <v>GSMIN</v>
      </c>
      <c r="K117" t="str">
        <f t="shared" si="8"/>
        <v xml:space="preserve">minimum stomatal conductivity </v>
      </c>
      <c r="L117" t="str">
        <f t="shared" si="8"/>
        <v>millimols of h2o per square meter per second</v>
      </c>
      <c r="M117" t="str">
        <f t="shared" si="10"/>
        <v>mmol H2O m^(-2) s^(-1)</v>
      </c>
      <c r="N117">
        <f t="shared" si="9"/>
        <v>1</v>
      </c>
      <c r="O117">
        <v>5</v>
      </c>
      <c r="P117">
        <v>25</v>
      </c>
      <c r="Q117">
        <v>15</v>
      </c>
      <c r="R117">
        <v>15</v>
      </c>
      <c r="S117" t="s">
        <v>256</v>
      </c>
    </row>
    <row r="118" spans="2:19" x14ac:dyDescent="0.25">
      <c r="B118" t="s">
        <v>239</v>
      </c>
      <c r="C118" t="s">
        <v>240</v>
      </c>
      <c r="D118" t="s">
        <v>24</v>
      </c>
      <c r="E118" t="s">
        <v>241</v>
      </c>
      <c r="F118" t="s">
        <v>242</v>
      </c>
      <c r="H118" t="str">
        <f t="shared" si="5"/>
        <v>studies which report the Biomass fraction of foliage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8" t="str">
        <f t="shared" si="8"/>
        <v>biomass</v>
      </c>
      <c r="J118" t="str">
        <f t="shared" si="8"/>
        <v>FRACTION_FOLIAGE</v>
      </c>
      <c r="K118" t="str">
        <f t="shared" si="8"/>
        <v>Biomass fraction of foliage at maturity.</v>
      </c>
      <c r="L118" t="str">
        <f t="shared" si="8"/>
        <v>fraction</v>
      </c>
      <c r="M118">
        <f t="shared" si="10"/>
        <v>0</v>
      </c>
      <c r="N118">
        <f t="shared" si="9"/>
        <v>2</v>
      </c>
      <c r="O118">
        <v>0.1</v>
      </c>
      <c r="P118">
        <v>0.5</v>
      </c>
      <c r="Q118">
        <v>0.25</v>
      </c>
      <c r="R118">
        <v>0.3</v>
      </c>
      <c r="S118" t="s">
        <v>257</v>
      </c>
    </row>
    <row r="119" spans="2:19" x14ac:dyDescent="0.25">
      <c r="B119" t="s">
        <v>239</v>
      </c>
      <c r="C119" t="s">
        <v>240</v>
      </c>
      <c r="D119" t="s">
        <v>24</v>
      </c>
      <c r="E119" t="s">
        <v>241</v>
      </c>
      <c r="F119" t="s">
        <v>242</v>
      </c>
      <c r="H119" t="str">
        <f t="shared" si="5"/>
        <v>studies which report the Biomass fraction of roots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9" t="str">
        <f t="shared" si="8"/>
        <v>biomass</v>
      </c>
      <c r="J119" t="str">
        <f t="shared" si="8"/>
        <v>FRACTION_ROOT</v>
      </c>
      <c r="K119" t="str">
        <f t="shared" si="8"/>
        <v>Biomass fraction of roots at maturity</v>
      </c>
      <c r="L119" t="str">
        <f t="shared" si="8"/>
        <v>fraction</v>
      </c>
      <c r="M119">
        <f t="shared" si="10"/>
        <v>0</v>
      </c>
      <c r="N119">
        <f t="shared" si="9"/>
        <v>2</v>
      </c>
      <c r="O119">
        <v>0.4</v>
      </c>
      <c r="P119">
        <v>0.85</v>
      </c>
      <c r="Q119">
        <v>0.75</v>
      </c>
      <c r="R119">
        <v>0.67500000000000004</v>
      </c>
      <c r="S119" t="s">
        <v>257</v>
      </c>
    </row>
    <row r="120" spans="2:19" x14ac:dyDescent="0.25">
      <c r="B120" t="s">
        <v>239</v>
      </c>
      <c r="C120" t="s">
        <v>240</v>
      </c>
      <c r="D120" t="s">
        <v>24</v>
      </c>
      <c r="E120" t="s">
        <v>241</v>
      </c>
      <c r="F120" t="s">
        <v>242</v>
      </c>
      <c r="H120" t="str">
        <f t="shared" si="5"/>
        <v>studies which report the Biomass fraction of fruit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0" t="str">
        <f t="shared" si="8"/>
        <v>biomass</v>
      </c>
      <c r="J120" t="str">
        <f t="shared" si="8"/>
        <v>FRACTION_FRUIT</v>
      </c>
      <c r="K120" t="str">
        <f t="shared" si="8"/>
        <v>Biomass fraction of fruit at maturity.</v>
      </c>
      <c r="L120" t="str">
        <f t="shared" si="8"/>
        <v>fraction</v>
      </c>
      <c r="M120">
        <f t="shared" si="10"/>
        <v>0</v>
      </c>
      <c r="N120">
        <f t="shared" si="9"/>
        <v>2</v>
      </c>
      <c r="O120">
        <v>0.01</v>
      </c>
      <c r="P120">
        <v>0.05</v>
      </c>
      <c r="Q120">
        <v>1.4999999999999999E-2</v>
      </c>
      <c r="R120">
        <v>0.03</v>
      </c>
      <c r="S120" t="s">
        <v>258</v>
      </c>
    </row>
    <row r="121" spans="2:19" x14ac:dyDescent="0.25">
      <c r="B121" t="s">
        <v>239</v>
      </c>
      <c r="C121" t="s">
        <v>240</v>
      </c>
      <c r="D121" t="s">
        <v>24</v>
      </c>
      <c r="E121" t="s">
        <v>241</v>
      </c>
      <c r="F121" t="s">
        <v>242</v>
      </c>
      <c r="H121" t="str">
        <f t="shared" si="5"/>
        <v>studies which report the Maximum relative growth rate for foliage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1" t="str">
        <f t="shared" si="8"/>
        <v>biomass</v>
      </c>
      <c r="J121" t="str">
        <f t="shared" si="8"/>
        <v>FOLRELGROMAX</v>
      </c>
      <c r="K121" t="str">
        <f t="shared" si="8"/>
        <v>Maximum relative growth rate for foliage</v>
      </c>
      <c r="L121" t="str">
        <f t="shared" si="8"/>
        <v xml:space="preserve">fraction </v>
      </c>
      <c r="M121">
        <f t="shared" si="10"/>
        <v>0</v>
      </c>
      <c r="N121">
        <f t="shared" si="9"/>
        <v>2</v>
      </c>
      <c r="O121">
        <v>0.08</v>
      </c>
      <c r="P121">
        <v>0.15</v>
      </c>
      <c r="Q121">
        <v>0.1</v>
      </c>
      <c r="R121">
        <v>0.115</v>
      </c>
      <c r="S121" t="s">
        <v>123</v>
      </c>
    </row>
    <row r="122" spans="2:19" x14ac:dyDescent="0.25">
      <c r="B122" t="s">
        <v>239</v>
      </c>
      <c r="C122" t="s">
        <v>240</v>
      </c>
      <c r="D122" t="s">
        <v>24</v>
      </c>
      <c r="E122" t="s">
        <v>241</v>
      </c>
      <c r="F122" t="s">
        <v>242</v>
      </c>
      <c r="H122" t="str">
        <f t="shared" si="5"/>
        <v>studies which report the Foliage biomass under optimal, closed canopy condition (kg m-2) as kg per square meter  (kg m^-2)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2" t="str">
        <f t="shared" si="8"/>
        <v>biomass</v>
      </c>
      <c r="J122" t="str">
        <f t="shared" si="8"/>
        <v>MFOLOPT</v>
      </c>
      <c r="K122" t="str">
        <f t="shared" si="8"/>
        <v>Foliage biomass under optimal, closed canopy condition (kg m-2)</v>
      </c>
      <c r="L122" t="str">
        <f t="shared" si="8"/>
        <v>kg per square meter</v>
      </c>
      <c r="M122" t="str">
        <f t="shared" si="10"/>
        <v>kg m^-2</v>
      </c>
      <c r="N122">
        <f t="shared" si="9"/>
        <v>2</v>
      </c>
      <c r="O122">
        <v>0.14000000000000001</v>
      </c>
      <c r="P122">
        <v>0.28999999999999998</v>
      </c>
      <c r="Q122">
        <v>0.25</v>
      </c>
      <c r="R122">
        <v>0.215</v>
      </c>
      <c r="S122" t="s">
        <v>259</v>
      </c>
    </row>
    <row r="123" spans="2:19" x14ac:dyDescent="0.25">
      <c r="B123" t="s">
        <v>239</v>
      </c>
      <c r="C123" t="s">
        <v>240</v>
      </c>
      <c r="D123" t="s">
        <v>24</v>
      </c>
      <c r="E123" t="s">
        <v>241</v>
      </c>
      <c r="F123" t="s">
        <v>242</v>
      </c>
      <c r="H123" t="str">
        <f t="shared" si="5"/>
        <v>studies which report the Specific interception capacity of foliage  as meters per square meter of LAI  (m m^-2 LAI)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3" t="str">
        <f t="shared" si="8"/>
        <v>light &amp; photosynthesis</v>
      </c>
      <c r="J123" t="str">
        <f t="shared" si="8"/>
        <v>MWFM</v>
      </c>
      <c r="K123" t="str">
        <f t="shared" si="8"/>
        <v xml:space="preserve">Specific interception capacity of foliage </v>
      </c>
      <c r="L123" t="str">
        <f t="shared" si="8"/>
        <v>meters per square meter of LAI</v>
      </c>
      <c r="M123" t="str">
        <f t="shared" si="10"/>
        <v>m m^-2 LAI</v>
      </c>
      <c r="N123">
        <f t="shared" si="9"/>
        <v>5</v>
      </c>
      <c r="O123">
        <v>1E-4</v>
      </c>
      <c r="P123">
        <v>2.9999999999999997E-4</v>
      </c>
      <c r="Q123">
        <v>1.4999999999999999E-4</v>
      </c>
      <c r="R123">
        <v>2.0000000000000001E-4</v>
      </c>
      <c r="S123" t="s">
        <v>260</v>
      </c>
    </row>
    <row r="124" spans="2:19" x14ac:dyDescent="0.25">
      <c r="B124" t="s">
        <v>239</v>
      </c>
      <c r="C124" t="s">
        <v>240</v>
      </c>
      <c r="D124" t="s">
        <v>24</v>
      </c>
      <c r="E124" t="s">
        <v>241</v>
      </c>
      <c r="F124" t="s">
        <v>242</v>
      </c>
      <c r="H124" t="str">
        <f t="shared" si="5"/>
        <v>studies which report the maximal net photosynthesis as nanomols of CO2 per gram per second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4" t="str">
        <f t="shared" si="8"/>
        <v>light &amp; photosynthesis</v>
      </c>
      <c r="J124" t="str">
        <f t="shared" si="8"/>
        <v>AMAXB</v>
      </c>
      <c r="K124" t="str">
        <f t="shared" si="8"/>
        <v>maximal net photosynthesis</v>
      </c>
      <c r="L124" t="str">
        <f t="shared" si="8"/>
        <v>nanomols of CO2 per gram per second</v>
      </c>
      <c r="M124">
        <f t="shared" si="10"/>
        <v>0</v>
      </c>
      <c r="N124">
        <f t="shared" si="9"/>
        <v>2</v>
      </c>
      <c r="O124">
        <v>34</v>
      </c>
      <c r="P124">
        <v>42.5</v>
      </c>
      <c r="Q124">
        <v>34</v>
      </c>
      <c r="R124">
        <v>38.25</v>
      </c>
      <c r="S124" t="s">
        <v>261</v>
      </c>
    </row>
    <row r="125" spans="2:19" x14ac:dyDescent="0.25">
      <c r="B125" t="s">
        <v>239</v>
      </c>
      <c r="C125" t="s">
        <v>240</v>
      </c>
      <c r="D125" t="s">
        <v>24</v>
      </c>
      <c r="E125" t="s">
        <v>241</v>
      </c>
      <c r="F125" t="s">
        <v>242</v>
      </c>
      <c r="H125" t="str">
        <f t="shared" si="5"/>
        <v>studies which report the specific leaf area in the shade as square meters per kilogram  (m^2 kg^-1)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5" t="str">
        <f t="shared" si="8"/>
        <v>light &amp; photosynthesis</v>
      </c>
      <c r="J125" t="str">
        <f t="shared" si="8"/>
        <v>SLAMAX</v>
      </c>
      <c r="K125" t="str">
        <f t="shared" si="8"/>
        <v>specific leaf area in the shade</v>
      </c>
      <c r="L125" t="str">
        <f t="shared" si="8"/>
        <v>square meters per kilogram</v>
      </c>
      <c r="M125" t="str">
        <f t="shared" si="10"/>
        <v>m^2 kg^-1</v>
      </c>
      <c r="N125">
        <f t="shared" si="9"/>
        <v>1</v>
      </c>
      <c r="O125">
        <v>26</v>
      </c>
      <c r="P125">
        <v>35</v>
      </c>
      <c r="Q125">
        <v>30</v>
      </c>
      <c r="R125">
        <v>30.5</v>
      </c>
      <c r="S125" t="s">
        <v>262</v>
      </c>
    </row>
    <row r="126" spans="2:19" x14ac:dyDescent="0.25">
      <c r="B126" t="s">
        <v>239</v>
      </c>
      <c r="C126" t="s">
        <v>240</v>
      </c>
      <c r="D126" t="s">
        <v>24</v>
      </c>
      <c r="E126" t="s">
        <v>241</v>
      </c>
      <c r="F126" t="s">
        <v>242</v>
      </c>
      <c r="H126" t="str">
        <f t="shared" si="5"/>
        <v>studies which report the specific leaf area under full sun as square meters per kilogram  (m^2 kg^-1)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6" t="str">
        <f t="shared" si="8"/>
        <v>light &amp; photosynthesis</v>
      </c>
      <c r="J126" t="str">
        <f t="shared" si="8"/>
        <v>SLAMIN</v>
      </c>
      <c r="K126" t="str">
        <f t="shared" si="8"/>
        <v>specific leaf area under full sun</v>
      </c>
      <c r="L126" t="str">
        <f t="shared" si="8"/>
        <v>square meters per kilogram</v>
      </c>
      <c r="M126" t="str">
        <f t="shared" si="10"/>
        <v>m^2 kg^-1</v>
      </c>
      <c r="N126">
        <f t="shared" si="9"/>
        <v>1</v>
      </c>
      <c r="O126">
        <v>13</v>
      </c>
      <c r="P126">
        <v>18</v>
      </c>
      <c r="Q126">
        <v>15</v>
      </c>
      <c r="R126">
        <v>15.5</v>
      </c>
      <c r="S126" t="s">
        <v>262</v>
      </c>
    </row>
    <row r="127" spans="2:19" x14ac:dyDescent="0.25">
      <c r="B127" t="s">
        <v>239</v>
      </c>
      <c r="C127" t="s">
        <v>240</v>
      </c>
      <c r="D127" t="s">
        <v>24</v>
      </c>
      <c r="E127" t="s">
        <v>241</v>
      </c>
      <c r="F127" t="s">
        <v>242</v>
      </c>
      <c r="H127" t="str">
        <f t="shared" si="5"/>
        <v>studies which report the Time interval necessary to complete growth of new foliage as days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7" t="str">
        <f t="shared" si="8"/>
        <v>phenology</v>
      </c>
      <c r="J127" t="str">
        <f t="shared" si="8"/>
        <v>NDFLUSH</v>
      </c>
      <c r="K127" t="str">
        <f t="shared" si="8"/>
        <v>Time interval necessary to complete growth of new foliage</v>
      </c>
      <c r="L127" t="str">
        <f t="shared" si="8"/>
        <v>days</v>
      </c>
      <c r="M127">
        <f t="shared" si="10"/>
        <v>0</v>
      </c>
      <c r="N127">
        <f t="shared" si="9"/>
        <v>0</v>
      </c>
      <c r="O127">
        <v>17</v>
      </c>
      <c r="P127">
        <v>56</v>
      </c>
      <c r="Q127">
        <v>42</v>
      </c>
      <c r="R127">
        <v>36.5</v>
      </c>
      <c r="S127" t="s">
        <v>263</v>
      </c>
    </row>
    <row r="128" spans="2:19" x14ac:dyDescent="0.25">
      <c r="B128" t="s">
        <v>239</v>
      </c>
      <c r="C128" t="s">
        <v>240</v>
      </c>
      <c r="D128" t="s">
        <v>24</v>
      </c>
      <c r="E128" t="s">
        <v>241</v>
      </c>
      <c r="F128" t="s">
        <v>242</v>
      </c>
      <c r="H128" t="str">
        <f t="shared" si="5"/>
        <v>studies which report the duration of senescence  as days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8" t="str">
        <f t="shared" si="8"/>
        <v>phenology</v>
      </c>
      <c r="J128" t="str">
        <f t="shared" si="8"/>
        <v>NDMORTA</v>
      </c>
      <c r="K128" t="str">
        <f t="shared" si="8"/>
        <v xml:space="preserve">duration of senescence </v>
      </c>
      <c r="L128" t="str">
        <f t="shared" si="8"/>
        <v>days</v>
      </c>
      <c r="M128">
        <f t="shared" si="10"/>
        <v>0</v>
      </c>
      <c r="N128">
        <f t="shared" si="9"/>
        <v>0</v>
      </c>
      <c r="O128">
        <v>80</v>
      </c>
      <c r="P128">
        <v>180</v>
      </c>
      <c r="Q128">
        <v>120</v>
      </c>
      <c r="R128">
        <v>130</v>
      </c>
      <c r="S128" t="s">
        <v>264</v>
      </c>
    </row>
    <row r="129" spans="2:19" x14ac:dyDescent="0.25">
      <c r="B129" t="s">
        <v>239</v>
      </c>
      <c r="C129" t="s">
        <v>240</v>
      </c>
      <c r="D129" t="s">
        <v>24</v>
      </c>
      <c r="E129" t="s">
        <v>241</v>
      </c>
      <c r="F129" t="s">
        <v>242</v>
      </c>
      <c r="H129" t="str">
        <f t="shared" si="5"/>
        <v>studies which report the base temperature for growing degree days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9" t="str">
        <f t="shared" si="8"/>
        <v>phenology</v>
      </c>
      <c r="J129" t="str">
        <f t="shared" si="8"/>
        <v>GDD_BASE_TEMPERATURE</v>
      </c>
      <c r="K129" t="str">
        <f t="shared" si="8"/>
        <v>base temperature for growing degree days</v>
      </c>
      <c r="L129">
        <f t="shared" si="8"/>
        <v>0</v>
      </c>
      <c r="M129">
        <f t="shared" si="10"/>
        <v>0</v>
      </c>
      <c r="N129">
        <f t="shared" si="9"/>
        <v>0</v>
      </c>
      <c r="O129">
        <v>10</v>
      </c>
      <c r="P129">
        <v>15</v>
      </c>
      <c r="Q129">
        <v>10</v>
      </c>
      <c r="R129">
        <v>12.5</v>
      </c>
      <c r="S129" t="s">
        <v>265</v>
      </c>
    </row>
    <row r="130" spans="2:19" x14ac:dyDescent="0.25">
      <c r="B130" t="s">
        <v>239</v>
      </c>
      <c r="C130" t="s">
        <v>240</v>
      </c>
      <c r="D130" t="s">
        <v>24</v>
      </c>
      <c r="E130" t="s">
        <v>241</v>
      </c>
      <c r="F130" t="s">
        <v>242</v>
      </c>
      <c r="H130" t="str">
        <f t="shared" ref="H130:H193" si="11">_xlfn.CONCAT("studies which report the ", K130," as ",L130,"  (",M130,") , and the values reported therein, of ", C130," ( ", B130,")  under semi-arid environments. If no data for this species exists, please default first to other species of the genus ", F130,"  and then the SUBfamily ", D130,"  and then the tribe ", E130,".")</f>
        <v>studies which report the growing degree days until beginning of emergence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0" t="str">
        <f t="shared" ref="I130:L149" si="12">I83</f>
        <v>phenology</v>
      </c>
      <c r="J130" t="str">
        <f t="shared" si="12"/>
        <v>GDD_EMERG</v>
      </c>
      <c r="K130" t="str">
        <f t="shared" si="12"/>
        <v>growing degree days until beginning of emergence</v>
      </c>
      <c r="L130" t="str">
        <f t="shared" si="12"/>
        <v>days</v>
      </c>
      <c r="M130" t="str">
        <f t="shared" si="10"/>
        <v>GDD</v>
      </c>
      <c r="N130">
        <f t="shared" si="9"/>
        <v>0</v>
      </c>
      <c r="O130">
        <v>50</v>
      </c>
      <c r="P130">
        <v>100</v>
      </c>
      <c r="Q130">
        <v>80</v>
      </c>
      <c r="R130">
        <v>75</v>
      </c>
      <c r="S130" t="s">
        <v>266</v>
      </c>
    </row>
    <row r="131" spans="2:19" x14ac:dyDescent="0.25">
      <c r="B131" t="s">
        <v>239</v>
      </c>
      <c r="C131" t="s">
        <v>240</v>
      </c>
      <c r="D131" t="s">
        <v>24</v>
      </c>
      <c r="E131" t="s">
        <v>241</v>
      </c>
      <c r="F131" t="s">
        <v>242</v>
      </c>
      <c r="H131" t="str">
        <f t="shared" si="11"/>
        <v>studies which report the growing degree days until maturity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1" t="str">
        <f t="shared" si="12"/>
        <v>phenology</v>
      </c>
      <c r="J131" t="str">
        <f t="shared" si="12"/>
        <v>GDD_MATURITY</v>
      </c>
      <c r="K131" t="str">
        <f t="shared" si="12"/>
        <v>growing degree days until maturity</v>
      </c>
      <c r="L131" t="str">
        <f t="shared" si="12"/>
        <v>days</v>
      </c>
      <c r="M131" t="str">
        <f t="shared" si="10"/>
        <v>GDD</v>
      </c>
      <c r="N131">
        <f t="shared" si="9"/>
        <v>0</v>
      </c>
      <c r="O131">
        <v>800</v>
      </c>
      <c r="P131">
        <v>2000</v>
      </c>
      <c r="Q131">
        <v>1500</v>
      </c>
      <c r="R131">
        <v>1400</v>
      </c>
      <c r="S131" t="s">
        <v>267</v>
      </c>
    </row>
    <row r="132" spans="2:19" x14ac:dyDescent="0.25">
      <c r="B132" t="s">
        <v>239</v>
      </c>
      <c r="C132" t="s">
        <v>240</v>
      </c>
      <c r="D132" t="s">
        <v>24</v>
      </c>
      <c r="E132" t="s">
        <v>241</v>
      </c>
      <c r="F132" t="s">
        <v>242</v>
      </c>
      <c r="H132" t="str">
        <f t="shared" si="11"/>
        <v>studies which report the growing degree days until begin of stem elongation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2" t="str">
        <f t="shared" si="12"/>
        <v>phenology</v>
      </c>
      <c r="J132" t="str">
        <f t="shared" si="12"/>
        <v>GDD_STEM_ELONGATION</v>
      </c>
      <c r="K132" t="str">
        <f t="shared" si="12"/>
        <v>growing degree days until begin of stem elongation</v>
      </c>
      <c r="L132" t="str">
        <f t="shared" si="12"/>
        <v>days</v>
      </c>
      <c r="M132" t="str">
        <f t="shared" si="10"/>
        <v>GDD</v>
      </c>
      <c r="N132">
        <f t="shared" si="9"/>
        <v>0</v>
      </c>
      <c r="O132">
        <v>300</v>
      </c>
      <c r="P132">
        <v>500</v>
      </c>
      <c r="Q132">
        <v>300</v>
      </c>
      <c r="R132">
        <v>400</v>
      </c>
      <c r="S132" t="s">
        <v>268</v>
      </c>
    </row>
    <row r="133" spans="2:19" x14ac:dyDescent="0.25">
      <c r="B133" t="s">
        <v>239</v>
      </c>
      <c r="C133" t="s">
        <v>240</v>
      </c>
      <c r="D133" t="s">
        <v>24</v>
      </c>
      <c r="E133" t="s">
        <v>241</v>
      </c>
      <c r="F133" t="s">
        <v>242</v>
      </c>
      <c r="H133" t="str">
        <f t="shared" si="11"/>
        <v>studies which report the growing degree days until downwards root growth ceases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3" t="str">
        <f t="shared" si="12"/>
        <v>phenology</v>
      </c>
      <c r="J133" t="str">
        <f t="shared" si="12"/>
        <v>GDD_ROOTS_GROWN</v>
      </c>
      <c r="K133" t="str">
        <f t="shared" si="12"/>
        <v>growing degree days until downwards root growth ceases</v>
      </c>
      <c r="L133" t="str">
        <f t="shared" si="12"/>
        <v>growing degree days</v>
      </c>
      <c r="M133" t="str">
        <f t="shared" si="10"/>
        <v>GDD</v>
      </c>
      <c r="N133">
        <f t="shared" si="9"/>
        <v>0</v>
      </c>
      <c r="O133">
        <v>500</v>
      </c>
      <c r="P133">
        <v>800</v>
      </c>
      <c r="Q133">
        <v>700</v>
      </c>
      <c r="R133">
        <v>650</v>
      </c>
      <c r="S133" t="s">
        <v>269</v>
      </c>
    </row>
    <row r="134" spans="2:19" x14ac:dyDescent="0.25">
      <c r="B134" t="s">
        <v>239</v>
      </c>
      <c r="C134" t="s">
        <v>240</v>
      </c>
      <c r="D134" t="s">
        <v>24</v>
      </c>
      <c r="E134" t="s">
        <v>241</v>
      </c>
      <c r="F134" t="s">
        <v>242</v>
      </c>
      <c r="H134" t="str">
        <f t="shared" si="11"/>
        <v>studies which report the minimum temperature sum for foliage activity onset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4" t="str">
        <f t="shared" si="12"/>
        <v>phenology</v>
      </c>
      <c r="J134" t="str">
        <f t="shared" si="12"/>
        <v>GDDFOLSTART</v>
      </c>
      <c r="K134" t="str">
        <f t="shared" si="12"/>
        <v>minimum temperature sum for foliage activity onset</v>
      </c>
      <c r="L134" t="str">
        <f t="shared" si="12"/>
        <v>growing degree days</v>
      </c>
      <c r="M134" t="str">
        <f t="shared" si="10"/>
        <v>GDD</v>
      </c>
      <c r="N134">
        <f t="shared" si="9"/>
        <v>0</v>
      </c>
      <c r="O134">
        <v>100</v>
      </c>
      <c r="P134">
        <v>250</v>
      </c>
      <c r="Q134">
        <v>150</v>
      </c>
      <c r="R134">
        <v>175</v>
      </c>
      <c r="S134" t="s">
        <v>171</v>
      </c>
    </row>
    <row r="135" spans="2:19" x14ac:dyDescent="0.25">
      <c r="B135" t="s">
        <v>239</v>
      </c>
      <c r="C135" t="s">
        <v>240</v>
      </c>
      <c r="D135" t="s">
        <v>24</v>
      </c>
      <c r="E135" t="s">
        <v>241</v>
      </c>
      <c r="F135" t="s">
        <v>242</v>
      </c>
      <c r="H135" t="str">
        <f t="shared" si="11"/>
        <v>studies which report the growing degree days to complete foliar production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5" t="str">
        <f t="shared" si="12"/>
        <v>phenology</v>
      </c>
      <c r="J135" t="str">
        <f t="shared" si="12"/>
        <v>GDDFOLEND</v>
      </c>
      <c r="K135" t="str">
        <f t="shared" si="12"/>
        <v>growing degree days to complete foliar production</v>
      </c>
      <c r="L135" t="str">
        <f t="shared" si="12"/>
        <v>growing degree days</v>
      </c>
      <c r="M135" t="str">
        <f t="shared" si="10"/>
        <v>GDD</v>
      </c>
      <c r="N135">
        <f t="shared" si="9"/>
        <v>0</v>
      </c>
      <c r="O135">
        <v>500</v>
      </c>
      <c r="P135">
        <v>1500</v>
      </c>
      <c r="Q135">
        <v>500</v>
      </c>
      <c r="R135">
        <v>1000</v>
      </c>
      <c r="S135" t="s">
        <v>270</v>
      </c>
    </row>
    <row r="136" spans="2:19" x14ac:dyDescent="0.25">
      <c r="B136" t="s">
        <v>239</v>
      </c>
      <c r="C136" t="s">
        <v>240</v>
      </c>
      <c r="D136" t="s">
        <v>24</v>
      </c>
      <c r="E136" t="s">
        <v>241</v>
      </c>
      <c r="F136" t="s">
        <v>242</v>
      </c>
      <c r="H136" t="str">
        <f t="shared" si="11"/>
        <v>studies which report the potential nitrogen fixation rate per plant dry matter tissue and day as kg N per kg DM per day  (kg N/kg DM/day)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6" t="str">
        <f t="shared" si="12"/>
        <v>nitrogen</v>
      </c>
      <c r="J136" t="str">
        <f t="shared" si="12"/>
        <v>NFIX_RATE</v>
      </c>
      <c r="K136" t="str">
        <f t="shared" si="12"/>
        <v>potential nitrogen fixation rate per plant dry matter tissue and day</v>
      </c>
      <c r="L136" t="str">
        <f t="shared" si="12"/>
        <v>kg N per kg DM per day</v>
      </c>
      <c r="M136" t="str">
        <f t="shared" si="10"/>
        <v>kg N/kg DM/day</v>
      </c>
      <c r="N136">
        <f t="shared" si="9"/>
        <v>3</v>
      </c>
    </row>
    <row r="137" spans="2:19" x14ac:dyDescent="0.25">
      <c r="B137" t="s">
        <v>239</v>
      </c>
      <c r="C137" t="s">
        <v>240</v>
      </c>
      <c r="D137" t="s">
        <v>24</v>
      </c>
      <c r="E137" t="s">
        <v>241</v>
      </c>
      <c r="F137" t="s">
        <v>242</v>
      </c>
      <c r="H137" t="str">
        <f t="shared" si="11"/>
        <v>studies which report the Optimum nitrogen concentration of foliage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7" t="str">
        <f t="shared" si="12"/>
        <v>nitrogen</v>
      </c>
      <c r="J137" t="str">
        <f t="shared" si="12"/>
        <v>NCFOLOPT</v>
      </c>
      <c r="K137" t="str">
        <f t="shared" si="12"/>
        <v>Optimum nitrogen concentration of foliage</v>
      </c>
      <c r="L137" t="str">
        <f t="shared" si="12"/>
        <v>kg per kg</v>
      </c>
      <c r="M137" t="str">
        <f t="shared" si="10"/>
        <v>kg/kg</v>
      </c>
      <c r="N137">
        <f t="shared" si="9"/>
        <v>2</v>
      </c>
    </row>
    <row r="138" spans="2:19" x14ac:dyDescent="0.25">
      <c r="B138" t="s">
        <v>239</v>
      </c>
      <c r="C138" t="s">
        <v>240</v>
      </c>
      <c r="D138" t="s">
        <v>24</v>
      </c>
      <c r="E138" t="s">
        <v>241</v>
      </c>
      <c r="F138" t="s">
        <v>242</v>
      </c>
      <c r="H138" t="str">
        <f t="shared" si="11"/>
        <v>studies which report the Maximum (optimum) nitrogen concentration of fine roots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8" t="str">
        <f t="shared" si="12"/>
        <v>nitrogen</v>
      </c>
      <c r="J138" t="str">
        <f t="shared" si="12"/>
        <v>NC_FINEROOTS_MAX</v>
      </c>
      <c r="K138" t="str">
        <f t="shared" si="12"/>
        <v>Maximum (optimum) nitrogen concentration of fine roots</v>
      </c>
      <c r="L138" t="str">
        <f t="shared" si="12"/>
        <v>kg per kg</v>
      </c>
      <c r="M138" t="str">
        <f t="shared" si="10"/>
        <v>kg/kg</v>
      </c>
      <c r="N138">
        <f t="shared" si="9"/>
        <v>2</v>
      </c>
    </row>
    <row r="139" spans="2:19" x14ac:dyDescent="0.25">
      <c r="B139" t="s">
        <v>239</v>
      </c>
      <c r="C139" t="s">
        <v>240</v>
      </c>
      <c r="D139" t="s">
        <v>24</v>
      </c>
      <c r="E139" t="s">
        <v>241</v>
      </c>
      <c r="F139" t="s">
        <v>242</v>
      </c>
      <c r="H139" t="str">
        <f t="shared" si="11"/>
        <v>studies which report the Minimum nitrogen concentration of fine roots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9" t="str">
        <f t="shared" si="12"/>
        <v>nitrogen</v>
      </c>
      <c r="J139" t="str">
        <f t="shared" si="12"/>
        <v>NC_FINEROOTS_MIN</v>
      </c>
      <c r="K139" t="str">
        <f t="shared" si="12"/>
        <v>Minimum nitrogen concentration of fine roots</v>
      </c>
      <c r="L139" t="str">
        <f t="shared" si="12"/>
        <v>kg per kg</v>
      </c>
      <c r="M139" t="str">
        <f t="shared" si="10"/>
        <v>kg/kg</v>
      </c>
      <c r="N139">
        <f t="shared" si="9"/>
        <v>2</v>
      </c>
    </row>
    <row r="140" spans="2:19" x14ac:dyDescent="0.25">
      <c r="B140" t="s">
        <v>271</v>
      </c>
      <c r="C140" t="s">
        <v>272</v>
      </c>
      <c r="D140" t="s">
        <v>273</v>
      </c>
      <c r="E140" t="s">
        <v>274</v>
      </c>
      <c r="F140" t="s">
        <v>275</v>
      </c>
      <c r="G140" t="s">
        <v>276</v>
      </c>
      <c r="H140" t="str">
        <f t="shared" si="11"/>
        <v>studies which report the Optimum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40" t="str">
        <f t="shared" si="12"/>
        <v>nitrogen</v>
      </c>
      <c r="J140" t="str">
        <f t="shared" si="12"/>
        <v>NC_STRUCTURAL_TISSUE_MAX</v>
      </c>
      <c r="K140" t="str">
        <f t="shared" si="12"/>
        <v>Optimum nitrogen concentration of living structural tissue</v>
      </c>
      <c r="L140" t="str">
        <f t="shared" si="12"/>
        <v>kg per kg</v>
      </c>
      <c r="M140" t="str">
        <f t="shared" si="10"/>
        <v>kg/kg</v>
      </c>
      <c r="N140">
        <f t="shared" si="9"/>
        <v>2</v>
      </c>
    </row>
    <row r="141" spans="2:19" x14ac:dyDescent="0.25">
      <c r="B141" t="s">
        <v>271</v>
      </c>
      <c r="C141" t="s">
        <v>272</v>
      </c>
      <c r="D141" t="s">
        <v>273</v>
      </c>
      <c r="E141" t="s">
        <v>274</v>
      </c>
      <c r="F141" t="s">
        <v>275</v>
      </c>
      <c r="G141" t="s">
        <v>276</v>
      </c>
      <c r="H141" t="str">
        <f t="shared" si="11"/>
        <v>studies which report the Minimum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41" t="str">
        <f t="shared" si="12"/>
        <v>nitrogen</v>
      </c>
      <c r="J141" t="str">
        <f t="shared" si="12"/>
        <v>NC_STRUCTURAL_TISSUE_MIN</v>
      </c>
      <c r="K141" t="str">
        <f t="shared" si="12"/>
        <v>Minimum nitrogen concentration of living structural tissue</v>
      </c>
      <c r="L141" t="str">
        <f t="shared" si="12"/>
        <v>kg per kg</v>
      </c>
      <c r="M141" t="str">
        <f t="shared" si="10"/>
        <v>kg/kg</v>
      </c>
      <c r="N141">
        <f t="shared" si="9"/>
        <v>2</v>
      </c>
    </row>
    <row r="142" spans="2:19" x14ac:dyDescent="0.25">
      <c r="B142" t="s">
        <v>271</v>
      </c>
      <c r="C142" t="s">
        <v>272</v>
      </c>
      <c r="D142" t="s">
        <v>273</v>
      </c>
      <c r="E142" t="s">
        <v>274</v>
      </c>
      <c r="F142" t="s">
        <v>275</v>
      </c>
      <c r="G142" t="s">
        <v>276</v>
      </c>
      <c r="H142" t="str">
        <f t="shared" si="11"/>
        <v>studies which report the Ratio between fine root- and foliage biomass under standard conditions. as ratio  (0) , and the values reported therein, of Vachellia drepanolobium ( whistling thorn)  under semi-arid environments. If no data for this species exists, please default first to other species of the genus Vachellia  and then the SUBfamily Mimosoideae    and then the tribe Acacieae.</v>
      </c>
      <c r="I142" t="str">
        <f t="shared" si="12"/>
        <v>biomass</v>
      </c>
      <c r="J142" t="str">
        <f t="shared" si="12"/>
        <v>QRF</v>
      </c>
      <c r="K142" t="str">
        <f t="shared" si="12"/>
        <v>Ratio between fine root- and foliage biomass under standard conditions.</v>
      </c>
      <c r="L142" t="str">
        <f t="shared" si="12"/>
        <v>ratio</v>
      </c>
      <c r="M142">
        <f t="shared" si="10"/>
        <v>0</v>
      </c>
      <c r="N142">
        <f t="shared" si="9"/>
        <v>2</v>
      </c>
    </row>
    <row r="143" spans="2:19" x14ac:dyDescent="0.25">
      <c r="B143" t="s">
        <v>271</v>
      </c>
      <c r="C143" t="s">
        <v>272</v>
      </c>
      <c r="D143" t="s">
        <v>273</v>
      </c>
      <c r="E143" t="s">
        <v>274</v>
      </c>
      <c r="F143" t="s">
        <v>275</v>
      </c>
      <c r="G143" t="s">
        <v>276</v>
      </c>
      <c r="H143" t="str">
        <f t="shared" si="11"/>
        <v>studies which report the Michaelis Menten constant for O2 at 25 degrees C as millimols per mol per mbar  (mmol mol-1 mbar-1) , and the values reported therein, of Vachellia drepanolobium ( whistling thorn)  under semi-arid environments. If no data for this species exists, please default first to other species of the genus Vachellia  and then the SUBfamily Mimosoideae    and then the tribe Acacieae.</v>
      </c>
      <c r="I143" t="str">
        <f t="shared" si="12"/>
        <v>co2</v>
      </c>
      <c r="J143" t="str">
        <f t="shared" si="12"/>
        <v>KO25</v>
      </c>
      <c r="K143" t="str">
        <f t="shared" si="12"/>
        <v>Michaelis Menten constant for O2 at 25 degrees C</v>
      </c>
      <c r="L143" t="str">
        <f t="shared" si="12"/>
        <v>millimols per mol per mbar</v>
      </c>
      <c r="M143" t="str">
        <f t="shared" si="10"/>
        <v>mmol mol-1 mbar-1</v>
      </c>
      <c r="N143">
        <f t="shared" si="9"/>
        <v>2</v>
      </c>
      <c r="O143">
        <v>278.39999999999998</v>
      </c>
      <c r="P143">
        <v>278.39999999999998</v>
      </c>
      <c r="Q143">
        <v>278.39999999999998</v>
      </c>
      <c r="R143">
        <v>278.39999999999998</v>
      </c>
      <c r="S143" t="s">
        <v>277</v>
      </c>
    </row>
    <row r="144" spans="2:19" x14ac:dyDescent="0.25">
      <c r="B144" t="s">
        <v>271</v>
      </c>
      <c r="C144" t="s">
        <v>272</v>
      </c>
      <c r="D144" t="s">
        <v>273</v>
      </c>
      <c r="E144" t="s">
        <v>274</v>
      </c>
      <c r="F144" t="s">
        <v>275</v>
      </c>
      <c r="G144" t="s">
        <v>276</v>
      </c>
      <c r="H144" t="e">
        <f t="shared" si="11"/>
        <v>#NAME?</v>
      </c>
      <c r="I144" t="str">
        <f t="shared" si="12"/>
        <v>co2</v>
      </c>
      <c r="J144" t="str">
        <f t="shared" si="12"/>
        <v>KM20</v>
      </c>
      <c r="K144" t="str">
        <f t="shared" si="12"/>
        <v>Maintenance coefficient at reference temperature</v>
      </c>
      <c r="L144" t="str">
        <f t="shared" si="12"/>
        <v>fraction</v>
      </c>
      <c r="M144" t="e">
        <f t="shared" si="10"/>
        <v>#NAME?</v>
      </c>
      <c r="N144">
        <f t="shared" si="9"/>
        <v>2</v>
      </c>
    </row>
    <row r="145" spans="2:19" x14ac:dyDescent="0.25">
      <c r="B145" t="s">
        <v>271</v>
      </c>
      <c r="C145" t="s">
        <v>272</v>
      </c>
      <c r="D145" t="s">
        <v>273</v>
      </c>
      <c r="E145" t="s">
        <v>274</v>
      </c>
      <c r="F145" t="s">
        <v>275</v>
      </c>
      <c r="G145" t="s">
        <v>276</v>
      </c>
      <c r="H145" t="str">
        <f t="shared" si="11"/>
        <v>studies which report the Maximum RubP saturated rate of carboxylation at 25oC for sun leaves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45" t="str">
        <f t="shared" si="12"/>
        <v>co2</v>
      </c>
      <c r="J145" t="str">
        <f t="shared" si="12"/>
        <v>VCMAX25</v>
      </c>
      <c r="K145" t="str">
        <f t="shared" si="12"/>
        <v>Maximum RubP saturated rate of carboxylation at 25oC for sun leaves</v>
      </c>
      <c r="L145" t="str">
        <f t="shared" si="12"/>
        <v>micromols per square meter per second</v>
      </c>
      <c r="M145" t="str">
        <f t="shared" si="10"/>
        <v>umol m^-2 s^-1</v>
      </c>
      <c r="N145">
        <f t="shared" si="9"/>
        <v>2</v>
      </c>
      <c r="O145">
        <v>40</v>
      </c>
      <c r="P145">
        <v>80</v>
      </c>
      <c r="Q145">
        <v>60</v>
      </c>
      <c r="R145">
        <v>60</v>
      </c>
      <c r="S145" t="s">
        <v>278</v>
      </c>
    </row>
    <row r="146" spans="2:19" x14ac:dyDescent="0.25">
      <c r="B146" t="s">
        <v>271</v>
      </c>
      <c r="C146" t="s">
        <v>272</v>
      </c>
      <c r="D146" t="s">
        <v>273</v>
      </c>
      <c r="E146" t="s">
        <v>274</v>
      </c>
      <c r="F146" t="s">
        <v>275</v>
      </c>
      <c r="G146" t="s">
        <v>276</v>
      </c>
      <c r="H146" t="str">
        <f t="shared" si="11"/>
        <v>studies which report the Activation energy for electron transport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6" t="str">
        <f t="shared" si="12"/>
        <v>co2</v>
      </c>
      <c r="J146" t="str">
        <f t="shared" si="12"/>
        <v>AEJM</v>
      </c>
      <c r="K146" t="str">
        <f t="shared" si="12"/>
        <v>Activation energy for electron transport</v>
      </c>
      <c r="L146" t="str">
        <f t="shared" si="12"/>
        <v>Joules per mol</v>
      </c>
      <c r="M146" t="str">
        <f t="shared" si="10"/>
        <v>J mol^-1</v>
      </c>
      <c r="N146">
        <f t="shared" si="9"/>
        <v>0</v>
      </c>
      <c r="O146">
        <v>43540</v>
      </c>
      <c r="P146">
        <v>43540</v>
      </c>
      <c r="Q146">
        <v>43540</v>
      </c>
      <c r="R146">
        <v>43540</v>
      </c>
      <c r="S146" t="s">
        <v>279</v>
      </c>
    </row>
    <row r="147" spans="2:19" x14ac:dyDescent="0.25">
      <c r="B147" t="s">
        <v>271</v>
      </c>
      <c r="C147" t="s">
        <v>272</v>
      </c>
      <c r="D147" t="s">
        <v>273</v>
      </c>
      <c r="E147" t="s">
        <v>274</v>
      </c>
      <c r="F147" t="s">
        <v>275</v>
      </c>
      <c r="G147" t="s">
        <v>276</v>
      </c>
      <c r="H147" t="str">
        <f t="shared" si="11"/>
        <v>studies which report the Activation energy for Michaelis-Menten constant for CO2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7" t="str">
        <f t="shared" si="12"/>
        <v>co2</v>
      </c>
      <c r="J147" t="str">
        <f t="shared" si="12"/>
        <v>AEKC</v>
      </c>
      <c r="K147" t="str">
        <f t="shared" si="12"/>
        <v>Activation energy for Michaelis-Menten constant for CO2</v>
      </c>
      <c r="L147" t="str">
        <f t="shared" si="12"/>
        <v>Joules per mol</v>
      </c>
      <c r="M147" t="str">
        <f t="shared" si="10"/>
        <v>J mol^-1</v>
      </c>
      <c r="N147">
        <f t="shared" si="9"/>
        <v>0</v>
      </c>
      <c r="O147">
        <v>79430</v>
      </c>
      <c r="P147">
        <v>79430</v>
      </c>
      <c r="Q147">
        <v>79430</v>
      </c>
      <c r="R147">
        <v>79430</v>
      </c>
      <c r="S147" t="s">
        <v>277</v>
      </c>
    </row>
    <row r="148" spans="2:19" x14ac:dyDescent="0.25">
      <c r="B148" t="s">
        <v>271</v>
      </c>
      <c r="C148" t="s">
        <v>272</v>
      </c>
      <c r="D148" t="s">
        <v>273</v>
      </c>
      <c r="E148" t="s">
        <v>274</v>
      </c>
      <c r="F148" t="s">
        <v>275</v>
      </c>
      <c r="G148" t="s">
        <v>276</v>
      </c>
      <c r="H148" t="str">
        <f t="shared" si="11"/>
        <v>studies which report the Activation energy for Michaelis-Menten constant for O2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8" t="str">
        <f t="shared" si="12"/>
        <v>co2</v>
      </c>
      <c r="J148" t="str">
        <f t="shared" si="12"/>
        <v>AEKO</v>
      </c>
      <c r="K148" t="str">
        <f t="shared" si="12"/>
        <v>Activation energy for Michaelis-Menten constant for O2</v>
      </c>
      <c r="L148" t="str">
        <f t="shared" si="12"/>
        <v>Joules per mol</v>
      </c>
      <c r="M148" t="str">
        <f t="shared" si="10"/>
        <v>J mol^-1</v>
      </c>
      <c r="N148">
        <f t="shared" si="9"/>
        <v>0</v>
      </c>
      <c r="O148">
        <v>36380</v>
      </c>
      <c r="P148">
        <v>36380</v>
      </c>
      <c r="Q148">
        <v>36380</v>
      </c>
      <c r="R148">
        <v>36380</v>
      </c>
      <c r="S148" t="s">
        <v>277</v>
      </c>
    </row>
    <row r="149" spans="2:19" x14ac:dyDescent="0.25">
      <c r="B149" t="s">
        <v>271</v>
      </c>
      <c r="C149" t="s">
        <v>272</v>
      </c>
      <c r="D149" t="s">
        <v>273</v>
      </c>
      <c r="E149" t="s">
        <v>274</v>
      </c>
      <c r="F149" t="s">
        <v>275</v>
      </c>
      <c r="G149" t="s">
        <v>276</v>
      </c>
      <c r="H149" t="str">
        <f t="shared" si="11"/>
        <v>studies which report the Activation energy for dark respiration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9" t="str">
        <f t="shared" si="12"/>
        <v>co2</v>
      </c>
      <c r="J149" t="str">
        <f t="shared" si="12"/>
        <v>AERD</v>
      </c>
      <c r="K149" t="str">
        <f t="shared" si="12"/>
        <v>Activation energy for dark respiration</v>
      </c>
      <c r="L149" t="str">
        <f t="shared" si="12"/>
        <v>Joules per mol</v>
      </c>
      <c r="M149" t="str">
        <f t="shared" si="10"/>
        <v>J mol^-1</v>
      </c>
      <c r="N149">
        <f t="shared" si="9"/>
        <v>0</v>
      </c>
      <c r="O149">
        <v>50000</v>
      </c>
      <c r="P149">
        <v>50000</v>
      </c>
      <c r="Q149">
        <v>50000</v>
      </c>
      <c r="R149">
        <v>50000</v>
      </c>
      <c r="S149" t="s">
        <v>214</v>
      </c>
    </row>
    <row r="150" spans="2:19" x14ac:dyDescent="0.25">
      <c r="B150" t="s">
        <v>271</v>
      </c>
      <c r="C150" t="s">
        <v>272</v>
      </c>
      <c r="D150" t="s">
        <v>273</v>
      </c>
      <c r="E150" t="s">
        <v>274</v>
      </c>
      <c r="F150" t="s">
        <v>275</v>
      </c>
      <c r="G150" t="s">
        <v>276</v>
      </c>
      <c r="H150" t="str">
        <f t="shared" si="11"/>
        <v>studies which report the Activation energy for photosynthesis as Joules per mol  (J mol^-2) , and the values reported therein, of Vachellia drepanolobium ( whistling thorn)  under semi-arid environments. If no data for this species exists, please default first to other species of the genus Vachellia  and then the SUBfamily Mimosoideae    and then the tribe Acacieae.</v>
      </c>
      <c r="I150" t="str">
        <f t="shared" ref="I150:L169" si="13">I103</f>
        <v>co2</v>
      </c>
      <c r="J150" t="str">
        <f t="shared" si="13"/>
        <v>AEVC</v>
      </c>
      <c r="K150" t="str">
        <f t="shared" si="13"/>
        <v>Activation energy for photosynthesis</v>
      </c>
      <c r="L150" t="str">
        <f t="shared" si="13"/>
        <v>Joules per mol</v>
      </c>
      <c r="M150" t="str">
        <f t="shared" si="10"/>
        <v>J mol^-2</v>
      </c>
      <c r="N150">
        <f t="shared" si="9"/>
        <v>0</v>
      </c>
      <c r="O150">
        <v>65330</v>
      </c>
      <c r="P150">
        <v>65330</v>
      </c>
      <c r="Q150">
        <v>65330</v>
      </c>
      <c r="R150">
        <v>65330</v>
      </c>
      <c r="S150" t="s">
        <v>277</v>
      </c>
    </row>
    <row r="151" spans="2:19" x14ac:dyDescent="0.25">
      <c r="B151" t="s">
        <v>271</v>
      </c>
      <c r="C151" t="s">
        <v>272</v>
      </c>
      <c r="D151" t="s">
        <v>273</v>
      </c>
      <c r="E151" t="s">
        <v>274</v>
      </c>
      <c r="F151" t="s">
        <v>275</v>
      </c>
      <c r="G151" t="s">
        <v>276</v>
      </c>
      <c r="H151" t="str">
        <f t="shared" si="11"/>
        <v>studies which report the Activation energy for RubP oxygenation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51" t="str">
        <f t="shared" si="13"/>
        <v>co2</v>
      </c>
      <c r="J151" t="str">
        <f t="shared" si="13"/>
        <v>AEVO</v>
      </c>
      <c r="K151" t="str">
        <f t="shared" si="13"/>
        <v>Activation energy for RubP oxygenation</v>
      </c>
      <c r="L151" t="str">
        <f t="shared" si="13"/>
        <v>Joules per mol</v>
      </c>
      <c r="M151" t="str">
        <f t="shared" si="10"/>
        <v>J mol-1</v>
      </c>
      <c r="N151">
        <f t="shared" si="9"/>
        <v>0</v>
      </c>
      <c r="O151">
        <v>45000</v>
      </c>
      <c r="P151">
        <v>45000</v>
      </c>
      <c r="Q151">
        <v>45000</v>
      </c>
      <c r="R151">
        <v>45000</v>
      </c>
      <c r="S151" t="s">
        <v>214</v>
      </c>
    </row>
    <row r="152" spans="2:19" x14ac:dyDescent="0.25">
      <c r="B152" t="s">
        <v>271</v>
      </c>
      <c r="C152" t="s">
        <v>272</v>
      </c>
      <c r="D152" t="s">
        <v>273</v>
      </c>
      <c r="E152" t="s">
        <v>274</v>
      </c>
      <c r="F152" t="s">
        <v>275</v>
      </c>
      <c r="G152" t="s">
        <v>276</v>
      </c>
      <c r="H152" t="str">
        <f t="shared" si="11"/>
        <v>studies which report the Relation between maximum electron transport rate and RubP saturated rate of carboxylation as micromols per mol per mbar  (umol mol-1 ubar-1)) , and the values reported therein, of Vachellia drepanolobium ( whistling thorn)  under semi-arid environments. If no data for this species exists, please default first to other species of the genus Vachellia  and then the SUBfamily Mimosoideae    and then the tribe Acacieae.</v>
      </c>
      <c r="I152" t="str">
        <f t="shared" si="13"/>
        <v>co2</v>
      </c>
      <c r="J152" t="str">
        <f t="shared" si="13"/>
        <v>KC25</v>
      </c>
      <c r="K152" t="str">
        <f t="shared" si="13"/>
        <v>Relation between maximum electron transport rate and RubP saturated rate of carboxylation</v>
      </c>
      <c r="L152" t="str">
        <f t="shared" si="13"/>
        <v>micromols per mol per mbar</v>
      </c>
      <c r="M152" t="str">
        <f t="shared" si="10"/>
        <v>umol mol-1 ubar-1)</v>
      </c>
      <c r="N152">
        <f t="shared" si="9"/>
        <v>2</v>
      </c>
    </row>
    <row r="153" spans="2:19" x14ac:dyDescent="0.25">
      <c r="B153" t="s">
        <v>271</v>
      </c>
      <c r="C153" t="s">
        <v>272</v>
      </c>
      <c r="D153" t="s">
        <v>273</v>
      </c>
      <c r="E153" t="s">
        <v>274</v>
      </c>
      <c r="F153" t="s">
        <v>275</v>
      </c>
      <c r="G153" t="s">
        <v>276</v>
      </c>
      <c r="H153" t="str">
        <f t="shared" si="11"/>
        <v>studies which report the Curvature parameter for the light response curve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53" t="str">
        <f t="shared" si="13"/>
        <v>co2</v>
      </c>
      <c r="J153" t="str">
        <f t="shared" si="13"/>
        <v>THETA</v>
      </c>
      <c r="K153" t="str">
        <f t="shared" si="13"/>
        <v>Curvature parameter for the light response curve</v>
      </c>
      <c r="L153">
        <f t="shared" si="13"/>
        <v>0</v>
      </c>
      <c r="M153">
        <f t="shared" si="10"/>
        <v>0</v>
      </c>
      <c r="N153">
        <f t="shared" si="9"/>
        <v>2</v>
      </c>
      <c r="O153">
        <v>0.7</v>
      </c>
      <c r="P153">
        <v>0.9</v>
      </c>
      <c r="Q153">
        <v>0.8</v>
      </c>
      <c r="R153">
        <v>0.8</v>
      </c>
      <c r="S153" t="s">
        <v>214</v>
      </c>
    </row>
    <row r="154" spans="2:19" x14ac:dyDescent="0.25">
      <c r="B154" t="s">
        <v>271</v>
      </c>
      <c r="C154" t="s">
        <v>272</v>
      </c>
      <c r="D154" t="s">
        <v>273</v>
      </c>
      <c r="E154" t="s">
        <v>274</v>
      </c>
      <c r="F154" t="s">
        <v>275</v>
      </c>
      <c r="G154" t="s">
        <v>276</v>
      </c>
      <c r="H154" t="str">
        <f t="shared" si="11"/>
        <v>studies which report the Relation between maximum electron transport rate and RubP saturated rate of carboxylation (ï¿½).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54" t="str">
        <f t="shared" si="13"/>
        <v>co2</v>
      </c>
      <c r="J154" t="str">
        <f t="shared" si="13"/>
        <v>QJVC</v>
      </c>
      <c r="K154" t="str">
        <f t="shared" si="13"/>
        <v>Relation between maximum electron transport rate and RubP saturated rate of carboxylation (ï¿½).</v>
      </c>
      <c r="L154" t="str">
        <f t="shared" si="13"/>
        <v>micromols per square meter per second</v>
      </c>
      <c r="M154" t="str">
        <f t="shared" si="10"/>
        <v>umol m^-2 s^-1</v>
      </c>
      <c r="N154">
        <f t="shared" si="9"/>
        <v>2</v>
      </c>
    </row>
    <row r="155" spans="2:19" x14ac:dyDescent="0.25">
      <c r="B155" t="s">
        <v>271</v>
      </c>
      <c r="C155" t="s">
        <v>272</v>
      </c>
      <c r="D155" t="s">
        <v>273</v>
      </c>
      <c r="E155" t="s">
        <v>274</v>
      </c>
      <c r="F155" t="s">
        <v>275</v>
      </c>
      <c r="G155" t="s">
        <v>276</v>
      </c>
      <c r="H155" t="str">
        <f t="shared" si="11"/>
        <v>studies which report the Relation between dark respiration rate and RubP saturated rate of carboxyla tion at 25 oC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55" t="str">
        <f t="shared" si="13"/>
        <v>co2</v>
      </c>
      <c r="J155" t="str">
        <f t="shared" si="13"/>
        <v>QRD25</v>
      </c>
      <c r="K155" t="str">
        <f t="shared" si="13"/>
        <v>Relation between dark respiration rate and RubP saturated rate of carboxyla tion at 25 oC</v>
      </c>
      <c r="L155" t="str">
        <f t="shared" si="13"/>
        <v>micromols per square meter per second</v>
      </c>
      <c r="M155" t="str">
        <f t="shared" si="10"/>
        <v>umol m^-2 s^-1</v>
      </c>
      <c r="N155">
        <f t="shared" si="9"/>
        <v>2</v>
      </c>
    </row>
    <row r="156" spans="2:19" x14ac:dyDescent="0.25">
      <c r="B156" t="s">
        <v>271</v>
      </c>
      <c r="C156" t="s">
        <v>272</v>
      </c>
      <c r="D156" t="s">
        <v>273</v>
      </c>
      <c r="E156" t="s">
        <v>274</v>
      </c>
      <c r="F156" t="s">
        <v>275</v>
      </c>
      <c r="G156" t="s">
        <v>276</v>
      </c>
      <c r="H156" t="str">
        <f t="shared" si="11"/>
        <v>studies which report the Maximum instantaneous water use efficiency as milligrams of carbon dioxide per gram of water  (mg CO2 g^-1 H2O) , and the values reported therein, of Vachellia drepanolobium ( whistling thorn)  under semi-arid environments. If no data for this species exists, please default first to other species of the genus Vachellia  and then the SUBfamily Mimosoideae    and then the tribe Acacieae.</v>
      </c>
      <c r="I156" t="str">
        <f t="shared" si="13"/>
        <v>water</v>
      </c>
      <c r="J156" t="str">
        <f t="shared" si="13"/>
        <v>WUECMAX</v>
      </c>
      <c r="K156" t="str">
        <f t="shared" si="13"/>
        <v>Maximum instantaneous water use efficiency</v>
      </c>
      <c r="L156" t="str">
        <f t="shared" si="13"/>
        <v>milligrams of carbon dioxide per gram of water</v>
      </c>
      <c r="M156" t="str">
        <f t="shared" si="10"/>
        <v>mg CO2 g^-1 H2O</v>
      </c>
      <c r="N156">
        <f t="shared" si="9"/>
        <v>1</v>
      </c>
    </row>
    <row r="157" spans="2:19" x14ac:dyDescent="0.25">
      <c r="B157" t="s">
        <v>271</v>
      </c>
      <c r="C157" t="s">
        <v>272</v>
      </c>
      <c r="D157" t="s">
        <v>273</v>
      </c>
      <c r="E157" t="s">
        <v>274</v>
      </c>
      <c r="F157" t="s">
        <v>275</v>
      </c>
      <c r="G157" t="s">
        <v>276</v>
      </c>
      <c r="H157" t="str">
        <f t="shared" si="11"/>
        <v>studies which report the minimum instantaneous water use efficiency as milligrams of carbon dioxide per gram of water  (mg CO2 g^-1 H2O) , and the values reported therein, of Vachellia drepanolobium ( whistling thorn)  under semi-arid environments. If no data for this species exists, please default first to other species of the genus Vachellia  and then the SUBfamily Mimosoideae    and then the tribe Acacieae.</v>
      </c>
      <c r="I157" t="str">
        <f t="shared" si="13"/>
        <v>water</v>
      </c>
      <c r="J157" t="str">
        <f t="shared" si="13"/>
        <v>WUECMIN</v>
      </c>
      <c r="K157" t="str">
        <f t="shared" si="13"/>
        <v>minimum instantaneous water use efficiency</v>
      </c>
      <c r="L157" t="str">
        <f t="shared" si="13"/>
        <v>milligrams of carbon dioxide per gram of water</v>
      </c>
      <c r="M157" t="str">
        <f t="shared" si="10"/>
        <v>mg CO2 g^-1 H2O</v>
      </c>
      <c r="N157">
        <f t="shared" si="9"/>
        <v>1</v>
      </c>
    </row>
    <row r="158" spans="2:19" ht="22.5" customHeight="1" x14ac:dyDescent="0.25">
      <c r="B158" t="s">
        <v>271</v>
      </c>
      <c r="C158" t="s">
        <v>272</v>
      </c>
      <c r="D158" t="s">
        <v>273</v>
      </c>
      <c r="E158" t="s">
        <v>274</v>
      </c>
      <c r="F158" t="s">
        <v>275</v>
      </c>
      <c r="G158" t="s">
        <v>276</v>
      </c>
      <c r="H158" t="str">
        <f t="shared" si="11"/>
        <v>studies which report the relative available soil water content at which drought affects photosynthesis activity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58" t="str">
        <f t="shared" si="13"/>
        <v>water</v>
      </c>
      <c r="J158" t="str">
        <f t="shared" si="13"/>
        <v>H2OREF_A</v>
      </c>
      <c r="K158" t="str">
        <f t="shared" si="13"/>
        <v>relative available soil water content at which drought affects photosynthesis activity</v>
      </c>
      <c r="L158" t="str">
        <f t="shared" si="13"/>
        <v xml:space="preserve">a fraction </v>
      </c>
      <c r="M158">
        <f t="shared" si="10"/>
        <v>0</v>
      </c>
      <c r="N158">
        <f t="shared" si="9"/>
        <v>2</v>
      </c>
      <c r="O158">
        <v>0.3</v>
      </c>
      <c r="P158">
        <v>0.5</v>
      </c>
      <c r="Q158">
        <v>0.4</v>
      </c>
      <c r="R158">
        <v>0.4</v>
      </c>
      <c r="S158" t="s">
        <v>280</v>
      </c>
    </row>
    <row r="159" spans="2:19" x14ac:dyDescent="0.25">
      <c r="B159" t="s">
        <v>271</v>
      </c>
      <c r="C159" t="s">
        <v>272</v>
      </c>
      <c r="D159" t="s">
        <v>273</v>
      </c>
      <c r="E159" t="s">
        <v>274</v>
      </c>
      <c r="F159" t="s">
        <v>275</v>
      </c>
      <c r="G159" t="s">
        <v>276</v>
      </c>
      <c r="H159" t="str">
        <f t="shared" si="11"/>
        <v>studies which report the relative available soil water content below which restricted water availability triggers plant senescence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59" t="str">
        <f t="shared" si="13"/>
        <v>water</v>
      </c>
      <c r="J159" t="str">
        <f t="shared" si="13"/>
        <v>H2OREF_SENESCENCE</v>
      </c>
      <c r="K159" t="str">
        <f t="shared" si="13"/>
        <v>relative available soil water content below which restricted water availability triggers plant senescence</v>
      </c>
      <c r="L159" t="str">
        <f t="shared" si="13"/>
        <v xml:space="preserve">a fraction </v>
      </c>
      <c r="M159">
        <f t="shared" si="10"/>
        <v>0</v>
      </c>
      <c r="N159">
        <f t="shared" si="9"/>
        <v>2</v>
      </c>
    </row>
    <row r="160" spans="2:19" x14ac:dyDescent="0.25">
      <c r="B160" t="s">
        <v>271</v>
      </c>
      <c r="C160" t="s">
        <v>272</v>
      </c>
      <c r="D160" t="s">
        <v>273</v>
      </c>
      <c r="E160" t="s">
        <v>274</v>
      </c>
      <c r="F160" t="s">
        <v>275</v>
      </c>
      <c r="G160" t="s">
        <v>276</v>
      </c>
      <c r="H160" t="str">
        <f t="shared" si="11"/>
        <v>studies which report the relative available soil water content at which stomata are fully closed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0" t="str">
        <f t="shared" si="13"/>
        <v>water</v>
      </c>
      <c r="J160" t="str">
        <f t="shared" si="13"/>
        <v>H2OREF_GS</v>
      </c>
      <c r="K160" t="str">
        <f t="shared" si="13"/>
        <v>relative available soil water content at which stomata are fully closed</v>
      </c>
      <c r="L160" t="str">
        <f t="shared" si="13"/>
        <v xml:space="preserve">a fraction </v>
      </c>
      <c r="M160">
        <f t="shared" si="10"/>
        <v>0</v>
      </c>
      <c r="N160">
        <f t="shared" si="9"/>
        <v>2</v>
      </c>
      <c r="O160">
        <v>0.4</v>
      </c>
      <c r="P160">
        <v>0.6</v>
      </c>
      <c r="Q160">
        <v>0.5</v>
      </c>
      <c r="R160">
        <v>0.5</v>
      </c>
      <c r="S160" t="s">
        <v>280</v>
      </c>
    </row>
    <row r="161" spans="2:19" x14ac:dyDescent="0.25">
      <c r="B161" t="s">
        <v>271</v>
      </c>
      <c r="C161" t="s">
        <v>272</v>
      </c>
      <c r="D161" t="s">
        <v>273</v>
      </c>
      <c r="E161" t="s">
        <v>274</v>
      </c>
      <c r="F161" t="s">
        <v>275</v>
      </c>
      <c r="G161" t="s">
        <v>276</v>
      </c>
      <c r="H161" t="str">
        <f t="shared" si="11"/>
        <v>studies which report the relative available soil water content below which flushing is affected by water
availability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61" t="str">
        <f t="shared" si="13"/>
        <v>water</v>
      </c>
      <c r="J161" t="str">
        <f t="shared" si="13"/>
        <v>H2OREF_FLUSHING</v>
      </c>
      <c r="K161" t="str">
        <f t="shared" si="13"/>
        <v>relative available soil water content below which flushing is affected by water
availability</v>
      </c>
      <c r="L161">
        <f t="shared" si="13"/>
        <v>0</v>
      </c>
      <c r="M161">
        <f t="shared" si="10"/>
        <v>0</v>
      </c>
      <c r="N161">
        <f t="shared" si="9"/>
        <v>2</v>
      </c>
      <c r="O161">
        <v>0.15</v>
      </c>
      <c r="P161">
        <v>0.35</v>
      </c>
      <c r="Q161">
        <v>0.2</v>
      </c>
      <c r="R161">
        <v>0.25</v>
      </c>
      <c r="S161" t="s">
        <v>96</v>
      </c>
    </row>
    <row r="162" spans="2:19" x14ac:dyDescent="0.25">
      <c r="B162" t="s">
        <v>271</v>
      </c>
      <c r="C162" t="s">
        <v>272</v>
      </c>
      <c r="D162" t="s">
        <v>273</v>
      </c>
      <c r="E162" t="s">
        <v>274</v>
      </c>
      <c r="F162" t="s">
        <v>275</v>
      </c>
      <c r="G162" t="s">
        <v>276</v>
      </c>
      <c r="H162" t="str">
        <f t="shared" si="11"/>
        <v>studies which report the relative available soil water content below which leaf growth is affected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62" t="str">
        <f t="shared" si="13"/>
        <v>water</v>
      </c>
      <c r="J162" t="str">
        <f t="shared" si="13"/>
        <v>H2OREF_LEAF_GROWTH</v>
      </c>
      <c r="K162" t="str">
        <f t="shared" si="13"/>
        <v>relative available soil water content below which leaf growth is affected</v>
      </c>
      <c r="L162">
        <f t="shared" si="13"/>
        <v>0</v>
      </c>
      <c r="M162">
        <f t="shared" si="10"/>
        <v>0</v>
      </c>
      <c r="N162">
        <f t="shared" si="9"/>
        <v>2</v>
      </c>
      <c r="O162">
        <v>0.2</v>
      </c>
      <c r="P162">
        <v>0.5</v>
      </c>
      <c r="Q162">
        <v>0.35</v>
      </c>
      <c r="R162">
        <v>0.35</v>
      </c>
      <c r="S162" t="s">
        <v>281</v>
      </c>
    </row>
    <row r="163" spans="2:19" x14ac:dyDescent="0.25">
      <c r="B163" t="s">
        <v>271</v>
      </c>
      <c r="C163" t="s">
        <v>272</v>
      </c>
      <c r="D163" t="s">
        <v>273</v>
      </c>
      <c r="E163" t="s">
        <v>274</v>
      </c>
      <c r="F163" t="s">
        <v>275</v>
      </c>
      <c r="G163" t="s">
        <v>276</v>
      </c>
      <c r="H163" t="str">
        <f t="shared" si="11"/>
        <v>studies which report the maximum stomatal conductivity  as millimols of h2o per square meter per second  (mmol H2O m^(-2) s^(-1)) , and the values reported therein, of Vachellia drepanolobium ( whistling thorn)  under semi-arid environments. If no data for this species exists, please default first to other species of the genus Vachellia  and then the SUBfamily Mimosoideae    and then the tribe Acacieae.</v>
      </c>
      <c r="I163" t="str">
        <f t="shared" si="13"/>
        <v>water</v>
      </c>
      <c r="J163" t="str">
        <f t="shared" si="13"/>
        <v>GSMAX</v>
      </c>
      <c r="K163" t="str">
        <f t="shared" si="13"/>
        <v xml:space="preserve">maximum stomatal conductivity </v>
      </c>
      <c r="L163" t="str">
        <f t="shared" si="13"/>
        <v>millimols of h2o per square meter per second</v>
      </c>
      <c r="M163" t="str">
        <f t="shared" si="10"/>
        <v>mmol H2O m^(-2) s^(-1)</v>
      </c>
      <c r="N163">
        <f t="shared" si="9"/>
        <v>1</v>
      </c>
      <c r="O163">
        <v>330</v>
      </c>
      <c r="P163">
        <v>420</v>
      </c>
      <c r="Q163">
        <v>375</v>
      </c>
      <c r="R163">
        <v>375</v>
      </c>
      <c r="S163" t="s">
        <v>282</v>
      </c>
    </row>
    <row r="164" spans="2:19" x14ac:dyDescent="0.25">
      <c r="B164" t="s">
        <v>271</v>
      </c>
      <c r="C164" t="s">
        <v>272</v>
      </c>
      <c r="D164" t="s">
        <v>273</v>
      </c>
      <c r="E164" t="s">
        <v>274</v>
      </c>
      <c r="F164" t="s">
        <v>275</v>
      </c>
      <c r="G164" t="s">
        <v>276</v>
      </c>
      <c r="H164" t="str">
        <f t="shared" si="11"/>
        <v>studies which report the minimum stomatal conductivity  as millimols of h2o per square meter per second  (mmol H2O m^(-2) s^(-1)) , and the values reported therein, of Vachellia drepanolobium ( whistling thorn)  under semi-arid environments. If no data for this species exists, please default first to other species of the genus Vachellia  and then the SUBfamily Mimosoideae    and then the tribe Acacieae.</v>
      </c>
      <c r="I164" t="str">
        <f t="shared" si="13"/>
        <v>water</v>
      </c>
      <c r="J164" t="str">
        <f t="shared" si="13"/>
        <v>GSMIN</v>
      </c>
      <c r="K164" t="str">
        <f t="shared" si="13"/>
        <v xml:space="preserve">minimum stomatal conductivity </v>
      </c>
      <c r="L164" t="str">
        <f t="shared" si="13"/>
        <v>millimols of h2o per square meter per second</v>
      </c>
      <c r="M164" t="str">
        <f t="shared" si="10"/>
        <v>mmol H2O m^(-2) s^(-1)</v>
      </c>
      <c r="N164">
        <f t="shared" si="9"/>
        <v>1</v>
      </c>
      <c r="O164">
        <v>1</v>
      </c>
      <c r="P164">
        <v>10</v>
      </c>
      <c r="Q164">
        <v>5.5</v>
      </c>
      <c r="R164">
        <v>5.5</v>
      </c>
      <c r="S164" t="s">
        <v>283</v>
      </c>
    </row>
    <row r="165" spans="2:19" x14ac:dyDescent="0.25">
      <c r="B165" t="s">
        <v>271</v>
      </c>
      <c r="C165" t="s">
        <v>272</v>
      </c>
      <c r="D165" t="s">
        <v>273</v>
      </c>
      <c r="E165" t="s">
        <v>274</v>
      </c>
      <c r="F165" t="s">
        <v>275</v>
      </c>
      <c r="G165" t="s">
        <v>276</v>
      </c>
      <c r="H165" t="str">
        <f t="shared" si="11"/>
        <v>studies which report the Biomass fraction of foliage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5" t="str">
        <f t="shared" si="13"/>
        <v>biomass</v>
      </c>
      <c r="J165" t="str">
        <f t="shared" si="13"/>
        <v>FRACTION_FOLIAGE</v>
      </c>
      <c r="K165" t="str">
        <f t="shared" si="13"/>
        <v>Biomass fraction of foliage at maturity.</v>
      </c>
      <c r="L165" t="str">
        <f t="shared" si="13"/>
        <v>fraction</v>
      </c>
      <c r="M165">
        <f t="shared" si="10"/>
        <v>0</v>
      </c>
      <c r="N165">
        <f t="shared" si="9"/>
        <v>2</v>
      </c>
      <c r="O165">
        <v>0.1</v>
      </c>
      <c r="P165">
        <v>0.15</v>
      </c>
      <c r="Q165">
        <v>0.125</v>
      </c>
      <c r="R165">
        <v>0.125</v>
      </c>
      <c r="S165" t="s">
        <v>282</v>
      </c>
    </row>
    <row r="166" spans="2:19" x14ac:dyDescent="0.25">
      <c r="B166" t="s">
        <v>271</v>
      </c>
      <c r="C166" t="s">
        <v>272</v>
      </c>
      <c r="D166" t="s">
        <v>273</v>
      </c>
      <c r="E166" t="s">
        <v>274</v>
      </c>
      <c r="F166" t="s">
        <v>275</v>
      </c>
      <c r="G166" t="s">
        <v>276</v>
      </c>
      <c r="H166" t="str">
        <f t="shared" si="11"/>
        <v>studies which report the Biomass fraction of roots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6" t="str">
        <f t="shared" si="13"/>
        <v>biomass</v>
      </c>
      <c r="J166" t="str">
        <f t="shared" si="13"/>
        <v>FRACTION_ROOT</v>
      </c>
      <c r="K166" t="str">
        <f t="shared" si="13"/>
        <v>Biomass fraction of roots at maturity</v>
      </c>
      <c r="L166" t="str">
        <f t="shared" si="13"/>
        <v>fraction</v>
      </c>
      <c r="M166">
        <f t="shared" si="10"/>
        <v>0</v>
      </c>
      <c r="N166">
        <f t="shared" si="9"/>
        <v>2</v>
      </c>
      <c r="O166">
        <v>0.4</v>
      </c>
      <c r="P166">
        <v>0.55000000000000004</v>
      </c>
      <c r="Q166">
        <v>0.47499999999999998</v>
      </c>
      <c r="R166">
        <v>0.47499999999999998</v>
      </c>
      <c r="S166" t="s">
        <v>282</v>
      </c>
    </row>
    <row r="167" spans="2:19" x14ac:dyDescent="0.25">
      <c r="B167" t="s">
        <v>271</v>
      </c>
      <c r="C167" t="s">
        <v>272</v>
      </c>
      <c r="D167" t="s">
        <v>273</v>
      </c>
      <c r="E167" t="s">
        <v>274</v>
      </c>
      <c r="F167" t="s">
        <v>275</v>
      </c>
      <c r="G167" t="s">
        <v>276</v>
      </c>
      <c r="H167" t="str">
        <f t="shared" si="11"/>
        <v>studies which report the Biomass fraction of fruit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7" t="str">
        <f t="shared" si="13"/>
        <v>biomass</v>
      </c>
      <c r="J167" t="str">
        <f t="shared" si="13"/>
        <v>FRACTION_FRUIT</v>
      </c>
      <c r="K167" t="str">
        <f t="shared" si="13"/>
        <v>Biomass fraction of fruit at maturity.</v>
      </c>
      <c r="L167" t="str">
        <f t="shared" si="13"/>
        <v>fraction</v>
      </c>
      <c r="M167">
        <f t="shared" si="10"/>
        <v>0</v>
      </c>
      <c r="N167">
        <f t="shared" si="9"/>
        <v>2</v>
      </c>
    </row>
    <row r="168" spans="2:19" x14ac:dyDescent="0.25">
      <c r="B168" t="s">
        <v>271</v>
      </c>
      <c r="C168" t="s">
        <v>272</v>
      </c>
      <c r="D168" t="s">
        <v>273</v>
      </c>
      <c r="E168" t="s">
        <v>274</v>
      </c>
      <c r="F168" t="s">
        <v>275</v>
      </c>
      <c r="G168" t="s">
        <v>276</v>
      </c>
      <c r="H168" t="str">
        <f t="shared" si="11"/>
        <v>studies which report the Maximum relative growth rate for foliage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8" t="str">
        <f t="shared" si="13"/>
        <v>biomass</v>
      </c>
      <c r="J168" t="str">
        <f t="shared" si="13"/>
        <v>FOLRELGROMAX</v>
      </c>
      <c r="K168" t="str">
        <f t="shared" si="13"/>
        <v>Maximum relative growth rate for foliage</v>
      </c>
      <c r="L168" t="str">
        <f t="shared" si="13"/>
        <v xml:space="preserve">fraction </v>
      </c>
      <c r="M168">
        <f t="shared" si="10"/>
        <v>0</v>
      </c>
      <c r="N168">
        <f t="shared" si="9"/>
        <v>2</v>
      </c>
    </row>
    <row r="169" spans="2:19" x14ac:dyDescent="0.25">
      <c r="B169" t="s">
        <v>271</v>
      </c>
      <c r="C169" t="s">
        <v>272</v>
      </c>
      <c r="D169" t="s">
        <v>273</v>
      </c>
      <c r="E169" t="s">
        <v>274</v>
      </c>
      <c r="F169" t="s">
        <v>275</v>
      </c>
      <c r="G169" t="s">
        <v>276</v>
      </c>
      <c r="H169" t="str">
        <f t="shared" si="11"/>
        <v>studies which report the Foliage biomass under optimal, closed canopy condition (kg m-2) as kg per square meter  (kg m^-2) , and the values reported therein, of Vachellia drepanolobium ( whistling thorn)  under semi-arid environments. If no data for this species exists, please default first to other species of the genus Vachellia  and then the SUBfamily Mimosoideae    and then the tribe Acacieae.</v>
      </c>
      <c r="I169" t="str">
        <f t="shared" si="13"/>
        <v>biomass</v>
      </c>
      <c r="J169" t="str">
        <f t="shared" si="13"/>
        <v>MFOLOPT</v>
      </c>
      <c r="K169" t="str">
        <f t="shared" si="13"/>
        <v>Foliage biomass under optimal, closed canopy condition (kg m-2)</v>
      </c>
      <c r="L169" t="str">
        <f t="shared" si="13"/>
        <v>kg per square meter</v>
      </c>
      <c r="M169" t="str">
        <f t="shared" si="10"/>
        <v>kg m^-2</v>
      </c>
      <c r="N169">
        <f t="shared" si="9"/>
        <v>2</v>
      </c>
      <c r="O169">
        <v>0.25</v>
      </c>
      <c r="P169">
        <v>0.36</v>
      </c>
      <c r="Q169">
        <v>0.30499999999999999</v>
      </c>
      <c r="R169">
        <v>0.30499999999999999</v>
      </c>
      <c r="S169" t="s">
        <v>284</v>
      </c>
    </row>
    <row r="170" spans="2:19" x14ac:dyDescent="0.25">
      <c r="B170" t="s">
        <v>271</v>
      </c>
      <c r="C170" t="s">
        <v>272</v>
      </c>
      <c r="D170" t="s">
        <v>273</v>
      </c>
      <c r="E170" t="s">
        <v>274</v>
      </c>
      <c r="F170" t="s">
        <v>275</v>
      </c>
      <c r="G170" t="s">
        <v>276</v>
      </c>
      <c r="H170" t="str">
        <f t="shared" si="11"/>
        <v>studies which report the Specific interception capacity of foliage  as meters per square meter of LAI  (m m^-2 LAI) , and the values reported therein, of Vachellia drepanolobium ( whistling thorn)  under semi-arid environments. If no data for this species exists, please default first to other species of the genus Vachellia  and then the SUBfamily Mimosoideae    and then the tribe Acacieae.</v>
      </c>
      <c r="I170" t="str">
        <f t="shared" ref="I170:L189" si="14">I123</f>
        <v>light &amp; photosynthesis</v>
      </c>
      <c r="J170" t="str">
        <f t="shared" si="14"/>
        <v>MWFM</v>
      </c>
      <c r="K170" t="str">
        <f t="shared" si="14"/>
        <v xml:space="preserve">Specific interception capacity of foliage </v>
      </c>
      <c r="L170" t="str">
        <f t="shared" si="14"/>
        <v>meters per square meter of LAI</v>
      </c>
      <c r="M170" t="str">
        <f t="shared" si="10"/>
        <v>m m^-2 LAI</v>
      </c>
      <c r="N170">
        <f t="shared" si="9"/>
        <v>5</v>
      </c>
    </row>
    <row r="171" spans="2:19" x14ac:dyDescent="0.25">
      <c r="B171" t="s">
        <v>271</v>
      </c>
      <c r="C171" t="s">
        <v>272</v>
      </c>
      <c r="D171" t="s">
        <v>273</v>
      </c>
      <c r="E171" t="s">
        <v>274</v>
      </c>
      <c r="F171" t="s">
        <v>275</v>
      </c>
      <c r="G171" t="s">
        <v>276</v>
      </c>
      <c r="H171" t="str">
        <f t="shared" si="11"/>
        <v>studies which report the maximal net photosynthesis as nanomols of CO2 per gram per second  (0) , and the values reported therein, of Vachellia drepanolobium ( whistling thorn)  under semi-arid environments. If no data for this species exists, please default first to other species of the genus Vachellia  and then the SUBfamily Mimosoideae    and then the tribe Acacieae.</v>
      </c>
      <c r="I171" t="str">
        <f t="shared" si="14"/>
        <v>light &amp; photosynthesis</v>
      </c>
      <c r="J171" t="str">
        <f t="shared" si="14"/>
        <v>AMAXB</v>
      </c>
      <c r="K171" t="str">
        <f t="shared" si="14"/>
        <v>maximal net photosynthesis</v>
      </c>
      <c r="L171" t="str">
        <f t="shared" si="14"/>
        <v>nanomols of CO2 per gram per second</v>
      </c>
      <c r="M171">
        <f t="shared" si="10"/>
        <v>0</v>
      </c>
      <c r="N171">
        <f t="shared" si="9"/>
        <v>2</v>
      </c>
      <c r="O171">
        <v>14</v>
      </c>
      <c r="P171">
        <v>16</v>
      </c>
      <c r="Q171">
        <v>15</v>
      </c>
      <c r="R171">
        <v>15</v>
      </c>
      <c r="S171" t="s">
        <v>278</v>
      </c>
    </row>
    <row r="172" spans="2:19" x14ac:dyDescent="0.25">
      <c r="B172" t="s">
        <v>271</v>
      </c>
      <c r="C172" t="s">
        <v>272</v>
      </c>
      <c r="D172" t="s">
        <v>273</v>
      </c>
      <c r="E172" t="s">
        <v>274</v>
      </c>
      <c r="F172" t="s">
        <v>275</v>
      </c>
      <c r="G172" t="s">
        <v>276</v>
      </c>
      <c r="H172" t="str">
        <f t="shared" si="11"/>
        <v>studies which report the specific leaf area in the shade as square meters per kilogram  (m^2 kg^-1) , and the values reported therein, of Vachellia drepanolobium ( whistling thorn)  under semi-arid environments. If no data for this species exists, please default first to other species of the genus Vachellia  and then the SUBfamily Mimosoideae    and then the tribe Acacieae.</v>
      </c>
      <c r="I172" t="str">
        <f t="shared" si="14"/>
        <v>light &amp; photosynthesis</v>
      </c>
      <c r="J172" t="str">
        <f t="shared" si="14"/>
        <v>SLAMAX</v>
      </c>
      <c r="K172" t="str">
        <f t="shared" si="14"/>
        <v>specific leaf area in the shade</v>
      </c>
      <c r="L172" t="str">
        <f t="shared" si="14"/>
        <v>square meters per kilogram</v>
      </c>
      <c r="M172" t="str">
        <f t="shared" si="10"/>
        <v>m^2 kg^-1</v>
      </c>
      <c r="N172">
        <f t="shared" si="9"/>
        <v>1</v>
      </c>
      <c r="O172">
        <v>11.2</v>
      </c>
      <c r="P172">
        <v>11.2</v>
      </c>
      <c r="Q172">
        <v>11.2</v>
      </c>
      <c r="R172">
        <v>11.2</v>
      </c>
      <c r="S172" t="s">
        <v>285</v>
      </c>
    </row>
    <row r="173" spans="2:19" x14ac:dyDescent="0.25">
      <c r="B173" t="s">
        <v>271</v>
      </c>
      <c r="C173" t="s">
        <v>272</v>
      </c>
      <c r="D173" t="s">
        <v>273</v>
      </c>
      <c r="E173" t="s">
        <v>274</v>
      </c>
      <c r="F173" t="s">
        <v>275</v>
      </c>
      <c r="G173" t="s">
        <v>276</v>
      </c>
      <c r="H173" t="str">
        <f t="shared" si="11"/>
        <v>studies which report the specific leaf area under full sun as square meters per kilogram  (m^2 kg^-1) , and the values reported therein, of Vachellia drepanolobium ( whistling thorn)  under semi-arid environments. If no data for this species exists, please default first to other species of the genus Vachellia  and then the SUBfamily Mimosoideae    and then the tribe Acacieae.</v>
      </c>
      <c r="I173" t="str">
        <f t="shared" si="14"/>
        <v>light &amp; photosynthesis</v>
      </c>
      <c r="J173" t="str">
        <f t="shared" si="14"/>
        <v>SLAMIN</v>
      </c>
      <c r="K173" t="str">
        <f t="shared" si="14"/>
        <v>specific leaf area under full sun</v>
      </c>
      <c r="L173" t="str">
        <f t="shared" si="14"/>
        <v>square meters per kilogram</v>
      </c>
      <c r="M173" t="str">
        <f t="shared" si="10"/>
        <v>m^2 kg^-1</v>
      </c>
      <c r="N173">
        <f t="shared" si="9"/>
        <v>1</v>
      </c>
      <c r="O173">
        <v>8.9</v>
      </c>
      <c r="P173">
        <v>8.9</v>
      </c>
      <c r="Q173">
        <v>8.9</v>
      </c>
      <c r="R173">
        <v>8.9</v>
      </c>
      <c r="S173" t="s">
        <v>286</v>
      </c>
    </row>
    <row r="174" spans="2:19" x14ac:dyDescent="0.25">
      <c r="B174" t="s">
        <v>271</v>
      </c>
      <c r="C174" t="s">
        <v>272</v>
      </c>
      <c r="D174" t="s">
        <v>273</v>
      </c>
      <c r="E174" t="s">
        <v>274</v>
      </c>
      <c r="F174" t="s">
        <v>275</v>
      </c>
      <c r="G174" t="s">
        <v>276</v>
      </c>
      <c r="H174" t="str">
        <f t="shared" si="11"/>
        <v>studies which report the Time interval necessary to complete growth of new foliage as days  (0) , and the values reported therein, of Vachellia drepanolobium ( whistling thorn)  under semi-arid environments. If no data for this species exists, please default first to other species of the genus Vachellia  and then the SUBfamily Mimosoideae    and then the tribe Acacieae.</v>
      </c>
      <c r="I174" t="str">
        <f t="shared" si="14"/>
        <v>phenology</v>
      </c>
      <c r="J174" t="str">
        <f t="shared" si="14"/>
        <v>NDFLUSH</v>
      </c>
      <c r="K174" t="str">
        <f t="shared" si="14"/>
        <v>Time interval necessary to complete growth of new foliage</v>
      </c>
      <c r="L174" t="str">
        <f t="shared" si="14"/>
        <v>days</v>
      </c>
      <c r="M174">
        <f t="shared" si="10"/>
        <v>0</v>
      </c>
      <c r="N174">
        <f t="shared" si="9"/>
        <v>0</v>
      </c>
      <c r="O174">
        <v>6</v>
      </c>
      <c r="P174">
        <v>14</v>
      </c>
      <c r="Q174">
        <v>10</v>
      </c>
      <c r="R174">
        <v>10</v>
      </c>
      <c r="S174" t="s">
        <v>287</v>
      </c>
    </row>
    <row r="175" spans="2:19" x14ac:dyDescent="0.25">
      <c r="B175" t="s">
        <v>271</v>
      </c>
      <c r="C175" t="s">
        <v>272</v>
      </c>
      <c r="D175" t="s">
        <v>273</v>
      </c>
      <c r="E175" t="s">
        <v>274</v>
      </c>
      <c r="F175" t="s">
        <v>275</v>
      </c>
      <c r="G175" t="s">
        <v>276</v>
      </c>
      <c r="H175" t="str">
        <f t="shared" si="11"/>
        <v>studies which report the duration of senescence  as days  (0) , and the values reported therein, of Vachellia drepanolobium ( whistling thorn)  under semi-arid environments. If no data for this species exists, please default first to other species of the genus Vachellia  and then the SUBfamily Mimosoideae    and then the tribe Acacieae.</v>
      </c>
      <c r="I175" t="str">
        <f t="shared" si="14"/>
        <v>phenology</v>
      </c>
      <c r="J175" t="str">
        <f t="shared" si="14"/>
        <v>NDMORTA</v>
      </c>
      <c r="K175" t="str">
        <f t="shared" si="14"/>
        <v xml:space="preserve">duration of senescence </v>
      </c>
      <c r="L175" t="str">
        <f t="shared" si="14"/>
        <v>days</v>
      </c>
      <c r="M175">
        <f t="shared" si="10"/>
        <v>0</v>
      </c>
      <c r="N175">
        <f t="shared" si="9"/>
        <v>0</v>
      </c>
      <c r="O175">
        <v>90</v>
      </c>
      <c r="P175">
        <v>120</v>
      </c>
      <c r="Q175">
        <v>105</v>
      </c>
      <c r="R175">
        <v>105</v>
      </c>
      <c r="S175" t="s">
        <v>288</v>
      </c>
    </row>
    <row r="176" spans="2:19" x14ac:dyDescent="0.25">
      <c r="B176" t="s">
        <v>271</v>
      </c>
      <c r="C176" t="s">
        <v>272</v>
      </c>
      <c r="D176" t="s">
        <v>273</v>
      </c>
      <c r="E176" t="s">
        <v>274</v>
      </c>
      <c r="F176" t="s">
        <v>275</v>
      </c>
      <c r="G176" t="s">
        <v>276</v>
      </c>
      <c r="H176" t="str">
        <f t="shared" si="11"/>
        <v>studies which report the base temperature for growing degree days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76" t="str">
        <f t="shared" si="14"/>
        <v>phenology</v>
      </c>
      <c r="J176" t="str">
        <f t="shared" si="14"/>
        <v>GDD_BASE_TEMPERATURE</v>
      </c>
      <c r="K176" t="str">
        <f t="shared" si="14"/>
        <v>base temperature for growing degree days</v>
      </c>
      <c r="L176">
        <f t="shared" si="14"/>
        <v>0</v>
      </c>
      <c r="M176">
        <f t="shared" si="10"/>
        <v>0</v>
      </c>
      <c r="N176">
        <f t="shared" si="9"/>
        <v>0</v>
      </c>
      <c r="O176">
        <v>10</v>
      </c>
      <c r="P176">
        <v>10</v>
      </c>
      <c r="Q176">
        <v>10</v>
      </c>
      <c r="R176">
        <v>10</v>
      </c>
      <c r="S176" t="s">
        <v>289</v>
      </c>
    </row>
    <row r="177" spans="2:19" x14ac:dyDescent="0.25">
      <c r="B177" t="s">
        <v>271</v>
      </c>
      <c r="C177" t="s">
        <v>272</v>
      </c>
      <c r="D177" t="s">
        <v>273</v>
      </c>
      <c r="E177" t="s">
        <v>274</v>
      </c>
      <c r="F177" t="s">
        <v>275</v>
      </c>
      <c r="G177" t="s">
        <v>276</v>
      </c>
      <c r="H177" t="str">
        <f t="shared" si="11"/>
        <v>studies which report the growing degree days until beginning of emergence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7" t="str">
        <f t="shared" si="14"/>
        <v>phenology</v>
      </c>
      <c r="J177" t="str">
        <f t="shared" si="14"/>
        <v>GDD_EMERG</v>
      </c>
      <c r="K177" t="str">
        <f t="shared" si="14"/>
        <v>growing degree days until beginning of emergence</v>
      </c>
      <c r="L177" t="str">
        <f t="shared" si="14"/>
        <v>days</v>
      </c>
      <c r="M177" t="str">
        <f t="shared" si="10"/>
        <v>GDD</v>
      </c>
      <c r="N177">
        <f t="shared" si="9"/>
        <v>0</v>
      </c>
    </row>
    <row r="178" spans="2:19" x14ac:dyDescent="0.25">
      <c r="B178" t="s">
        <v>271</v>
      </c>
      <c r="C178" t="s">
        <v>272</v>
      </c>
      <c r="D178" t="s">
        <v>273</v>
      </c>
      <c r="E178" t="s">
        <v>274</v>
      </c>
      <c r="F178" t="s">
        <v>275</v>
      </c>
      <c r="G178" t="s">
        <v>276</v>
      </c>
      <c r="H178" t="str">
        <f t="shared" si="11"/>
        <v>studies which report the growing degree days until maturity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8" t="str">
        <f t="shared" si="14"/>
        <v>phenology</v>
      </c>
      <c r="J178" t="str">
        <f t="shared" si="14"/>
        <v>GDD_MATURITY</v>
      </c>
      <c r="K178" t="str">
        <f t="shared" si="14"/>
        <v>growing degree days until maturity</v>
      </c>
      <c r="L178" t="str">
        <f t="shared" si="14"/>
        <v>days</v>
      </c>
      <c r="M178" t="str">
        <f t="shared" si="10"/>
        <v>GDD</v>
      </c>
      <c r="N178">
        <f t="shared" ref="N178:N241" si="15">N131</f>
        <v>0</v>
      </c>
    </row>
    <row r="179" spans="2:19" x14ac:dyDescent="0.25">
      <c r="B179" t="s">
        <v>271</v>
      </c>
      <c r="C179" t="s">
        <v>272</v>
      </c>
      <c r="D179" t="s">
        <v>273</v>
      </c>
      <c r="E179" t="s">
        <v>274</v>
      </c>
      <c r="F179" t="s">
        <v>275</v>
      </c>
      <c r="G179" t="s">
        <v>276</v>
      </c>
      <c r="H179" t="str">
        <f t="shared" si="11"/>
        <v>studies which report the growing degree days until begin of stem elongation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9" t="str">
        <f t="shared" si="14"/>
        <v>phenology</v>
      </c>
      <c r="J179" t="str">
        <f t="shared" si="14"/>
        <v>GDD_STEM_ELONGATION</v>
      </c>
      <c r="K179" t="str">
        <f t="shared" si="14"/>
        <v>growing degree days until begin of stem elongation</v>
      </c>
      <c r="L179" t="str">
        <f t="shared" si="14"/>
        <v>days</v>
      </c>
      <c r="M179" t="str">
        <f t="shared" ref="M179:M242" si="16">M132</f>
        <v>GDD</v>
      </c>
      <c r="N179">
        <f t="shared" si="15"/>
        <v>0</v>
      </c>
    </row>
    <row r="180" spans="2:19" x14ac:dyDescent="0.25">
      <c r="B180" t="s">
        <v>271</v>
      </c>
      <c r="C180" t="s">
        <v>272</v>
      </c>
      <c r="D180" t="s">
        <v>273</v>
      </c>
      <c r="E180" t="s">
        <v>274</v>
      </c>
      <c r="F180" t="s">
        <v>275</v>
      </c>
      <c r="H180" t="str">
        <f t="shared" si="11"/>
        <v>studies which report the growing degree days until downwards root growth ceases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0" t="str">
        <f t="shared" si="14"/>
        <v>phenology</v>
      </c>
      <c r="J180" t="str">
        <f t="shared" si="14"/>
        <v>GDD_ROOTS_GROWN</v>
      </c>
      <c r="K180" t="str">
        <f t="shared" si="14"/>
        <v>growing degree days until downwards root growth ceases</v>
      </c>
      <c r="L180" t="str">
        <f t="shared" si="14"/>
        <v>growing degree days</v>
      </c>
      <c r="M180" t="str">
        <f t="shared" si="16"/>
        <v>GDD</v>
      </c>
      <c r="N180">
        <f t="shared" si="15"/>
        <v>0</v>
      </c>
      <c r="O180">
        <v>1400</v>
      </c>
      <c r="P180">
        <v>1400</v>
      </c>
      <c r="Q180">
        <v>1400</v>
      </c>
      <c r="R180">
        <v>1400</v>
      </c>
      <c r="S180" t="s">
        <v>228</v>
      </c>
    </row>
    <row r="181" spans="2:19" x14ac:dyDescent="0.25">
      <c r="B181" t="s">
        <v>271</v>
      </c>
      <c r="C181" t="s">
        <v>272</v>
      </c>
      <c r="D181" t="s">
        <v>273</v>
      </c>
      <c r="E181" t="s">
        <v>274</v>
      </c>
      <c r="F181" t="s">
        <v>275</v>
      </c>
      <c r="H181" t="str">
        <f t="shared" si="11"/>
        <v>studies which report the minimum temperature sum for foliage activity onset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1" t="str">
        <f t="shared" si="14"/>
        <v>phenology</v>
      </c>
      <c r="J181" t="str">
        <f t="shared" si="14"/>
        <v>GDDFOLSTART</v>
      </c>
      <c r="K181" t="str">
        <f t="shared" si="14"/>
        <v>minimum temperature sum for foliage activity onset</v>
      </c>
      <c r="L181" t="str">
        <f t="shared" si="14"/>
        <v>growing degree days</v>
      </c>
      <c r="M181" t="str">
        <f t="shared" si="16"/>
        <v>GDD</v>
      </c>
      <c r="N181">
        <f t="shared" si="15"/>
        <v>0</v>
      </c>
    </row>
    <row r="182" spans="2:19" x14ac:dyDescent="0.25">
      <c r="B182" t="s">
        <v>271</v>
      </c>
      <c r="C182" t="s">
        <v>272</v>
      </c>
      <c r="D182" t="s">
        <v>273</v>
      </c>
      <c r="E182" t="s">
        <v>274</v>
      </c>
      <c r="F182" t="s">
        <v>275</v>
      </c>
      <c r="H182" t="str">
        <f t="shared" si="11"/>
        <v>studies which report the growing degree days to complete foliar production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2" t="str">
        <f t="shared" si="14"/>
        <v>phenology</v>
      </c>
      <c r="J182" t="str">
        <f t="shared" si="14"/>
        <v>GDDFOLEND</v>
      </c>
      <c r="K182" t="str">
        <f t="shared" si="14"/>
        <v>growing degree days to complete foliar production</v>
      </c>
      <c r="L182" t="str">
        <f t="shared" si="14"/>
        <v>growing degree days</v>
      </c>
      <c r="M182" t="str">
        <f t="shared" si="16"/>
        <v>GDD</v>
      </c>
      <c r="N182">
        <f t="shared" si="15"/>
        <v>0</v>
      </c>
    </row>
    <row r="183" spans="2:19" x14ac:dyDescent="0.25">
      <c r="B183" t="s">
        <v>271</v>
      </c>
      <c r="C183" t="s">
        <v>272</v>
      </c>
      <c r="D183" t="s">
        <v>273</v>
      </c>
      <c r="E183" t="s">
        <v>274</v>
      </c>
      <c r="F183" t="s">
        <v>275</v>
      </c>
      <c r="H183" t="str">
        <f t="shared" si="11"/>
        <v>studies which report the potential nitrogen fixation rate per plant dry matter tissue and day as kg N per kg DM per day  (kg N/kg DM/day) , and the values reported therein, of Vachellia drepanolobium ( whistling thorn)  under semi-arid environments. If no data for this species exists, please default first to other species of the genus Vachellia  and then the SUBfamily Mimosoideae    and then the tribe Acacieae.</v>
      </c>
      <c r="I183" t="str">
        <f t="shared" si="14"/>
        <v>nitrogen</v>
      </c>
      <c r="J183" t="str">
        <f t="shared" si="14"/>
        <v>NFIX_RATE</v>
      </c>
      <c r="K183" t="str">
        <f t="shared" si="14"/>
        <v>potential nitrogen fixation rate per plant dry matter tissue and day</v>
      </c>
      <c r="L183" t="str">
        <f t="shared" si="14"/>
        <v>kg N per kg DM per day</v>
      </c>
      <c r="M183" t="str">
        <f t="shared" si="16"/>
        <v>kg N/kg DM/day</v>
      </c>
      <c r="N183">
        <f t="shared" si="15"/>
        <v>3</v>
      </c>
    </row>
    <row r="184" spans="2:19" x14ac:dyDescent="0.25">
      <c r="B184" t="s">
        <v>271</v>
      </c>
      <c r="C184" t="s">
        <v>272</v>
      </c>
      <c r="D184" t="s">
        <v>273</v>
      </c>
      <c r="E184" t="s">
        <v>274</v>
      </c>
      <c r="F184" t="s">
        <v>275</v>
      </c>
      <c r="H184" t="str">
        <f t="shared" si="11"/>
        <v>studies which report the Optimum nitrogen concentration of foliage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4" t="str">
        <f t="shared" si="14"/>
        <v>nitrogen</v>
      </c>
      <c r="J184" t="str">
        <f t="shared" si="14"/>
        <v>NCFOLOPT</v>
      </c>
      <c r="K184" t="str">
        <f t="shared" si="14"/>
        <v>Optimum nitrogen concentration of foliage</v>
      </c>
      <c r="L184" t="str">
        <f t="shared" si="14"/>
        <v>kg per kg</v>
      </c>
      <c r="M184" t="str">
        <f t="shared" si="16"/>
        <v>kg/kg</v>
      </c>
      <c r="N184">
        <f t="shared" si="15"/>
        <v>2</v>
      </c>
    </row>
    <row r="185" spans="2:19" x14ac:dyDescent="0.25">
      <c r="B185" t="s">
        <v>271</v>
      </c>
      <c r="C185" t="s">
        <v>272</v>
      </c>
      <c r="D185" t="s">
        <v>273</v>
      </c>
      <c r="E185" t="s">
        <v>274</v>
      </c>
      <c r="F185" t="s">
        <v>275</v>
      </c>
      <c r="H185" t="str">
        <f t="shared" si="11"/>
        <v>studies which report the Maximum (optimum) nitrogen concentration of fine roots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5" t="str">
        <f t="shared" si="14"/>
        <v>nitrogen</v>
      </c>
      <c r="J185" t="str">
        <f t="shared" si="14"/>
        <v>NC_FINEROOTS_MAX</v>
      </c>
      <c r="K185" t="str">
        <f t="shared" si="14"/>
        <v>Maximum (optimum) nitrogen concentration of fine roots</v>
      </c>
      <c r="L185" t="str">
        <f t="shared" si="14"/>
        <v>kg per kg</v>
      </c>
      <c r="M185" t="str">
        <f t="shared" si="16"/>
        <v>kg/kg</v>
      </c>
      <c r="N185">
        <f t="shared" si="15"/>
        <v>2</v>
      </c>
    </row>
    <row r="186" spans="2:19" x14ac:dyDescent="0.25">
      <c r="B186" t="s">
        <v>271</v>
      </c>
      <c r="C186" t="s">
        <v>272</v>
      </c>
      <c r="D186" t="s">
        <v>273</v>
      </c>
      <c r="E186" t="s">
        <v>274</v>
      </c>
      <c r="F186" t="s">
        <v>275</v>
      </c>
      <c r="H186" t="str">
        <f t="shared" si="11"/>
        <v>studies which report the Minimum nitrogen concentration of fine roots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6" t="str">
        <f t="shared" si="14"/>
        <v>nitrogen</v>
      </c>
      <c r="J186" t="str">
        <f t="shared" si="14"/>
        <v>NC_FINEROOTS_MIN</v>
      </c>
      <c r="K186" t="str">
        <f t="shared" si="14"/>
        <v>Minimum nitrogen concentration of fine roots</v>
      </c>
      <c r="L186" t="str">
        <f t="shared" si="14"/>
        <v>kg per kg</v>
      </c>
      <c r="M186" t="str">
        <f t="shared" si="16"/>
        <v>kg/kg</v>
      </c>
      <c r="N186">
        <f t="shared" si="15"/>
        <v>2</v>
      </c>
    </row>
    <row r="187" spans="2:19" x14ac:dyDescent="0.25">
      <c r="B187" t="s">
        <v>271</v>
      </c>
      <c r="C187" t="s">
        <v>272</v>
      </c>
      <c r="D187" t="s">
        <v>273</v>
      </c>
      <c r="E187" t="s">
        <v>274</v>
      </c>
      <c r="F187" t="s">
        <v>275</v>
      </c>
      <c r="H187" t="str">
        <f t="shared" si="11"/>
        <v>studies which report the Optimum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7" t="str">
        <f t="shared" si="14"/>
        <v>nitrogen</v>
      </c>
      <c r="J187" t="str">
        <f t="shared" si="14"/>
        <v>NC_STRUCTURAL_TISSUE_MAX</v>
      </c>
      <c r="K187" t="str">
        <f t="shared" si="14"/>
        <v>Optimum nitrogen concentration of living structural tissue</v>
      </c>
      <c r="L187" t="str">
        <f t="shared" si="14"/>
        <v>kg per kg</v>
      </c>
      <c r="M187" t="str">
        <f t="shared" si="16"/>
        <v>kg/kg</v>
      </c>
      <c r="N187">
        <f t="shared" si="15"/>
        <v>2</v>
      </c>
    </row>
    <row r="188" spans="2:19" x14ac:dyDescent="0.25">
      <c r="B188" t="s">
        <v>271</v>
      </c>
      <c r="C188" t="s">
        <v>272</v>
      </c>
      <c r="D188" t="s">
        <v>273</v>
      </c>
      <c r="E188" t="s">
        <v>274</v>
      </c>
      <c r="F188" t="s">
        <v>275</v>
      </c>
      <c r="H188" t="str">
        <f t="shared" si="11"/>
        <v>studies which report the Minimum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8" t="str">
        <f t="shared" si="14"/>
        <v>nitrogen</v>
      </c>
      <c r="J188" t="str">
        <f t="shared" si="14"/>
        <v>NC_STRUCTURAL_TISSUE_MIN</v>
      </c>
      <c r="K188" t="str">
        <f t="shared" si="14"/>
        <v>Minimum nitrogen concentration of living structural tissue</v>
      </c>
      <c r="L188" t="str">
        <f t="shared" si="14"/>
        <v>kg per kg</v>
      </c>
      <c r="M188" t="str">
        <f t="shared" si="16"/>
        <v>kg/kg</v>
      </c>
      <c r="N188">
        <f t="shared" si="15"/>
        <v>2</v>
      </c>
    </row>
    <row r="189" spans="2:19" x14ac:dyDescent="0.25">
      <c r="B189" t="s">
        <v>271</v>
      </c>
      <c r="C189" t="s">
        <v>272</v>
      </c>
      <c r="D189" t="s">
        <v>273</v>
      </c>
      <c r="E189" t="s">
        <v>274</v>
      </c>
      <c r="F189" t="s">
        <v>275</v>
      </c>
      <c r="H189" t="str">
        <f t="shared" si="11"/>
        <v>studies which report the Ratio between fine root- and foliage biomass under standard conditions. as ratio  (0) , and the values reported therein, of Vachellia drepanolobium ( whistling thorn)  under semi-arid environments. If no data for this species exists, please default first to other species of the genus Vachellia  and then the SUBfamily Mimosoideae    and then the tribe Acacieae.</v>
      </c>
      <c r="I189" t="str">
        <f t="shared" si="14"/>
        <v>biomass</v>
      </c>
      <c r="J189" t="str">
        <f t="shared" si="14"/>
        <v>QRF</v>
      </c>
      <c r="K189" t="str">
        <f t="shared" si="14"/>
        <v>Ratio between fine root- and foliage biomass under standard conditions.</v>
      </c>
      <c r="L189" t="str">
        <f t="shared" si="14"/>
        <v>ratio</v>
      </c>
      <c r="M189">
        <f t="shared" si="16"/>
        <v>0</v>
      </c>
      <c r="N189">
        <f t="shared" si="15"/>
        <v>2</v>
      </c>
    </row>
    <row r="190" spans="2:19" x14ac:dyDescent="0.25">
      <c r="C190" t="s">
        <v>290</v>
      </c>
      <c r="D190" t="s">
        <v>291</v>
      </c>
      <c r="E190" t="s">
        <v>292</v>
      </c>
      <c r="F190" t="s">
        <v>293</v>
      </c>
      <c r="G190" t="s">
        <v>294</v>
      </c>
      <c r="H190" t="str">
        <f t="shared" si="11"/>
        <v>studies which report the Michaelis Menten constant for O2 at 25 degrees C as millimols per mol per mbar  (mmol mol-1 mbar-1) , and the values reported therein, of Indigofera volkensii ( )  under semi-arid environments. If no data for this species exists, please default first to other species of the genus Indigofera   and then the SUBfamily Faboideae  and then the tribe Indigofereae.</v>
      </c>
      <c r="I190" t="str">
        <f t="shared" ref="I190:L209" si="17">I143</f>
        <v>co2</v>
      </c>
      <c r="J190" t="str">
        <f t="shared" si="17"/>
        <v>KO25</v>
      </c>
      <c r="K190" t="str">
        <f t="shared" si="17"/>
        <v>Michaelis Menten constant for O2 at 25 degrees C</v>
      </c>
      <c r="L190" t="str">
        <f t="shared" si="17"/>
        <v>millimols per mol per mbar</v>
      </c>
      <c r="M190" t="str">
        <f t="shared" si="16"/>
        <v>mmol mol-1 mbar-1</v>
      </c>
      <c r="N190">
        <f t="shared" si="15"/>
        <v>2</v>
      </c>
      <c r="O190">
        <v>210</v>
      </c>
      <c r="P190">
        <v>300</v>
      </c>
      <c r="Q190">
        <v>278.39999999999998</v>
      </c>
      <c r="R190">
        <v>255</v>
      </c>
      <c r="S190" t="s">
        <v>277</v>
      </c>
    </row>
    <row r="191" spans="2:19" x14ac:dyDescent="0.25">
      <c r="C191" t="s">
        <v>290</v>
      </c>
      <c r="D191" t="s">
        <v>291</v>
      </c>
      <c r="E191" t="s">
        <v>292</v>
      </c>
      <c r="F191" t="s">
        <v>293</v>
      </c>
      <c r="G191" t="s">
        <v>294</v>
      </c>
      <c r="H191" t="e">
        <f t="shared" si="11"/>
        <v>#NAME?</v>
      </c>
      <c r="I191" t="str">
        <f t="shared" si="17"/>
        <v>co2</v>
      </c>
      <c r="J191" t="str">
        <f t="shared" si="17"/>
        <v>KM20</v>
      </c>
      <c r="K191" t="str">
        <f t="shared" si="17"/>
        <v>Maintenance coefficient at reference temperature</v>
      </c>
      <c r="L191" t="str">
        <f t="shared" si="17"/>
        <v>fraction</v>
      </c>
      <c r="M191" t="e">
        <f t="shared" si="16"/>
        <v>#NAME?</v>
      </c>
      <c r="N191">
        <f t="shared" si="15"/>
        <v>2</v>
      </c>
      <c r="O191">
        <v>0.01</v>
      </c>
      <c r="P191">
        <v>2.5000000000000001E-2</v>
      </c>
      <c r="Q191">
        <v>1.4999999999999999E-2</v>
      </c>
      <c r="R191">
        <v>1.7500000000000002E-2</v>
      </c>
      <c r="S191" t="s">
        <v>38</v>
      </c>
    </row>
    <row r="192" spans="2:19" x14ac:dyDescent="0.25">
      <c r="C192" t="s">
        <v>290</v>
      </c>
      <c r="D192" t="s">
        <v>291</v>
      </c>
      <c r="E192" t="s">
        <v>292</v>
      </c>
      <c r="F192" t="s">
        <v>293</v>
      </c>
      <c r="G192" t="s">
        <v>294</v>
      </c>
      <c r="H192" t="str">
        <f t="shared" si="11"/>
        <v>studies which report the Maximum RubP saturated rate of carboxylation at 25oC for sun leaves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192" t="str">
        <f t="shared" si="17"/>
        <v>co2</v>
      </c>
      <c r="J192" t="str">
        <f t="shared" si="17"/>
        <v>VCMAX25</v>
      </c>
      <c r="K192" t="str">
        <f t="shared" si="17"/>
        <v>Maximum RubP saturated rate of carboxylation at 25oC for sun leaves</v>
      </c>
      <c r="L192" t="str">
        <f t="shared" si="17"/>
        <v>micromols per square meter per second</v>
      </c>
      <c r="M192" t="str">
        <f t="shared" si="16"/>
        <v>umol m^-2 s^-1</v>
      </c>
      <c r="N192">
        <f t="shared" si="15"/>
        <v>2</v>
      </c>
      <c r="O192">
        <v>80</v>
      </c>
      <c r="P192">
        <v>110</v>
      </c>
      <c r="Q192">
        <v>95</v>
      </c>
      <c r="R192">
        <v>95</v>
      </c>
      <c r="S192" t="s">
        <v>295</v>
      </c>
    </row>
    <row r="193" spans="3:19" x14ac:dyDescent="0.25">
      <c r="C193" t="s">
        <v>290</v>
      </c>
      <c r="D193" t="s">
        <v>291</v>
      </c>
      <c r="E193" t="s">
        <v>292</v>
      </c>
      <c r="F193" t="s">
        <v>293</v>
      </c>
      <c r="G193" t="s">
        <v>294</v>
      </c>
      <c r="H193" t="str">
        <f t="shared" si="11"/>
        <v>studies which report the Activation energy for electron transport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3" t="str">
        <f t="shared" si="17"/>
        <v>co2</v>
      </c>
      <c r="J193" t="str">
        <f t="shared" si="17"/>
        <v>AEJM</v>
      </c>
      <c r="K193" t="str">
        <f t="shared" si="17"/>
        <v>Activation energy for electron transport</v>
      </c>
      <c r="L193" t="str">
        <f t="shared" si="17"/>
        <v>Joules per mol</v>
      </c>
      <c r="M193" t="str">
        <f t="shared" si="16"/>
        <v>J mol^-1</v>
      </c>
      <c r="N193">
        <f t="shared" si="15"/>
        <v>0</v>
      </c>
      <c r="O193">
        <v>37000</v>
      </c>
      <c r="P193">
        <v>50000</v>
      </c>
      <c r="Q193">
        <v>43540</v>
      </c>
      <c r="R193">
        <v>43500</v>
      </c>
      <c r="S193" t="s">
        <v>279</v>
      </c>
    </row>
    <row r="194" spans="3:19" x14ac:dyDescent="0.25">
      <c r="C194" t="s">
        <v>290</v>
      </c>
      <c r="D194" t="s">
        <v>291</v>
      </c>
      <c r="E194" t="s">
        <v>292</v>
      </c>
      <c r="F194" t="s">
        <v>293</v>
      </c>
      <c r="G194" t="s">
        <v>294</v>
      </c>
      <c r="H194" t="str">
        <f t="shared" ref="H194:H257" si="18">_xlfn.CONCAT("studies which report the ", K194," as ",L194,"  (",M194,") , and the values reported therein, of ", C194," ( ", B194,")  under semi-arid environments. If no data for this species exists, please default first to other species of the genus ", F194,"  and then the SUBfamily ", D194,"  and then the tribe ", E194,".")</f>
        <v>studies which report the Activation energy for Michaelis-Menten constant for CO2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4" t="str">
        <f t="shared" si="17"/>
        <v>co2</v>
      </c>
      <c r="J194" t="str">
        <f t="shared" si="17"/>
        <v>AEKC</v>
      </c>
      <c r="K194" t="str">
        <f t="shared" si="17"/>
        <v>Activation energy for Michaelis-Menten constant for CO2</v>
      </c>
      <c r="L194" t="str">
        <f t="shared" si="17"/>
        <v>Joules per mol</v>
      </c>
      <c r="M194" t="str">
        <f t="shared" si="16"/>
        <v>J mol^-1</v>
      </c>
      <c r="N194">
        <f t="shared" si="15"/>
        <v>0</v>
      </c>
      <c r="O194">
        <v>60000</v>
      </c>
      <c r="P194">
        <v>85000</v>
      </c>
      <c r="Q194">
        <v>79430</v>
      </c>
      <c r="R194">
        <v>72500</v>
      </c>
      <c r="S194" t="s">
        <v>277</v>
      </c>
    </row>
    <row r="195" spans="3:19" x14ac:dyDescent="0.25">
      <c r="C195" t="s">
        <v>290</v>
      </c>
      <c r="D195" t="s">
        <v>291</v>
      </c>
      <c r="E195" t="s">
        <v>292</v>
      </c>
      <c r="F195" t="s">
        <v>293</v>
      </c>
      <c r="G195" t="s">
        <v>294</v>
      </c>
      <c r="H195" t="str">
        <f t="shared" si="18"/>
        <v>studies which report the Activation energy for Michaelis-Menten constant for O2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5" t="str">
        <f t="shared" si="17"/>
        <v>co2</v>
      </c>
      <c r="J195" t="str">
        <f t="shared" si="17"/>
        <v>AEKO</v>
      </c>
      <c r="K195" t="str">
        <f t="shared" si="17"/>
        <v>Activation energy for Michaelis-Menten constant for O2</v>
      </c>
      <c r="L195" t="str">
        <f t="shared" si="17"/>
        <v>Joules per mol</v>
      </c>
      <c r="M195" t="str">
        <f t="shared" si="16"/>
        <v>J mol^-1</v>
      </c>
      <c r="N195">
        <f t="shared" si="15"/>
        <v>0</v>
      </c>
      <c r="O195">
        <v>30000</v>
      </c>
      <c r="P195">
        <v>45000</v>
      </c>
      <c r="Q195">
        <v>36380</v>
      </c>
      <c r="R195">
        <v>37500</v>
      </c>
      <c r="S195" t="s">
        <v>277</v>
      </c>
    </row>
    <row r="196" spans="3:19" x14ac:dyDescent="0.25">
      <c r="C196" t="s">
        <v>290</v>
      </c>
      <c r="D196" t="s">
        <v>291</v>
      </c>
      <c r="E196" t="s">
        <v>292</v>
      </c>
      <c r="F196" t="s">
        <v>293</v>
      </c>
      <c r="G196" t="s">
        <v>294</v>
      </c>
      <c r="H196" t="str">
        <f t="shared" si="18"/>
        <v>studies which report the Activation energy for dark respiration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6" t="str">
        <f t="shared" si="17"/>
        <v>co2</v>
      </c>
      <c r="J196" t="str">
        <f t="shared" si="17"/>
        <v>AERD</v>
      </c>
      <c r="K196" t="str">
        <f t="shared" si="17"/>
        <v>Activation energy for dark respiration</v>
      </c>
      <c r="L196" t="str">
        <f t="shared" si="17"/>
        <v>Joules per mol</v>
      </c>
      <c r="M196" t="str">
        <f t="shared" si="16"/>
        <v>J mol^-1</v>
      </c>
      <c r="N196">
        <f t="shared" si="15"/>
        <v>0</v>
      </c>
      <c r="O196">
        <v>40000</v>
      </c>
      <c r="P196">
        <v>60000</v>
      </c>
      <c r="Q196">
        <v>46390</v>
      </c>
      <c r="R196">
        <v>50000</v>
      </c>
      <c r="S196" t="s">
        <v>277</v>
      </c>
    </row>
    <row r="197" spans="3:19" x14ac:dyDescent="0.25">
      <c r="C197" t="s">
        <v>290</v>
      </c>
      <c r="D197" t="s">
        <v>291</v>
      </c>
      <c r="E197" t="s">
        <v>292</v>
      </c>
      <c r="F197" t="s">
        <v>293</v>
      </c>
      <c r="G197" t="s">
        <v>294</v>
      </c>
      <c r="H197" t="str">
        <f t="shared" si="18"/>
        <v>studies which report the Activation energy for photosynthesis as Joules per mol  (J mol^-2) , and the values reported therein, of Indigofera volkensii ( )  under semi-arid environments. If no data for this species exists, please default first to other species of the genus Indigofera   and then the SUBfamily Faboideae  and then the tribe Indigofereae.</v>
      </c>
      <c r="I197" t="str">
        <f t="shared" si="17"/>
        <v>co2</v>
      </c>
      <c r="J197" t="str">
        <f t="shared" si="17"/>
        <v>AEVC</v>
      </c>
      <c r="K197" t="str">
        <f t="shared" si="17"/>
        <v>Activation energy for photosynthesis</v>
      </c>
      <c r="L197" t="str">
        <f t="shared" si="17"/>
        <v>Joules per mol</v>
      </c>
      <c r="M197" t="str">
        <f t="shared" si="16"/>
        <v>J mol^-2</v>
      </c>
      <c r="N197">
        <f t="shared" si="15"/>
        <v>0</v>
      </c>
      <c r="O197">
        <v>60000</v>
      </c>
      <c r="P197">
        <v>75000</v>
      </c>
      <c r="Q197">
        <v>65330</v>
      </c>
      <c r="R197">
        <v>67500</v>
      </c>
      <c r="S197" t="s">
        <v>277</v>
      </c>
    </row>
    <row r="198" spans="3:19" x14ac:dyDescent="0.25">
      <c r="C198" t="s">
        <v>290</v>
      </c>
      <c r="D198" t="s">
        <v>291</v>
      </c>
      <c r="E198" t="s">
        <v>292</v>
      </c>
      <c r="F198" t="s">
        <v>293</v>
      </c>
      <c r="G198" t="s">
        <v>294</v>
      </c>
      <c r="H198" t="str">
        <f t="shared" si="18"/>
        <v>studies which report the Activation energy for RubP oxygenation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8" t="str">
        <f t="shared" si="17"/>
        <v>co2</v>
      </c>
      <c r="J198" t="str">
        <f t="shared" si="17"/>
        <v>AEVO</v>
      </c>
      <c r="K198" t="str">
        <f t="shared" si="17"/>
        <v>Activation energy for RubP oxygenation</v>
      </c>
      <c r="L198" t="str">
        <f t="shared" si="17"/>
        <v>Joules per mol</v>
      </c>
      <c r="M198" t="str">
        <f t="shared" si="16"/>
        <v>J mol-1</v>
      </c>
      <c r="N198">
        <f t="shared" si="15"/>
        <v>0</v>
      </c>
      <c r="O198">
        <v>30000</v>
      </c>
      <c r="P198">
        <v>55000</v>
      </c>
      <c r="Q198">
        <v>45000</v>
      </c>
      <c r="R198">
        <v>42500</v>
      </c>
      <c r="S198" t="s">
        <v>296</v>
      </c>
    </row>
    <row r="199" spans="3:19" x14ac:dyDescent="0.25">
      <c r="C199" t="s">
        <v>290</v>
      </c>
      <c r="D199" t="s">
        <v>291</v>
      </c>
      <c r="E199" t="s">
        <v>292</v>
      </c>
      <c r="F199" t="s">
        <v>293</v>
      </c>
      <c r="G199" t="s">
        <v>294</v>
      </c>
      <c r="H199" t="str">
        <f t="shared" si="18"/>
        <v>studies which report the Relation between maximum electron transport rate and RubP saturated rate of carboxylation as micromols per mol per mbar  (umol mol-1 ubar-1)) , and the values reported therein, of Indigofera volkensii ( )  under semi-arid environments. If no data for this species exists, please default first to other species of the genus Indigofera   and then the SUBfamily Faboideae  and then the tribe Indigofereae.</v>
      </c>
      <c r="I199" t="str">
        <f t="shared" si="17"/>
        <v>co2</v>
      </c>
      <c r="J199" t="str">
        <f t="shared" si="17"/>
        <v>KC25</v>
      </c>
      <c r="K199" t="str">
        <f t="shared" si="17"/>
        <v>Relation between maximum electron transport rate and RubP saturated rate of carboxylation</v>
      </c>
      <c r="L199" t="str">
        <f t="shared" si="17"/>
        <v>micromols per mol per mbar</v>
      </c>
      <c r="M199" t="str">
        <f t="shared" si="16"/>
        <v>umol mol-1 ubar-1)</v>
      </c>
      <c r="N199">
        <f t="shared" si="15"/>
        <v>2</v>
      </c>
      <c r="O199">
        <v>300</v>
      </c>
      <c r="P199">
        <v>500</v>
      </c>
      <c r="Q199">
        <v>404.9</v>
      </c>
      <c r="R199">
        <v>400</v>
      </c>
      <c r="S199" t="s">
        <v>277</v>
      </c>
    </row>
    <row r="200" spans="3:19" x14ac:dyDescent="0.25">
      <c r="C200" t="s">
        <v>290</v>
      </c>
      <c r="D200" t="s">
        <v>291</v>
      </c>
      <c r="E200" t="s">
        <v>292</v>
      </c>
      <c r="F200" t="s">
        <v>293</v>
      </c>
      <c r="G200" t="s">
        <v>294</v>
      </c>
      <c r="H200" t="str">
        <f t="shared" si="18"/>
        <v>studies which report the Curvature parameter for the light response curve as 0  (0) , and the values reported therein, of Indigofera volkensii ( )  under semi-arid environments. If no data for this species exists, please default first to other species of the genus Indigofera   and then the SUBfamily Faboideae  and then the tribe Indigofereae.</v>
      </c>
      <c r="I200" t="str">
        <f t="shared" si="17"/>
        <v>co2</v>
      </c>
      <c r="J200" t="str">
        <f t="shared" si="17"/>
        <v>THETA</v>
      </c>
      <c r="K200" t="str">
        <f t="shared" si="17"/>
        <v>Curvature parameter for the light response curve</v>
      </c>
      <c r="L200">
        <f t="shared" si="17"/>
        <v>0</v>
      </c>
      <c r="M200">
        <f t="shared" si="16"/>
        <v>0</v>
      </c>
      <c r="N200">
        <f t="shared" si="15"/>
        <v>2</v>
      </c>
      <c r="O200">
        <v>0.7</v>
      </c>
      <c r="P200">
        <v>0.9</v>
      </c>
      <c r="Q200">
        <v>0.8</v>
      </c>
      <c r="R200">
        <v>0.8</v>
      </c>
      <c r="S200" t="s">
        <v>297</v>
      </c>
    </row>
    <row r="201" spans="3:19" x14ac:dyDescent="0.25">
      <c r="C201" t="s">
        <v>290</v>
      </c>
      <c r="D201" t="s">
        <v>291</v>
      </c>
      <c r="E201" t="s">
        <v>292</v>
      </c>
      <c r="F201" t="s">
        <v>293</v>
      </c>
      <c r="G201" t="s">
        <v>294</v>
      </c>
      <c r="H201" t="str">
        <f t="shared" si="18"/>
        <v>studies which report the Relation between maximum electron transport rate and RubP saturated rate of carboxylation (ï¿½).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201" t="str">
        <f t="shared" si="17"/>
        <v>co2</v>
      </c>
      <c r="J201" t="str">
        <f t="shared" si="17"/>
        <v>QJVC</v>
      </c>
      <c r="K201" t="str">
        <f t="shared" si="17"/>
        <v>Relation between maximum electron transport rate and RubP saturated rate of carboxylation (ï¿½).</v>
      </c>
      <c r="L201" t="str">
        <f t="shared" si="17"/>
        <v>micromols per square meter per second</v>
      </c>
      <c r="M201" t="str">
        <f t="shared" si="16"/>
        <v>umol m^-2 s^-1</v>
      </c>
      <c r="N201">
        <f t="shared" si="15"/>
        <v>2</v>
      </c>
      <c r="O201">
        <v>1.5</v>
      </c>
      <c r="P201">
        <v>2</v>
      </c>
      <c r="Q201">
        <v>1.7</v>
      </c>
      <c r="R201">
        <v>1.75</v>
      </c>
      <c r="S201" t="s">
        <v>298</v>
      </c>
    </row>
    <row r="202" spans="3:19" x14ac:dyDescent="0.25">
      <c r="C202" t="s">
        <v>290</v>
      </c>
      <c r="D202" t="s">
        <v>291</v>
      </c>
      <c r="E202" t="s">
        <v>292</v>
      </c>
      <c r="F202" t="s">
        <v>293</v>
      </c>
      <c r="G202" t="s">
        <v>294</v>
      </c>
      <c r="H202" t="str">
        <f t="shared" si="18"/>
        <v>studies which report the Relation between dark respiration rate and RubP saturated rate of carboxyla tion at 25 oC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202" t="str">
        <f t="shared" si="17"/>
        <v>co2</v>
      </c>
      <c r="J202" t="str">
        <f t="shared" si="17"/>
        <v>QRD25</v>
      </c>
      <c r="K202" t="str">
        <f t="shared" si="17"/>
        <v>Relation between dark respiration rate and RubP saturated rate of carboxyla tion at 25 oC</v>
      </c>
      <c r="L202" t="str">
        <f t="shared" si="17"/>
        <v>micromols per square meter per second</v>
      </c>
      <c r="M202" t="str">
        <f t="shared" si="16"/>
        <v>umol m^-2 s^-1</v>
      </c>
      <c r="N202">
        <f t="shared" si="15"/>
        <v>2</v>
      </c>
      <c r="O202">
        <v>0.01</v>
      </c>
      <c r="P202">
        <v>0.02</v>
      </c>
      <c r="Q202">
        <v>1.4999999999999999E-2</v>
      </c>
      <c r="R202">
        <v>1.4999999999999999E-2</v>
      </c>
      <c r="S202" t="s">
        <v>299</v>
      </c>
    </row>
    <row r="203" spans="3:19" x14ac:dyDescent="0.25">
      <c r="C203" t="s">
        <v>290</v>
      </c>
      <c r="D203" t="s">
        <v>291</v>
      </c>
      <c r="E203" t="s">
        <v>292</v>
      </c>
      <c r="F203" t="s">
        <v>293</v>
      </c>
      <c r="G203" t="s">
        <v>294</v>
      </c>
      <c r="H203" t="str">
        <f t="shared" si="18"/>
        <v>studies which report the Maximum instantaneous water use efficiency as milligrams of carbon dioxide per gram of water  (mg CO2 g^-1 H2O) , and the values reported therein, of Indigofera volkensii ( )  under semi-arid environments. If no data for this species exists, please default first to other species of the genus Indigofera   and then the SUBfamily Faboideae  and then the tribe Indigofereae.</v>
      </c>
      <c r="I203" t="str">
        <f t="shared" si="17"/>
        <v>water</v>
      </c>
      <c r="J203" t="str">
        <f t="shared" si="17"/>
        <v>WUECMAX</v>
      </c>
      <c r="K203" t="str">
        <f t="shared" si="17"/>
        <v>Maximum instantaneous water use efficiency</v>
      </c>
      <c r="L203" t="str">
        <f t="shared" si="17"/>
        <v>milligrams of carbon dioxide per gram of water</v>
      </c>
      <c r="M203" t="str">
        <f t="shared" si="16"/>
        <v>mg CO2 g^-1 H2O</v>
      </c>
      <c r="N203">
        <f t="shared" si="15"/>
        <v>1</v>
      </c>
      <c r="O203">
        <v>3</v>
      </c>
      <c r="P203">
        <v>6.5</v>
      </c>
      <c r="Q203">
        <v>4.5</v>
      </c>
      <c r="R203">
        <v>4.75</v>
      </c>
      <c r="S203" t="s">
        <v>300</v>
      </c>
    </row>
    <row r="204" spans="3:19" x14ac:dyDescent="0.25">
      <c r="C204" t="s">
        <v>290</v>
      </c>
      <c r="D204" t="s">
        <v>291</v>
      </c>
      <c r="E204" t="s">
        <v>292</v>
      </c>
      <c r="F204" t="s">
        <v>293</v>
      </c>
      <c r="G204" t="s">
        <v>294</v>
      </c>
      <c r="H204" t="str">
        <f t="shared" si="18"/>
        <v>studies which report the minimum instantaneous water use efficiency as milligrams of carbon dioxide per gram of water  (mg CO2 g^-1 H2O) , and the values reported therein, of Indigofera volkensii ( )  under semi-arid environments. If no data for this species exists, please default first to other species of the genus Indigofera   and then the SUBfamily Faboideae  and then the tribe Indigofereae.</v>
      </c>
      <c r="I204" t="str">
        <f t="shared" si="17"/>
        <v>water</v>
      </c>
      <c r="J204" t="str">
        <f t="shared" si="17"/>
        <v>WUECMIN</v>
      </c>
      <c r="K204" t="str">
        <f t="shared" si="17"/>
        <v>minimum instantaneous water use efficiency</v>
      </c>
      <c r="L204" t="str">
        <f t="shared" si="17"/>
        <v>milligrams of carbon dioxide per gram of water</v>
      </c>
      <c r="M204" t="str">
        <f t="shared" si="16"/>
        <v>mg CO2 g^-1 H2O</v>
      </c>
      <c r="N204">
        <f t="shared" si="15"/>
        <v>1</v>
      </c>
      <c r="O204">
        <v>1</v>
      </c>
      <c r="P204">
        <v>2.5</v>
      </c>
      <c r="Q204">
        <v>1.5</v>
      </c>
      <c r="R204">
        <v>1.75</v>
      </c>
      <c r="S204" t="s">
        <v>300</v>
      </c>
    </row>
    <row r="205" spans="3:19" x14ac:dyDescent="0.25">
      <c r="C205" t="s">
        <v>290</v>
      </c>
      <c r="D205" t="s">
        <v>291</v>
      </c>
      <c r="E205" t="s">
        <v>292</v>
      </c>
      <c r="F205" t="s">
        <v>293</v>
      </c>
      <c r="G205" t="s">
        <v>294</v>
      </c>
      <c r="H205" t="str">
        <f t="shared" si="18"/>
        <v>studies which report the relative available soil water content at which drought affects photosynthesis activity as a fraction   (0) , and the values reported therein, of Indigofera volkensii ( )  under semi-arid environments. If no data for this species exists, please default first to other species of the genus Indigofera   and then the SUBfamily Faboideae  and then the tribe Indigofereae.</v>
      </c>
      <c r="I205" t="str">
        <f t="shared" si="17"/>
        <v>water</v>
      </c>
      <c r="J205" t="str">
        <f t="shared" si="17"/>
        <v>H2OREF_A</v>
      </c>
      <c r="K205" t="str">
        <f t="shared" si="17"/>
        <v>relative available soil water content at which drought affects photosynthesis activity</v>
      </c>
      <c r="L205" t="str">
        <f t="shared" si="17"/>
        <v xml:space="preserve">a fraction </v>
      </c>
      <c r="M205">
        <f t="shared" si="16"/>
        <v>0</v>
      </c>
      <c r="N205">
        <f t="shared" si="15"/>
        <v>2</v>
      </c>
      <c r="O205">
        <v>0.25</v>
      </c>
      <c r="P205">
        <v>0.5</v>
      </c>
      <c r="Q205">
        <v>0.35</v>
      </c>
      <c r="R205">
        <v>0.375</v>
      </c>
      <c r="S205" t="s">
        <v>300</v>
      </c>
    </row>
    <row r="206" spans="3:19" x14ac:dyDescent="0.25">
      <c r="C206" t="s">
        <v>290</v>
      </c>
      <c r="D206" t="s">
        <v>291</v>
      </c>
      <c r="E206" t="s">
        <v>292</v>
      </c>
      <c r="F206" t="s">
        <v>293</v>
      </c>
      <c r="G206" t="s">
        <v>294</v>
      </c>
      <c r="H206" t="str">
        <f t="shared" si="18"/>
        <v>studies which report the relative available soil water content below which restricted water availability triggers plant senescence as a fraction   (0) , and the values reported therein, of Indigofera volkensii ( )  under semi-arid environments. If no data for this species exists, please default first to other species of the genus Indigofera   and then the SUBfamily Faboideae  and then the tribe Indigofereae.</v>
      </c>
      <c r="I206" t="str">
        <f t="shared" si="17"/>
        <v>water</v>
      </c>
      <c r="J206" t="str">
        <f t="shared" si="17"/>
        <v>H2OREF_SENESCENCE</v>
      </c>
      <c r="K206" t="str">
        <f t="shared" si="17"/>
        <v>relative available soil water content below which restricted water availability triggers plant senescence</v>
      </c>
      <c r="L206" t="str">
        <f t="shared" si="17"/>
        <v xml:space="preserve">a fraction </v>
      </c>
      <c r="M206">
        <f t="shared" si="16"/>
        <v>0</v>
      </c>
      <c r="N206">
        <f t="shared" si="15"/>
        <v>2</v>
      </c>
      <c r="O206">
        <v>0.1</v>
      </c>
      <c r="P206">
        <v>0.2</v>
      </c>
      <c r="Q206">
        <v>0.12</v>
      </c>
      <c r="R206">
        <v>0.15</v>
      </c>
      <c r="S206" t="s">
        <v>300</v>
      </c>
    </row>
    <row r="207" spans="3:19" x14ac:dyDescent="0.25">
      <c r="C207" t="s">
        <v>290</v>
      </c>
      <c r="D207" t="s">
        <v>291</v>
      </c>
      <c r="E207" t="s">
        <v>292</v>
      </c>
      <c r="F207" t="s">
        <v>293</v>
      </c>
      <c r="G207" t="s">
        <v>294</v>
      </c>
      <c r="H207" t="str">
        <f t="shared" si="18"/>
        <v>studies which report the relative available soil water content at which stomata are fully closed as a fraction   (0) , and the values reported therein, of Indigofera volkensii ( )  under semi-arid environments. If no data for this species exists, please default first to other species of the genus Indigofera   and then the SUBfamily Faboideae  and then the tribe Indigofereae.</v>
      </c>
      <c r="I207" t="str">
        <f t="shared" si="17"/>
        <v>water</v>
      </c>
      <c r="J207" t="str">
        <f t="shared" si="17"/>
        <v>H2OREF_GS</v>
      </c>
      <c r="K207" t="str">
        <f t="shared" si="17"/>
        <v>relative available soil water content at which stomata are fully closed</v>
      </c>
      <c r="L207" t="str">
        <f t="shared" si="17"/>
        <v xml:space="preserve">a fraction </v>
      </c>
      <c r="M207">
        <f t="shared" si="16"/>
        <v>0</v>
      </c>
      <c r="N207">
        <f t="shared" si="15"/>
        <v>2</v>
      </c>
      <c r="O207">
        <v>0.2</v>
      </c>
      <c r="P207">
        <v>0.4</v>
      </c>
      <c r="Q207">
        <v>0.25</v>
      </c>
      <c r="R207">
        <v>0.3</v>
      </c>
      <c r="S207" t="s">
        <v>300</v>
      </c>
    </row>
    <row r="208" spans="3:19" ht="30.75" customHeight="1" x14ac:dyDescent="0.25">
      <c r="C208" t="s">
        <v>290</v>
      </c>
      <c r="D208" t="s">
        <v>291</v>
      </c>
      <c r="E208" t="s">
        <v>292</v>
      </c>
      <c r="F208" t="s">
        <v>293</v>
      </c>
      <c r="G208" t="s">
        <v>294</v>
      </c>
      <c r="H208" t="str">
        <f t="shared" si="18"/>
        <v>studies which report the relative available soil water content below which flushing is affected by water
availability as 0  (0) , and the values reported therein, of Indigofera volkensii ( )  under semi-arid environments. If no data for this species exists, please default first to other species of the genus Indigofera   and then the SUBfamily Faboideae  and then the tribe Indigofereae.</v>
      </c>
      <c r="I208" t="str">
        <f t="shared" si="17"/>
        <v>water</v>
      </c>
      <c r="J208" t="str">
        <f t="shared" si="17"/>
        <v>H2OREF_FLUSHING</v>
      </c>
      <c r="K208" t="str">
        <f t="shared" si="17"/>
        <v>relative available soil water content below which flushing is affected by water
availability</v>
      </c>
      <c r="L208">
        <f t="shared" si="17"/>
        <v>0</v>
      </c>
      <c r="M208">
        <f t="shared" si="16"/>
        <v>0</v>
      </c>
      <c r="N208">
        <f t="shared" si="15"/>
        <v>2</v>
      </c>
      <c r="O208">
        <v>0.3</v>
      </c>
      <c r="P208">
        <v>0.6</v>
      </c>
      <c r="Q208">
        <v>0.4</v>
      </c>
      <c r="R208">
        <v>0.45</v>
      </c>
      <c r="S208" t="s">
        <v>301</v>
      </c>
    </row>
    <row r="209" spans="3:19" x14ac:dyDescent="0.25">
      <c r="C209" t="s">
        <v>290</v>
      </c>
      <c r="D209" t="s">
        <v>291</v>
      </c>
      <c r="E209" t="s">
        <v>292</v>
      </c>
      <c r="F209" t="s">
        <v>293</v>
      </c>
      <c r="G209" t="s">
        <v>294</v>
      </c>
      <c r="H209" t="str">
        <f t="shared" si="18"/>
        <v>studies which report the relative available soil water content below which leaf growth is affected as 0  (0) , and the values reported therein, of Indigofera volkensii ( )  under semi-arid environments. If no data for this species exists, please default first to other species of the genus Indigofera   and then the SUBfamily Faboideae  and then the tribe Indigofereae.</v>
      </c>
      <c r="I209" t="str">
        <f t="shared" si="17"/>
        <v>water</v>
      </c>
      <c r="J209" t="str">
        <f t="shared" si="17"/>
        <v>H2OREF_LEAF_GROWTH</v>
      </c>
      <c r="K209" t="str">
        <f t="shared" si="17"/>
        <v>relative available soil water content below which leaf growth is affected</v>
      </c>
      <c r="L209">
        <f t="shared" si="17"/>
        <v>0</v>
      </c>
      <c r="M209">
        <f t="shared" si="16"/>
        <v>0</v>
      </c>
      <c r="N209">
        <f t="shared" si="15"/>
        <v>2</v>
      </c>
      <c r="O209">
        <v>0.3</v>
      </c>
      <c r="P209">
        <v>0.5</v>
      </c>
      <c r="Q209">
        <v>0.4</v>
      </c>
      <c r="R209">
        <v>0.4</v>
      </c>
      <c r="S209" t="s">
        <v>301</v>
      </c>
    </row>
    <row r="210" spans="3:19" x14ac:dyDescent="0.25">
      <c r="C210" t="s">
        <v>290</v>
      </c>
      <c r="D210" t="s">
        <v>291</v>
      </c>
      <c r="E210" t="s">
        <v>292</v>
      </c>
      <c r="F210" t="s">
        <v>293</v>
      </c>
      <c r="G210" t="s">
        <v>294</v>
      </c>
      <c r="H210" t="str">
        <f t="shared" si="18"/>
        <v>studies which report the maximum stomatal conductivity  as millimols of h2o per square meter per second  (mmol H2O m^(-2) s^(-1)) , and the values reported therein, of Indigofera volkensii ( )  under semi-arid environments. If no data for this species exists, please default first to other species of the genus Indigofera   and then the SUBfamily Faboideae  and then the tribe Indigofereae.</v>
      </c>
      <c r="I210" t="str">
        <f t="shared" ref="I210:L229" si="19">I163</f>
        <v>water</v>
      </c>
      <c r="J210" t="str">
        <f t="shared" si="19"/>
        <v>GSMAX</v>
      </c>
      <c r="K210" t="str">
        <f t="shared" si="19"/>
        <v xml:space="preserve">maximum stomatal conductivity </v>
      </c>
      <c r="L210" t="str">
        <f t="shared" si="19"/>
        <v>millimols of h2o per square meter per second</v>
      </c>
      <c r="M210" t="str">
        <f t="shared" si="16"/>
        <v>mmol H2O m^(-2) s^(-1)</v>
      </c>
      <c r="N210">
        <f t="shared" si="15"/>
        <v>1</v>
      </c>
      <c r="O210">
        <v>400</v>
      </c>
      <c r="P210">
        <v>800</v>
      </c>
      <c r="Q210">
        <v>600</v>
      </c>
      <c r="R210">
        <v>600</v>
      </c>
      <c r="S210" t="s">
        <v>302</v>
      </c>
    </row>
    <row r="211" spans="3:19" x14ac:dyDescent="0.25">
      <c r="C211" t="s">
        <v>290</v>
      </c>
      <c r="D211" t="s">
        <v>291</v>
      </c>
      <c r="E211" t="s">
        <v>292</v>
      </c>
      <c r="F211" t="s">
        <v>293</v>
      </c>
      <c r="G211" t="s">
        <v>294</v>
      </c>
      <c r="H211" t="str">
        <f t="shared" si="18"/>
        <v>studies which report the minimum stomatal conductivity  as millimols of h2o per square meter per second  (mmol H2O m^(-2) s^(-1)) , and the values reported therein, of Indigofera volkensii ( )  under semi-arid environments. If no data for this species exists, please default first to other species of the genus Indigofera   and then the SUBfamily Faboideae  and then the tribe Indigofereae.</v>
      </c>
      <c r="I211" t="str">
        <f t="shared" si="19"/>
        <v>water</v>
      </c>
      <c r="J211" t="str">
        <f t="shared" si="19"/>
        <v>GSMIN</v>
      </c>
      <c r="K211" t="str">
        <f t="shared" si="19"/>
        <v xml:space="preserve">minimum stomatal conductivity </v>
      </c>
      <c r="L211" t="str">
        <f t="shared" si="19"/>
        <v>millimols of h2o per square meter per second</v>
      </c>
      <c r="M211" t="str">
        <f t="shared" si="16"/>
        <v>mmol H2O m^(-2) s^(-1)</v>
      </c>
      <c r="N211">
        <f t="shared" si="15"/>
        <v>1</v>
      </c>
      <c r="O211">
        <v>10</v>
      </c>
      <c r="P211">
        <v>40</v>
      </c>
      <c r="Q211">
        <v>20</v>
      </c>
      <c r="R211">
        <v>20</v>
      </c>
      <c r="S211" t="s">
        <v>302</v>
      </c>
    </row>
    <row r="212" spans="3:19" x14ac:dyDescent="0.25">
      <c r="C212" t="s">
        <v>290</v>
      </c>
      <c r="D212" t="s">
        <v>291</v>
      </c>
      <c r="E212" t="s">
        <v>292</v>
      </c>
      <c r="F212" t="s">
        <v>293</v>
      </c>
      <c r="G212" t="s">
        <v>294</v>
      </c>
      <c r="H212" t="str">
        <f t="shared" si="18"/>
        <v>studies which report the Biomass fraction of foliage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2" t="str">
        <f t="shared" si="19"/>
        <v>biomass</v>
      </c>
      <c r="J212" t="str">
        <f t="shared" si="19"/>
        <v>FRACTION_FOLIAGE</v>
      </c>
      <c r="K212" t="str">
        <f t="shared" si="19"/>
        <v>Biomass fraction of foliage at maturity.</v>
      </c>
      <c r="L212" t="str">
        <f t="shared" si="19"/>
        <v>fraction</v>
      </c>
      <c r="M212">
        <f t="shared" si="16"/>
        <v>0</v>
      </c>
      <c r="N212">
        <f t="shared" si="15"/>
        <v>2</v>
      </c>
      <c r="O212">
        <v>0.2</v>
      </c>
      <c r="P212">
        <v>0.5</v>
      </c>
      <c r="Q212">
        <v>0.35</v>
      </c>
      <c r="R212">
        <v>0.35</v>
      </c>
      <c r="S212" t="s">
        <v>303</v>
      </c>
    </row>
    <row r="213" spans="3:19" x14ac:dyDescent="0.25">
      <c r="C213" t="s">
        <v>290</v>
      </c>
      <c r="D213" t="s">
        <v>291</v>
      </c>
      <c r="E213" t="s">
        <v>292</v>
      </c>
      <c r="F213" t="s">
        <v>293</v>
      </c>
      <c r="G213" t="s">
        <v>294</v>
      </c>
      <c r="H213" t="str">
        <f t="shared" si="18"/>
        <v>studies which report the Biomass fraction of roots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3" t="str">
        <f t="shared" si="19"/>
        <v>biomass</v>
      </c>
      <c r="J213" t="str">
        <f t="shared" si="19"/>
        <v>FRACTION_ROOT</v>
      </c>
      <c r="K213" t="str">
        <f t="shared" si="19"/>
        <v>Biomass fraction of roots at maturity</v>
      </c>
      <c r="L213" t="str">
        <f t="shared" si="19"/>
        <v>fraction</v>
      </c>
      <c r="M213">
        <f t="shared" si="16"/>
        <v>0</v>
      </c>
      <c r="N213">
        <f t="shared" si="15"/>
        <v>2</v>
      </c>
      <c r="O213">
        <v>0.4</v>
      </c>
      <c r="P213">
        <v>0.7</v>
      </c>
      <c r="Q213">
        <v>0.5</v>
      </c>
      <c r="R213">
        <v>0.55000000000000004</v>
      </c>
      <c r="S213" t="s">
        <v>303</v>
      </c>
    </row>
    <row r="214" spans="3:19" x14ac:dyDescent="0.25">
      <c r="C214" t="s">
        <v>290</v>
      </c>
      <c r="D214" t="s">
        <v>291</v>
      </c>
      <c r="E214" t="s">
        <v>292</v>
      </c>
      <c r="F214" t="s">
        <v>293</v>
      </c>
      <c r="G214" t="s">
        <v>294</v>
      </c>
      <c r="H214" t="str">
        <f t="shared" si="18"/>
        <v>studies which report the Biomass fraction of fruit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4" t="str">
        <f t="shared" si="19"/>
        <v>biomass</v>
      </c>
      <c r="J214" t="str">
        <f t="shared" si="19"/>
        <v>FRACTION_FRUIT</v>
      </c>
      <c r="K214" t="str">
        <f t="shared" si="19"/>
        <v>Biomass fraction of fruit at maturity.</v>
      </c>
      <c r="L214" t="str">
        <f t="shared" si="19"/>
        <v>fraction</v>
      </c>
      <c r="M214">
        <f t="shared" si="16"/>
        <v>0</v>
      </c>
      <c r="N214">
        <f t="shared" si="15"/>
        <v>2</v>
      </c>
    </row>
    <row r="215" spans="3:19" x14ac:dyDescent="0.25">
      <c r="C215" t="s">
        <v>290</v>
      </c>
      <c r="D215" t="s">
        <v>291</v>
      </c>
      <c r="E215" t="s">
        <v>292</v>
      </c>
      <c r="F215" t="s">
        <v>293</v>
      </c>
      <c r="G215" t="s">
        <v>294</v>
      </c>
      <c r="H215" t="str">
        <f t="shared" si="18"/>
        <v>studies which report the Maximum relative growth rate for foliage as fraction   (0) , and the values reported therein, of Indigofera volkensii ( )  under semi-arid environments. If no data for this species exists, please default first to other species of the genus Indigofera   and then the SUBfamily Faboideae  and then the tribe Indigofereae.</v>
      </c>
      <c r="I215" t="str">
        <f t="shared" si="19"/>
        <v>biomass</v>
      </c>
      <c r="J215" t="str">
        <f t="shared" si="19"/>
        <v>FOLRELGROMAX</v>
      </c>
      <c r="K215" t="str">
        <f t="shared" si="19"/>
        <v>Maximum relative growth rate for foliage</v>
      </c>
      <c r="L215" t="str">
        <f t="shared" si="19"/>
        <v xml:space="preserve">fraction </v>
      </c>
      <c r="M215">
        <f t="shared" si="16"/>
        <v>0</v>
      </c>
      <c r="N215">
        <f t="shared" si="15"/>
        <v>2</v>
      </c>
      <c r="O215">
        <v>0.1</v>
      </c>
      <c r="P215">
        <v>0.2</v>
      </c>
      <c r="Q215">
        <v>0.15</v>
      </c>
      <c r="R215">
        <v>0.15</v>
      </c>
      <c r="S215" t="s">
        <v>304</v>
      </c>
    </row>
    <row r="216" spans="3:19" x14ac:dyDescent="0.25">
      <c r="C216" t="s">
        <v>290</v>
      </c>
      <c r="D216" t="s">
        <v>291</v>
      </c>
      <c r="E216" t="s">
        <v>292</v>
      </c>
      <c r="F216" t="s">
        <v>293</v>
      </c>
      <c r="G216" t="s">
        <v>294</v>
      </c>
      <c r="H216" t="str">
        <f t="shared" si="18"/>
        <v>studies which report the Foliage biomass under optimal, closed canopy condition (kg m-2) as kg per square meter  (kg m^-2) , and the values reported therein, of Indigofera volkensii ( )  under semi-arid environments. If no data for this species exists, please default first to other species of the genus Indigofera   and then the SUBfamily Faboideae  and then the tribe Indigofereae.</v>
      </c>
      <c r="I216" t="str">
        <f t="shared" si="19"/>
        <v>biomass</v>
      </c>
      <c r="J216" t="str">
        <f t="shared" si="19"/>
        <v>MFOLOPT</v>
      </c>
      <c r="K216" t="str">
        <f t="shared" si="19"/>
        <v>Foliage biomass under optimal, closed canopy condition (kg m-2)</v>
      </c>
      <c r="L216" t="str">
        <f t="shared" si="19"/>
        <v>kg per square meter</v>
      </c>
      <c r="M216" t="str">
        <f t="shared" si="16"/>
        <v>kg m^-2</v>
      </c>
      <c r="N216">
        <f t="shared" si="15"/>
        <v>2</v>
      </c>
      <c r="O216">
        <v>0.2</v>
      </c>
      <c r="P216">
        <v>0.5</v>
      </c>
      <c r="Q216">
        <v>0.35</v>
      </c>
      <c r="R216">
        <v>0.35</v>
      </c>
      <c r="S216" t="s">
        <v>303</v>
      </c>
    </row>
    <row r="217" spans="3:19" x14ac:dyDescent="0.25">
      <c r="C217" t="s">
        <v>290</v>
      </c>
      <c r="D217" t="s">
        <v>291</v>
      </c>
      <c r="E217" t="s">
        <v>292</v>
      </c>
      <c r="F217" t="s">
        <v>293</v>
      </c>
      <c r="G217" t="s">
        <v>294</v>
      </c>
      <c r="H217" t="str">
        <f t="shared" si="18"/>
        <v>studies which report the Specific interception capacity of foliage  as meters per square meter of LAI  (m m^-2 LAI) , and the values reported therein, of Indigofera volkensii ( )  under semi-arid environments. If no data for this species exists, please default first to other species of the genus Indigofera   and then the SUBfamily Faboideae  and then the tribe Indigofereae.</v>
      </c>
      <c r="I217" t="str">
        <f t="shared" si="19"/>
        <v>light &amp; photosynthesis</v>
      </c>
      <c r="J217" t="str">
        <f t="shared" si="19"/>
        <v>MWFM</v>
      </c>
      <c r="K217" t="str">
        <f t="shared" si="19"/>
        <v xml:space="preserve">Specific interception capacity of foliage </v>
      </c>
      <c r="L217" t="str">
        <f t="shared" si="19"/>
        <v>meters per square meter of LAI</v>
      </c>
      <c r="M217" t="str">
        <f t="shared" si="16"/>
        <v>m m^-2 LAI</v>
      </c>
      <c r="N217">
        <f t="shared" si="15"/>
        <v>5</v>
      </c>
      <c r="O217">
        <v>1E-4</v>
      </c>
      <c r="P217">
        <v>2.9999999999999997E-4</v>
      </c>
      <c r="Q217">
        <v>1.4999999999999999E-4</v>
      </c>
      <c r="R217">
        <v>2.0000000000000001E-4</v>
      </c>
      <c r="S217" t="s">
        <v>305</v>
      </c>
    </row>
    <row r="218" spans="3:19" x14ac:dyDescent="0.25">
      <c r="C218" t="s">
        <v>290</v>
      </c>
      <c r="D218" t="s">
        <v>291</v>
      </c>
      <c r="E218" t="s">
        <v>292</v>
      </c>
      <c r="F218" t="s">
        <v>293</v>
      </c>
      <c r="G218" t="s">
        <v>294</v>
      </c>
      <c r="H218" t="str">
        <f t="shared" si="18"/>
        <v>studies which report the maximal net photosynthesis as nanomols of CO2 per gram per second  (0) , and the values reported therein, of Indigofera volkensii ( )  under semi-arid environments. If no data for this species exists, please default first to other species of the genus Indigofera   and then the SUBfamily Faboideae  and then the tribe Indigofereae.</v>
      </c>
      <c r="I218" t="str">
        <f t="shared" si="19"/>
        <v>light &amp; photosynthesis</v>
      </c>
      <c r="J218" t="str">
        <f t="shared" si="19"/>
        <v>AMAXB</v>
      </c>
      <c r="K218" t="str">
        <f t="shared" si="19"/>
        <v>maximal net photosynthesis</v>
      </c>
      <c r="L218" t="str">
        <f t="shared" si="19"/>
        <v>nanomols of CO2 per gram per second</v>
      </c>
      <c r="M218">
        <f t="shared" si="16"/>
        <v>0</v>
      </c>
      <c r="N218">
        <f t="shared" si="15"/>
        <v>2</v>
      </c>
      <c r="O218">
        <v>150</v>
      </c>
      <c r="P218">
        <v>600</v>
      </c>
      <c r="Q218">
        <v>300</v>
      </c>
      <c r="R218">
        <v>375</v>
      </c>
      <c r="S218" t="s">
        <v>303</v>
      </c>
    </row>
    <row r="219" spans="3:19" x14ac:dyDescent="0.25">
      <c r="C219" t="s">
        <v>290</v>
      </c>
      <c r="D219" t="s">
        <v>291</v>
      </c>
      <c r="E219" t="s">
        <v>292</v>
      </c>
      <c r="F219" t="s">
        <v>293</v>
      </c>
      <c r="G219" t="s">
        <v>294</v>
      </c>
      <c r="H219" t="str">
        <f t="shared" si="18"/>
        <v>studies which report the specific leaf area in the shade as square meters per kilogram  (m^2 kg^-1) , and the values reported therein, of Indigofera volkensii ( )  under semi-arid environments. If no data for this species exists, please default first to other species of the genus Indigofera   and then the SUBfamily Faboideae  and then the tribe Indigofereae.</v>
      </c>
      <c r="I219" t="str">
        <f t="shared" si="19"/>
        <v>light &amp; photosynthesis</v>
      </c>
      <c r="J219" t="str">
        <f t="shared" si="19"/>
        <v>SLAMAX</v>
      </c>
      <c r="K219" t="str">
        <f t="shared" si="19"/>
        <v>specific leaf area in the shade</v>
      </c>
      <c r="L219" t="str">
        <f t="shared" si="19"/>
        <v>square meters per kilogram</v>
      </c>
      <c r="M219" t="str">
        <f t="shared" si="16"/>
        <v>m^2 kg^-1</v>
      </c>
      <c r="N219">
        <f t="shared" si="15"/>
        <v>1</v>
      </c>
      <c r="O219">
        <v>25</v>
      </c>
      <c r="P219">
        <v>45</v>
      </c>
      <c r="Q219">
        <v>35</v>
      </c>
      <c r="R219">
        <v>35</v>
      </c>
      <c r="S219" t="s">
        <v>303</v>
      </c>
    </row>
    <row r="220" spans="3:19" x14ac:dyDescent="0.25">
      <c r="C220" t="s">
        <v>290</v>
      </c>
      <c r="D220" t="s">
        <v>291</v>
      </c>
      <c r="E220" t="s">
        <v>292</v>
      </c>
      <c r="F220" t="s">
        <v>293</v>
      </c>
      <c r="G220" t="s">
        <v>294</v>
      </c>
      <c r="H220" t="str">
        <f t="shared" si="18"/>
        <v>studies which report the specific leaf area under full sun as square meters per kilogram  (m^2 kg^-1) , and the values reported therein, of Indigofera volkensii ( )  under semi-arid environments. If no data for this species exists, please default first to other species of the genus Indigofera   and then the SUBfamily Faboideae  and then the tribe Indigofereae.</v>
      </c>
      <c r="I220" t="str">
        <f t="shared" si="19"/>
        <v>light &amp; photosynthesis</v>
      </c>
      <c r="J220" t="str">
        <f t="shared" si="19"/>
        <v>SLAMIN</v>
      </c>
      <c r="K220" t="str">
        <f t="shared" si="19"/>
        <v>specific leaf area under full sun</v>
      </c>
      <c r="L220" t="str">
        <f t="shared" si="19"/>
        <v>square meters per kilogram</v>
      </c>
      <c r="M220" t="str">
        <f t="shared" si="16"/>
        <v>m^2 kg^-1</v>
      </c>
      <c r="N220">
        <f t="shared" si="15"/>
        <v>1</v>
      </c>
      <c r="O220">
        <v>10</v>
      </c>
      <c r="P220">
        <v>25</v>
      </c>
      <c r="Q220">
        <v>15</v>
      </c>
      <c r="R220">
        <v>17.5</v>
      </c>
      <c r="S220" t="s">
        <v>303</v>
      </c>
    </row>
    <row r="221" spans="3:19" x14ac:dyDescent="0.25">
      <c r="C221" t="s">
        <v>290</v>
      </c>
      <c r="D221" t="s">
        <v>291</v>
      </c>
      <c r="E221" t="s">
        <v>292</v>
      </c>
      <c r="F221" t="s">
        <v>293</v>
      </c>
      <c r="G221" t="s">
        <v>294</v>
      </c>
      <c r="H221" t="str">
        <f t="shared" si="18"/>
        <v>studies which report the Time interval necessary to complete growth of new foliage as days  (0) , and the values reported therein, of Indigofera volkensii ( )  under semi-arid environments. If no data for this species exists, please default first to other species of the genus Indigofera   and then the SUBfamily Faboideae  and then the tribe Indigofereae.</v>
      </c>
      <c r="I221" t="str">
        <f t="shared" si="19"/>
        <v>phenology</v>
      </c>
      <c r="J221" t="str">
        <f t="shared" si="19"/>
        <v>NDFLUSH</v>
      </c>
      <c r="K221" t="str">
        <f t="shared" si="19"/>
        <v>Time interval necessary to complete growth of new foliage</v>
      </c>
      <c r="L221" t="str">
        <f t="shared" si="19"/>
        <v>days</v>
      </c>
      <c r="M221">
        <f t="shared" si="16"/>
        <v>0</v>
      </c>
      <c r="N221">
        <f t="shared" si="15"/>
        <v>0</v>
      </c>
      <c r="O221">
        <v>5</v>
      </c>
      <c r="P221">
        <v>20</v>
      </c>
      <c r="Q221">
        <v>10</v>
      </c>
      <c r="R221">
        <v>12.5</v>
      </c>
      <c r="S221" t="s">
        <v>306</v>
      </c>
    </row>
    <row r="222" spans="3:19" x14ac:dyDescent="0.25">
      <c r="C222" t="s">
        <v>290</v>
      </c>
      <c r="D222" t="s">
        <v>291</v>
      </c>
      <c r="E222" t="s">
        <v>292</v>
      </c>
      <c r="F222" t="s">
        <v>293</v>
      </c>
      <c r="G222" t="s">
        <v>294</v>
      </c>
      <c r="H222" t="str">
        <f t="shared" si="18"/>
        <v>studies which report the duration of senescence  as days  (0) , and the values reported therein, of Indigofera volkensii ( )  under semi-arid environments. If no data for this species exists, please default first to other species of the genus Indigofera   and then the SUBfamily Faboideae  and then the tribe Indigofereae.</v>
      </c>
      <c r="I222" t="str">
        <f t="shared" si="19"/>
        <v>phenology</v>
      </c>
      <c r="J222" t="str">
        <f t="shared" si="19"/>
        <v>NDMORTA</v>
      </c>
      <c r="K222" t="str">
        <f t="shared" si="19"/>
        <v xml:space="preserve">duration of senescence </v>
      </c>
      <c r="L222" t="str">
        <f t="shared" si="19"/>
        <v>days</v>
      </c>
      <c r="M222">
        <f t="shared" si="16"/>
        <v>0</v>
      </c>
      <c r="N222">
        <f t="shared" si="15"/>
        <v>0</v>
      </c>
      <c r="O222">
        <v>90</v>
      </c>
      <c r="P222">
        <v>120</v>
      </c>
      <c r="Q222">
        <v>105</v>
      </c>
      <c r="R222">
        <v>105</v>
      </c>
      <c r="S222" t="s">
        <v>307</v>
      </c>
    </row>
    <row r="223" spans="3:19" x14ac:dyDescent="0.25">
      <c r="C223" t="s">
        <v>290</v>
      </c>
      <c r="D223" t="s">
        <v>291</v>
      </c>
      <c r="E223" t="s">
        <v>292</v>
      </c>
      <c r="F223" t="s">
        <v>293</v>
      </c>
      <c r="G223" t="s">
        <v>294</v>
      </c>
      <c r="H223" t="str">
        <f t="shared" si="18"/>
        <v>studies which report the base temperature for growing degree days as 0  (0) , and the values reported therein, of Indigofera volkensii ( )  under semi-arid environments. If no data for this species exists, please default first to other species of the genus Indigofera   and then the SUBfamily Faboideae  and then the tribe Indigofereae.</v>
      </c>
      <c r="I223" t="str">
        <f t="shared" si="19"/>
        <v>phenology</v>
      </c>
      <c r="J223" t="str">
        <f t="shared" si="19"/>
        <v>GDD_BASE_TEMPERATURE</v>
      </c>
      <c r="K223" t="str">
        <f t="shared" si="19"/>
        <v>base temperature for growing degree days</v>
      </c>
      <c r="L223">
        <f t="shared" si="19"/>
        <v>0</v>
      </c>
      <c r="M223">
        <f t="shared" si="16"/>
        <v>0</v>
      </c>
      <c r="N223">
        <f t="shared" si="15"/>
        <v>0</v>
      </c>
      <c r="O223">
        <v>10</v>
      </c>
      <c r="P223">
        <v>10</v>
      </c>
      <c r="Q223">
        <v>10</v>
      </c>
      <c r="R223">
        <v>10</v>
      </c>
      <c r="S223" t="s">
        <v>308</v>
      </c>
    </row>
    <row r="224" spans="3:19" x14ac:dyDescent="0.25">
      <c r="C224" t="s">
        <v>290</v>
      </c>
      <c r="D224" t="s">
        <v>291</v>
      </c>
      <c r="E224" t="s">
        <v>292</v>
      </c>
      <c r="F224" t="s">
        <v>293</v>
      </c>
      <c r="G224" t="s">
        <v>294</v>
      </c>
      <c r="H224" t="str">
        <f t="shared" si="18"/>
        <v>studies which report the growing degree days until beginning of emergence as days  (GDD) , and the values reported therein, of Indigofera volkensii ( )  under semi-arid environments. If no data for this species exists, please default first to other species of the genus Indigofera   and then the SUBfamily Faboideae  and then the tribe Indigofereae.</v>
      </c>
      <c r="I224" t="str">
        <f t="shared" si="19"/>
        <v>phenology</v>
      </c>
      <c r="J224" t="str">
        <f t="shared" si="19"/>
        <v>GDD_EMERG</v>
      </c>
      <c r="K224" t="str">
        <f t="shared" si="19"/>
        <v>growing degree days until beginning of emergence</v>
      </c>
      <c r="L224" t="str">
        <f t="shared" si="19"/>
        <v>days</v>
      </c>
      <c r="M224" t="str">
        <f t="shared" si="16"/>
        <v>GDD</v>
      </c>
      <c r="N224">
        <f t="shared" si="15"/>
        <v>0</v>
      </c>
      <c r="O224">
        <v>50</v>
      </c>
      <c r="P224">
        <v>150</v>
      </c>
      <c r="Q224">
        <v>100</v>
      </c>
      <c r="R224">
        <v>100</v>
      </c>
      <c r="S224" t="s">
        <v>308</v>
      </c>
    </row>
    <row r="225" spans="3:19" x14ac:dyDescent="0.25">
      <c r="C225" t="s">
        <v>290</v>
      </c>
      <c r="D225" t="s">
        <v>291</v>
      </c>
      <c r="E225" t="s">
        <v>292</v>
      </c>
      <c r="F225" t="s">
        <v>293</v>
      </c>
      <c r="G225" t="s">
        <v>294</v>
      </c>
      <c r="H225" t="str">
        <f t="shared" si="18"/>
        <v>studies which report the growing degree days until maturity as days  (GDD) , and the values reported therein, of Indigofera volkensii ( )  under semi-arid environments. If no data for this species exists, please default first to other species of the genus Indigofera   and then the SUBfamily Faboideae  and then the tribe Indigofereae.</v>
      </c>
      <c r="I225" t="str">
        <f t="shared" si="19"/>
        <v>phenology</v>
      </c>
      <c r="J225" t="str">
        <f t="shared" si="19"/>
        <v>GDD_MATURITY</v>
      </c>
      <c r="K225" t="str">
        <f t="shared" si="19"/>
        <v>growing degree days until maturity</v>
      </c>
      <c r="L225" t="str">
        <f t="shared" si="19"/>
        <v>days</v>
      </c>
      <c r="M225" t="str">
        <f t="shared" si="16"/>
        <v>GDD</v>
      </c>
      <c r="N225">
        <f t="shared" si="15"/>
        <v>0</v>
      </c>
      <c r="O225">
        <v>2100</v>
      </c>
      <c r="P225">
        <v>2500</v>
      </c>
      <c r="Q225">
        <v>2300</v>
      </c>
      <c r="R225">
        <v>2300</v>
      </c>
      <c r="S225" t="s">
        <v>309</v>
      </c>
    </row>
    <row r="226" spans="3:19" x14ac:dyDescent="0.25">
      <c r="C226" t="s">
        <v>290</v>
      </c>
      <c r="D226" t="s">
        <v>291</v>
      </c>
      <c r="E226" t="s">
        <v>292</v>
      </c>
      <c r="F226" t="s">
        <v>293</v>
      </c>
      <c r="G226" t="s">
        <v>294</v>
      </c>
      <c r="H226" t="str">
        <f t="shared" si="18"/>
        <v>studies which report the growing degree days until begin of stem elongation as days  (GDD) , and the values reported therein, of Indigofera volkensii ( )  under semi-arid environments. If no data for this species exists, please default first to other species of the genus Indigofera   and then the SUBfamily Faboideae  and then the tribe Indigofereae.</v>
      </c>
      <c r="I226" t="str">
        <f t="shared" si="19"/>
        <v>phenology</v>
      </c>
      <c r="J226" t="str">
        <f t="shared" si="19"/>
        <v>GDD_STEM_ELONGATION</v>
      </c>
      <c r="K226" t="str">
        <f t="shared" si="19"/>
        <v>growing degree days until begin of stem elongation</v>
      </c>
      <c r="L226" t="str">
        <f t="shared" si="19"/>
        <v>days</v>
      </c>
      <c r="M226" t="str">
        <f t="shared" si="16"/>
        <v>GDD</v>
      </c>
      <c r="N226">
        <f t="shared" si="15"/>
        <v>0</v>
      </c>
      <c r="O226">
        <v>350</v>
      </c>
      <c r="P226">
        <v>550</v>
      </c>
      <c r="Q226">
        <v>450</v>
      </c>
      <c r="R226">
        <v>450</v>
      </c>
      <c r="S226" t="s">
        <v>310</v>
      </c>
    </row>
    <row r="227" spans="3:19" x14ac:dyDescent="0.25">
      <c r="C227" t="s">
        <v>290</v>
      </c>
      <c r="D227" t="s">
        <v>291</v>
      </c>
      <c r="E227" t="s">
        <v>292</v>
      </c>
      <c r="F227" t="s">
        <v>293</v>
      </c>
      <c r="G227" t="s">
        <v>294</v>
      </c>
      <c r="H227" t="str">
        <f t="shared" si="18"/>
        <v>studies which report the growing degree days until downwards root growth ceases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7" t="str">
        <f t="shared" si="19"/>
        <v>phenology</v>
      </c>
      <c r="J227" t="str">
        <f t="shared" si="19"/>
        <v>GDD_ROOTS_GROWN</v>
      </c>
      <c r="K227" t="str">
        <f t="shared" si="19"/>
        <v>growing degree days until downwards root growth ceases</v>
      </c>
      <c r="L227" t="str">
        <f t="shared" si="19"/>
        <v>growing degree days</v>
      </c>
      <c r="M227" t="str">
        <f t="shared" si="16"/>
        <v>GDD</v>
      </c>
      <c r="N227">
        <f t="shared" si="15"/>
        <v>0</v>
      </c>
      <c r="O227">
        <v>2000</v>
      </c>
      <c r="P227">
        <v>3000</v>
      </c>
      <c r="Q227">
        <v>2500</v>
      </c>
      <c r="R227">
        <v>2500</v>
      </c>
      <c r="S227" t="s">
        <v>311</v>
      </c>
    </row>
    <row r="228" spans="3:19" x14ac:dyDescent="0.25">
      <c r="C228" t="s">
        <v>290</v>
      </c>
      <c r="D228" t="s">
        <v>291</v>
      </c>
      <c r="E228" t="s">
        <v>292</v>
      </c>
      <c r="F228" t="s">
        <v>293</v>
      </c>
      <c r="G228" t="s">
        <v>294</v>
      </c>
      <c r="H228" t="str">
        <f t="shared" si="18"/>
        <v>studies which report the minimum temperature sum for foliage activity onset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8" t="str">
        <f t="shared" si="19"/>
        <v>phenology</v>
      </c>
      <c r="J228" t="str">
        <f t="shared" si="19"/>
        <v>GDDFOLSTART</v>
      </c>
      <c r="K228" t="str">
        <f t="shared" si="19"/>
        <v>minimum temperature sum for foliage activity onset</v>
      </c>
      <c r="L228" t="str">
        <f t="shared" si="19"/>
        <v>growing degree days</v>
      </c>
      <c r="M228" t="str">
        <f t="shared" si="16"/>
        <v>GDD</v>
      </c>
      <c r="N228">
        <f t="shared" si="15"/>
        <v>0</v>
      </c>
      <c r="O228">
        <v>150</v>
      </c>
      <c r="P228">
        <v>300</v>
      </c>
      <c r="Q228">
        <v>200</v>
      </c>
      <c r="R228">
        <v>225</v>
      </c>
      <c r="S228" t="s">
        <v>312</v>
      </c>
    </row>
    <row r="229" spans="3:19" x14ac:dyDescent="0.25">
      <c r="C229" t="s">
        <v>290</v>
      </c>
      <c r="D229" t="s">
        <v>291</v>
      </c>
      <c r="E229" t="s">
        <v>292</v>
      </c>
      <c r="F229" t="s">
        <v>293</v>
      </c>
      <c r="G229" t="s">
        <v>294</v>
      </c>
      <c r="H229" t="str">
        <f t="shared" si="18"/>
        <v>studies which report the growing degree days to complete foliar production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9" t="str">
        <f t="shared" si="19"/>
        <v>phenology</v>
      </c>
      <c r="J229" t="str">
        <f t="shared" si="19"/>
        <v>GDDFOLEND</v>
      </c>
      <c r="K229" t="str">
        <f t="shared" si="19"/>
        <v>growing degree days to complete foliar production</v>
      </c>
      <c r="L229" t="str">
        <f t="shared" si="19"/>
        <v>growing degree days</v>
      </c>
      <c r="M229" t="str">
        <f t="shared" si="16"/>
        <v>GDD</v>
      </c>
      <c r="N229">
        <f t="shared" si="15"/>
        <v>0</v>
      </c>
      <c r="O229">
        <v>1100</v>
      </c>
      <c r="P229">
        <v>1400</v>
      </c>
      <c r="Q229">
        <v>1300</v>
      </c>
      <c r="R229">
        <v>1250</v>
      </c>
      <c r="S229" t="s">
        <v>313</v>
      </c>
    </row>
    <row r="230" spans="3:19" x14ac:dyDescent="0.25">
      <c r="C230" t="s">
        <v>290</v>
      </c>
      <c r="D230" t="s">
        <v>291</v>
      </c>
      <c r="E230" t="s">
        <v>292</v>
      </c>
      <c r="F230" t="s">
        <v>293</v>
      </c>
      <c r="G230" t="s">
        <v>294</v>
      </c>
      <c r="H230" t="str">
        <f t="shared" si="18"/>
        <v>studies which report the potential nitrogen fixation rate per plant dry matter tissue and day as kg N per kg DM per day  (kg N/kg DM/day) , and the values reported therein, of Indigofera volkensii ( )  under semi-arid environments. If no data for this species exists, please default first to other species of the genus Indigofera   and then the SUBfamily Faboideae  and then the tribe Indigofereae.</v>
      </c>
      <c r="I230" t="str">
        <f t="shared" ref="I230:L249" si="20">I183</f>
        <v>nitrogen</v>
      </c>
      <c r="J230" t="str">
        <f t="shared" si="20"/>
        <v>NFIX_RATE</v>
      </c>
      <c r="K230" t="str">
        <f t="shared" si="20"/>
        <v>potential nitrogen fixation rate per plant dry matter tissue and day</v>
      </c>
      <c r="L230" t="str">
        <f t="shared" si="20"/>
        <v>kg N per kg DM per day</v>
      </c>
      <c r="M230" t="str">
        <f t="shared" si="16"/>
        <v>kg N/kg DM/day</v>
      </c>
      <c r="N230">
        <f t="shared" si="15"/>
        <v>3</v>
      </c>
    </row>
    <row r="231" spans="3:19" x14ac:dyDescent="0.25">
      <c r="C231" t="s">
        <v>290</v>
      </c>
      <c r="D231" t="s">
        <v>291</v>
      </c>
      <c r="E231" t="s">
        <v>292</v>
      </c>
      <c r="F231" t="s">
        <v>293</v>
      </c>
      <c r="G231" t="s">
        <v>294</v>
      </c>
      <c r="H231" t="str">
        <f t="shared" si="18"/>
        <v>studies which report the Optimum nitrogen concentration of foliage as kg per kg  (kg/kg) , and the values reported therein, of Indigofera volkensii ( )  under semi-arid environments. If no data for this species exists, please default first to other species of the genus Indigofera   and then the SUBfamily Faboideae  and then the tribe Indigofereae.</v>
      </c>
      <c r="I231" t="str">
        <f t="shared" si="20"/>
        <v>nitrogen</v>
      </c>
      <c r="J231" t="str">
        <f t="shared" si="20"/>
        <v>NCFOLOPT</v>
      </c>
      <c r="K231" t="str">
        <f t="shared" si="20"/>
        <v>Optimum nitrogen concentration of foliage</v>
      </c>
      <c r="L231" t="str">
        <f t="shared" si="20"/>
        <v>kg per kg</v>
      </c>
      <c r="M231" t="str">
        <f t="shared" si="16"/>
        <v>kg/kg</v>
      </c>
      <c r="N231">
        <f t="shared" si="15"/>
        <v>2</v>
      </c>
    </row>
    <row r="232" spans="3:19" x14ac:dyDescent="0.25">
      <c r="C232" t="s">
        <v>290</v>
      </c>
      <c r="D232" t="s">
        <v>291</v>
      </c>
      <c r="E232" t="s">
        <v>292</v>
      </c>
      <c r="F232" t="s">
        <v>293</v>
      </c>
      <c r="G232" t="s">
        <v>294</v>
      </c>
      <c r="H232" t="str">
        <f t="shared" si="18"/>
        <v>studies which report the Maximum (optimum) nitrogen concentration of fine roots as kg per kg  (kg/kg) , and the values reported therein, of Indigofera volkensii ( )  under semi-arid environments. If no data for this species exists, please default first to other species of the genus Indigofera   and then the SUBfamily Faboideae  and then the tribe Indigofereae.</v>
      </c>
      <c r="I232" t="str">
        <f t="shared" si="20"/>
        <v>nitrogen</v>
      </c>
      <c r="J232" t="str">
        <f t="shared" si="20"/>
        <v>NC_FINEROOTS_MAX</v>
      </c>
      <c r="K232" t="str">
        <f t="shared" si="20"/>
        <v>Maximum (optimum) nitrogen concentration of fine roots</v>
      </c>
      <c r="L232" t="str">
        <f t="shared" si="20"/>
        <v>kg per kg</v>
      </c>
      <c r="M232" t="str">
        <f t="shared" si="16"/>
        <v>kg/kg</v>
      </c>
      <c r="N232">
        <f t="shared" si="15"/>
        <v>2</v>
      </c>
    </row>
    <row r="233" spans="3:19" x14ac:dyDescent="0.25">
      <c r="C233" t="s">
        <v>290</v>
      </c>
      <c r="D233" t="s">
        <v>291</v>
      </c>
      <c r="E233" t="s">
        <v>292</v>
      </c>
      <c r="F233" t="s">
        <v>293</v>
      </c>
      <c r="G233" t="s">
        <v>294</v>
      </c>
      <c r="H233" t="str">
        <f t="shared" si="18"/>
        <v>studies which report the Minimum nitrogen concentration of fine roots as kg per kg  (kg/kg) , and the values reported therein, of Indigofera volkensii ( )  under semi-arid environments. If no data for this species exists, please default first to other species of the genus Indigofera   and then the SUBfamily Faboideae  and then the tribe Indigofereae.</v>
      </c>
      <c r="I233" t="str">
        <f t="shared" si="20"/>
        <v>nitrogen</v>
      </c>
      <c r="J233" t="str">
        <f t="shared" si="20"/>
        <v>NC_FINEROOTS_MIN</v>
      </c>
      <c r="K233" t="str">
        <f t="shared" si="20"/>
        <v>Minimum nitrogen concentration of fine roots</v>
      </c>
      <c r="L233" t="str">
        <f t="shared" si="20"/>
        <v>kg per kg</v>
      </c>
      <c r="M233" t="str">
        <f t="shared" si="16"/>
        <v>kg/kg</v>
      </c>
      <c r="N233">
        <f t="shared" si="15"/>
        <v>2</v>
      </c>
    </row>
    <row r="234" spans="3:19" x14ac:dyDescent="0.25">
      <c r="C234" t="s">
        <v>290</v>
      </c>
      <c r="D234" t="s">
        <v>291</v>
      </c>
      <c r="E234" t="s">
        <v>292</v>
      </c>
      <c r="F234" t="s">
        <v>293</v>
      </c>
      <c r="G234" t="s">
        <v>294</v>
      </c>
      <c r="H234" t="str">
        <f t="shared" si="18"/>
        <v>studies which report the Optimum nitrogen concentration of living structural tissue as kg per kg  (kg/kg) , and the values reported therein, of Indigofera volkensii ( )  under semi-arid environments. If no data for this species exists, please default first to other species of the genus Indigofera   and then the SUBfamily Faboideae  and then the tribe Indigofereae.</v>
      </c>
      <c r="I234" t="str">
        <f t="shared" si="20"/>
        <v>nitrogen</v>
      </c>
      <c r="J234" t="str">
        <f t="shared" si="20"/>
        <v>NC_STRUCTURAL_TISSUE_MAX</v>
      </c>
      <c r="K234" t="str">
        <f t="shared" si="20"/>
        <v>Optimum nitrogen concentration of living structural tissue</v>
      </c>
      <c r="L234" t="str">
        <f t="shared" si="20"/>
        <v>kg per kg</v>
      </c>
      <c r="M234" t="str">
        <f t="shared" si="16"/>
        <v>kg/kg</v>
      </c>
      <c r="N234">
        <f t="shared" si="15"/>
        <v>2</v>
      </c>
    </row>
    <row r="235" spans="3:19" x14ac:dyDescent="0.25">
      <c r="C235" t="s">
        <v>290</v>
      </c>
      <c r="D235" t="s">
        <v>291</v>
      </c>
      <c r="E235" t="s">
        <v>292</v>
      </c>
      <c r="F235" t="s">
        <v>293</v>
      </c>
      <c r="G235" t="s">
        <v>294</v>
      </c>
      <c r="H235" t="str">
        <f t="shared" si="18"/>
        <v>studies which report the Minimum nitrogen concentration of living structural tissue as kg per kg  (kg/kg) , and the values reported therein, of Indigofera volkensii ( )  under semi-arid environments. If no data for this species exists, please default first to other species of the genus Indigofera   and then the SUBfamily Faboideae  and then the tribe Indigofereae.</v>
      </c>
      <c r="I235" t="str">
        <f t="shared" si="20"/>
        <v>nitrogen</v>
      </c>
      <c r="J235" t="str">
        <f t="shared" si="20"/>
        <v>NC_STRUCTURAL_TISSUE_MIN</v>
      </c>
      <c r="K235" t="str">
        <f t="shared" si="20"/>
        <v>Minimum nitrogen concentration of living structural tissue</v>
      </c>
      <c r="L235" t="str">
        <f t="shared" si="20"/>
        <v>kg per kg</v>
      </c>
      <c r="M235" t="str">
        <f t="shared" si="16"/>
        <v>kg/kg</v>
      </c>
      <c r="N235">
        <f t="shared" si="15"/>
        <v>2</v>
      </c>
    </row>
    <row r="236" spans="3:19" x14ac:dyDescent="0.25">
      <c r="C236" t="s">
        <v>290</v>
      </c>
      <c r="D236" t="s">
        <v>291</v>
      </c>
      <c r="E236" t="s">
        <v>292</v>
      </c>
      <c r="F236" t="s">
        <v>293</v>
      </c>
      <c r="G236" t="s">
        <v>294</v>
      </c>
      <c r="H236" t="str">
        <f t="shared" si="18"/>
        <v>studies which report the Ratio between fine root- and foliage biomass under standard conditions. as ratio  (0) , and the values reported therein, of Indigofera volkensii ( )  under semi-arid environments. If no data for this species exists, please default first to other species of the genus Indigofera   and then the SUBfamily Faboideae  and then the tribe Indigofereae.</v>
      </c>
      <c r="I236" t="str">
        <f t="shared" si="20"/>
        <v>biomass</v>
      </c>
      <c r="J236" t="str">
        <f t="shared" si="20"/>
        <v>QRF</v>
      </c>
      <c r="K236" t="str">
        <f t="shared" si="20"/>
        <v>Ratio between fine root- and foliage biomass under standard conditions.</v>
      </c>
      <c r="L236" t="str">
        <f t="shared" si="20"/>
        <v>ratio</v>
      </c>
      <c r="M236">
        <f t="shared" si="16"/>
        <v>0</v>
      </c>
      <c r="N236">
        <f t="shared" si="15"/>
        <v>2</v>
      </c>
    </row>
    <row r="237" spans="3:19" x14ac:dyDescent="0.25">
      <c r="C237" t="s">
        <v>314</v>
      </c>
      <c r="D237" t="s">
        <v>291</v>
      </c>
      <c r="E237" t="s">
        <v>315</v>
      </c>
      <c r="F237" t="s">
        <v>316</v>
      </c>
      <c r="G237" t="s">
        <v>317</v>
      </c>
      <c r="H237" t="str">
        <f t="shared" si="18"/>
        <v>studies which report the Michaelis Menten constant for O2 at 25 degrees C as millimols per mol per mbar  (mmol mol-1 mbar-1) , and the values reported therein, of tephrosia pumila ( )  under semi-arid environments. If no data for this species exists, please default first to other species of the genus tephrosia  and then the SUBfamily Faboideae  and then the tribe Millettieae.</v>
      </c>
      <c r="I237" t="str">
        <f t="shared" si="20"/>
        <v>co2</v>
      </c>
      <c r="J237" t="str">
        <f t="shared" si="20"/>
        <v>KO25</v>
      </c>
      <c r="K237" t="str">
        <f t="shared" si="20"/>
        <v>Michaelis Menten constant for O2 at 25 degrees C</v>
      </c>
      <c r="L237" t="str">
        <f t="shared" si="20"/>
        <v>millimols per mol per mbar</v>
      </c>
      <c r="M237" t="str">
        <f t="shared" si="16"/>
        <v>mmol mol-1 mbar-1</v>
      </c>
      <c r="N237">
        <f t="shared" si="15"/>
        <v>2</v>
      </c>
      <c r="O237">
        <v>250</v>
      </c>
      <c r="P237">
        <v>300</v>
      </c>
      <c r="Q237">
        <v>278.39999999999998</v>
      </c>
      <c r="R237">
        <v>275</v>
      </c>
      <c r="S237" t="s">
        <v>318</v>
      </c>
    </row>
    <row r="238" spans="3:19" x14ac:dyDescent="0.25">
      <c r="C238" t="s">
        <v>314</v>
      </c>
      <c r="D238" t="s">
        <v>291</v>
      </c>
      <c r="E238" t="s">
        <v>315</v>
      </c>
      <c r="F238" t="s">
        <v>316</v>
      </c>
      <c r="G238" t="s">
        <v>317</v>
      </c>
      <c r="H238" t="e">
        <f t="shared" si="18"/>
        <v>#NAME?</v>
      </c>
      <c r="I238" t="str">
        <f t="shared" si="20"/>
        <v>co2</v>
      </c>
      <c r="J238" t="str">
        <f t="shared" si="20"/>
        <v>KM20</v>
      </c>
      <c r="K238" t="str">
        <f t="shared" si="20"/>
        <v>Maintenance coefficient at reference temperature</v>
      </c>
      <c r="L238" t="str">
        <f t="shared" si="20"/>
        <v>fraction</v>
      </c>
      <c r="M238" t="e">
        <f t="shared" si="16"/>
        <v>#NAME?</v>
      </c>
      <c r="N238">
        <f t="shared" si="15"/>
        <v>2</v>
      </c>
      <c r="O238">
        <v>0.32</v>
      </c>
      <c r="P238">
        <v>0.9</v>
      </c>
      <c r="Q238">
        <v>0.9</v>
      </c>
      <c r="R238">
        <v>0.61</v>
      </c>
      <c r="S238" t="s">
        <v>319</v>
      </c>
    </row>
    <row r="239" spans="3:19" x14ac:dyDescent="0.25">
      <c r="C239" t="s">
        <v>314</v>
      </c>
      <c r="D239" t="s">
        <v>291</v>
      </c>
      <c r="E239" t="s">
        <v>315</v>
      </c>
      <c r="F239" t="s">
        <v>316</v>
      </c>
      <c r="G239" t="s">
        <v>317</v>
      </c>
      <c r="H239" t="str">
        <f t="shared" si="18"/>
        <v>studies which report the Maximum RubP saturated rate of carboxylation at 25oC for sun leaves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39" t="str">
        <f t="shared" si="20"/>
        <v>co2</v>
      </c>
      <c r="J239" t="str">
        <f t="shared" si="20"/>
        <v>VCMAX25</v>
      </c>
      <c r="K239" t="str">
        <f t="shared" si="20"/>
        <v>Maximum RubP saturated rate of carboxylation at 25oC for sun leaves</v>
      </c>
      <c r="L239" t="str">
        <f t="shared" si="20"/>
        <v>micromols per square meter per second</v>
      </c>
      <c r="M239" t="str">
        <f t="shared" si="16"/>
        <v>umol m^-2 s^-1</v>
      </c>
      <c r="N239">
        <f t="shared" si="15"/>
        <v>2</v>
      </c>
    </row>
    <row r="240" spans="3:19" x14ac:dyDescent="0.25">
      <c r="C240" t="s">
        <v>314</v>
      </c>
      <c r="D240" t="s">
        <v>291</v>
      </c>
      <c r="E240" t="s">
        <v>315</v>
      </c>
      <c r="F240" t="s">
        <v>316</v>
      </c>
      <c r="G240" t="s">
        <v>317</v>
      </c>
      <c r="H240" t="str">
        <f t="shared" si="18"/>
        <v>studies which report the Activation energy for electron transport as Joules per mol  (J mol^-1) , and the values reported therein, of tephrosia pumila ( )  under semi-arid environments. If no data for this species exists, please default first to other species of the genus tephrosia  and then the SUBfamily Faboideae  and then the tribe Millettieae.</v>
      </c>
      <c r="I240" t="str">
        <f t="shared" si="20"/>
        <v>co2</v>
      </c>
      <c r="J240" t="str">
        <f t="shared" si="20"/>
        <v>AEJM</v>
      </c>
      <c r="K240" t="str">
        <f t="shared" si="20"/>
        <v>Activation energy for electron transport</v>
      </c>
      <c r="L240" t="str">
        <f t="shared" si="20"/>
        <v>Joules per mol</v>
      </c>
      <c r="M240" t="str">
        <f t="shared" si="16"/>
        <v>J mol^-1</v>
      </c>
      <c r="N240">
        <f t="shared" si="15"/>
        <v>0</v>
      </c>
      <c r="O240">
        <v>40000</v>
      </c>
      <c r="P240">
        <v>60000</v>
      </c>
      <c r="Q240">
        <v>43540</v>
      </c>
      <c r="R240">
        <v>50000</v>
      </c>
      <c r="S240" t="s">
        <v>320</v>
      </c>
    </row>
    <row r="241" spans="3:19" x14ac:dyDescent="0.25">
      <c r="C241" t="s">
        <v>314</v>
      </c>
      <c r="D241" t="s">
        <v>291</v>
      </c>
      <c r="E241" t="s">
        <v>315</v>
      </c>
      <c r="F241" t="s">
        <v>316</v>
      </c>
      <c r="G241" t="s">
        <v>317</v>
      </c>
      <c r="H241" t="str">
        <f t="shared" si="18"/>
        <v>studies which report the Activation energy for Michaelis-Menten constant for CO2 as Joules per mol  (J mol^-1) , and the values reported therein, of tephrosia pumila ( )  under semi-arid environments. If no data for this species exists, please default first to other species of the genus tephrosia  and then the SUBfamily Faboideae  and then the tribe Millettieae.</v>
      </c>
      <c r="I241" t="str">
        <f t="shared" si="20"/>
        <v>co2</v>
      </c>
      <c r="J241" t="str">
        <f t="shared" si="20"/>
        <v>AEKC</v>
      </c>
      <c r="K241" t="str">
        <f t="shared" si="20"/>
        <v>Activation energy for Michaelis-Menten constant for CO2</v>
      </c>
      <c r="L241" t="str">
        <f t="shared" si="20"/>
        <v>Joules per mol</v>
      </c>
      <c r="M241" t="str">
        <f t="shared" si="16"/>
        <v>J mol^-1</v>
      </c>
      <c r="N241">
        <f t="shared" si="15"/>
        <v>0</v>
      </c>
      <c r="O241">
        <v>60000</v>
      </c>
      <c r="P241">
        <v>85000</v>
      </c>
      <c r="Q241">
        <v>79430</v>
      </c>
      <c r="R241">
        <v>72500</v>
      </c>
      <c r="S241" t="s">
        <v>321</v>
      </c>
    </row>
    <row r="242" spans="3:19" x14ac:dyDescent="0.25">
      <c r="C242" t="s">
        <v>314</v>
      </c>
      <c r="D242" t="s">
        <v>291</v>
      </c>
      <c r="E242" t="s">
        <v>315</v>
      </c>
      <c r="F242" t="s">
        <v>316</v>
      </c>
      <c r="G242" t="s">
        <v>317</v>
      </c>
      <c r="H242" t="str">
        <f t="shared" si="18"/>
        <v>studies which report the Activation energy for Michaelis-Menten constant for O2 as Joules per mol  (J mol^-1) , and the values reported therein, of tephrosia pumila ( )  under semi-arid environments. If no data for this species exists, please default first to other species of the genus tephrosia  and then the SUBfamily Faboideae  and then the tribe Millettieae.</v>
      </c>
      <c r="I242" t="str">
        <f t="shared" si="20"/>
        <v>co2</v>
      </c>
      <c r="J242" t="str">
        <f t="shared" si="20"/>
        <v>AEKO</v>
      </c>
      <c r="K242" t="str">
        <f t="shared" si="20"/>
        <v>Activation energy for Michaelis-Menten constant for O2</v>
      </c>
      <c r="L242" t="str">
        <f t="shared" si="20"/>
        <v>Joules per mol</v>
      </c>
      <c r="M242" t="str">
        <f t="shared" si="16"/>
        <v>J mol^-1</v>
      </c>
      <c r="N242">
        <f t="shared" ref="N242:N305" si="21">N195</f>
        <v>0</v>
      </c>
      <c r="O242">
        <v>30000</v>
      </c>
      <c r="P242">
        <v>45000</v>
      </c>
      <c r="Q242">
        <v>36380</v>
      </c>
      <c r="R242">
        <v>37500</v>
      </c>
      <c r="S242" t="s">
        <v>321</v>
      </c>
    </row>
    <row r="243" spans="3:19" x14ac:dyDescent="0.25">
      <c r="C243" t="s">
        <v>314</v>
      </c>
      <c r="D243" t="s">
        <v>291</v>
      </c>
      <c r="E243" t="s">
        <v>315</v>
      </c>
      <c r="F243" t="s">
        <v>316</v>
      </c>
      <c r="G243" t="s">
        <v>317</v>
      </c>
      <c r="H243" t="str">
        <f t="shared" si="18"/>
        <v>studies which report the Activation energy for dark respiration as Joules per mol  (J mol^-1) , and the values reported therein, of tephrosia pumila ( )  under semi-arid environments. If no data for this species exists, please default first to other species of the genus tephrosia  and then the SUBfamily Faboideae  and then the tribe Millettieae.</v>
      </c>
      <c r="I243" t="str">
        <f t="shared" si="20"/>
        <v>co2</v>
      </c>
      <c r="J243" t="str">
        <f t="shared" si="20"/>
        <v>AERD</v>
      </c>
      <c r="K243" t="str">
        <f t="shared" si="20"/>
        <v>Activation energy for dark respiration</v>
      </c>
      <c r="L243" t="str">
        <f t="shared" si="20"/>
        <v>Joules per mol</v>
      </c>
      <c r="M243" t="str">
        <f t="shared" ref="M243:M306" si="22">M196</f>
        <v>J mol^-1</v>
      </c>
      <c r="N243">
        <f t="shared" si="21"/>
        <v>0</v>
      </c>
      <c r="O243">
        <v>40000</v>
      </c>
      <c r="P243">
        <v>60000</v>
      </c>
      <c r="Q243">
        <v>46390</v>
      </c>
      <c r="R243">
        <v>50000</v>
      </c>
      <c r="S243" t="s">
        <v>321</v>
      </c>
    </row>
    <row r="244" spans="3:19" x14ac:dyDescent="0.25">
      <c r="C244" t="s">
        <v>314</v>
      </c>
      <c r="D244" t="s">
        <v>291</v>
      </c>
      <c r="E244" t="s">
        <v>315</v>
      </c>
      <c r="F244" t="s">
        <v>316</v>
      </c>
      <c r="G244" t="s">
        <v>317</v>
      </c>
      <c r="H244" t="str">
        <f t="shared" si="18"/>
        <v>studies which report the Activation energy for photosynthesis as Joules per mol  (J mol^-2) , and the values reported therein, of tephrosia pumila ( )  under semi-arid environments. If no data for this species exists, please default first to other species of the genus tephrosia  and then the SUBfamily Faboideae  and then the tribe Millettieae.</v>
      </c>
      <c r="I244" t="str">
        <f t="shared" si="20"/>
        <v>co2</v>
      </c>
      <c r="J244" t="str">
        <f t="shared" si="20"/>
        <v>AEVC</v>
      </c>
      <c r="K244" t="str">
        <f t="shared" si="20"/>
        <v>Activation energy for photosynthesis</v>
      </c>
      <c r="L244" t="str">
        <f t="shared" si="20"/>
        <v>Joules per mol</v>
      </c>
      <c r="M244" t="str">
        <f t="shared" si="22"/>
        <v>J mol^-2</v>
      </c>
      <c r="N244">
        <f t="shared" si="21"/>
        <v>0</v>
      </c>
      <c r="O244">
        <v>60000</v>
      </c>
      <c r="P244">
        <v>75000</v>
      </c>
      <c r="Q244">
        <v>65330</v>
      </c>
      <c r="R244">
        <v>67500</v>
      </c>
      <c r="S244" t="s">
        <v>321</v>
      </c>
    </row>
    <row r="245" spans="3:19" x14ac:dyDescent="0.25">
      <c r="C245" t="s">
        <v>314</v>
      </c>
      <c r="D245" t="s">
        <v>291</v>
      </c>
      <c r="E245" t="s">
        <v>315</v>
      </c>
      <c r="F245" t="s">
        <v>316</v>
      </c>
      <c r="G245" t="s">
        <v>317</v>
      </c>
      <c r="H245" t="str">
        <f t="shared" si="18"/>
        <v>studies which report the Activation energy for RubP oxygenation as Joules per mol  (J mol-1) , and the values reported therein, of tephrosia pumila ( )  under semi-arid environments. If no data for this species exists, please default first to other species of the genus tephrosia  and then the SUBfamily Faboideae  and then the tribe Millettieae.</v>
      </c>
      <c r="I245" t="str">
        <f t="shared" si="20"/>
        <v>co2</v>
      </c>
      <c r="J245" t="str">
        <f t="shared" si="20"/>
        <v>AEVO</v>
      </c>
      <c r="K245" t="str">
        <f t="shared" si="20"/>
        <v>Activation energy for RubP oxygenation</v>
      </c>
      <c r="L245" t="str">
        <f t="shared" si="20"/>
        <v>Joules per mol</v>
      </c>
      <c r="M245" t="str">
        <f t="shared" si="22"/>
        <v>J mol-1</v>
      </c>
      <c r="N245">
        <f t="shared" si="21"/>
        <v>0</v>
      </c>
      <c r="O245">
        <v>30000</v>
      </c>
      <c r="P245">
        <v>55000</v>
      </c>
      <c r="Q245">
        <v>45000</v>
      </c>
      <c r="R245">
        <v>42500</v>
      </c>
      <c r="S245" t="s">
        <v>321</v>
      </c>
    </row>
    <row r="246" spans="3:19" x14ac:dyDescent="0.25">
      <c r="C246" t="s">
        <v>314</v>
      </c>
      <c r="D246" t="s">
        <v>291</v>
      </c>
      <c r="E246" t="s">
        <v>315</v>
      </c>
      <c r="F246" t="s">
        <v>316</v>
      </c>
      <c r="G246" t="s">
        <v>317</v>
      </c>
      <c r="H246" t="str">
        <f t="shared" si="18"/>
        <v>studies which report the Relation between maximum electron transport rate and RubP saturated rate of carboxylation as micromols per mol per mbar  (umol mol-1 ubar-1)) , and the values reported therein, of tephrosia pumila ( )  under semi-arid environments. If no data for this species exists, please default first to other species of the genus tephrosia  and then the SUBfamily Faboideae  and then the tribe Millettieae.</v>
      </c>
      <c r="I246" t="str">
        <f t="shared" si="20"/>
        <v>co2</v>
      </c>
      <c r="J246" t="str">
        <f t="shared" si="20"/>
        <v>KC25</v>
      </c>
      <c r="K246" t="str">
        <f t="shared" si="20"/>
        <v>Relation between maximum electron transport rate and RubP saturated rate of carboxylation</v>
      </c>
      <c r="L246" t="str">
        <f t="shared" si="20"/>
        <v>micromols per mol per mbar</v>
      </c>
      <c r="M246" t="str">
        <f t="shared" si="22"/>
        <v>umol mol-1 ubar-1)</v>
      </c>
      <c r="N246">
        <f t="shared" si="21"/>
        <v>2</v>
      </c>
      <c r="O246">
        <v>300</v>
      </c>
      <c r="P246">
        <v>500</v>
      </c>
      <c r="Q246">
        <v>404.9</v>
      </c>
      <c r="R246">
        <v>400</v>
      </c>
      <c r="S246" t="s">
        <v>321</v>
      </c>
    </row>
    <row r="247" spans="3:19" x14ac:dyDescent="0.25">
      <c r="C247" t="s">
        <v>314</v>
      </c>
      <c r="D247" t="s">
        <v>291</v>
      </c>
      <c r="E247" t="s">
        <v>315</v>
      </c>
      <c r="F247" t="s">
        <v>316</v>
      </c>
      <c r="G247" t="s">
        <v>317</v>
      </c>
      <c r="H247" t="str">
        <f t="shared" si="18"/>
        <v>studies which report the Curvature parameter for the light response curve as 0  (0) , and the values reported therein, of tephrosia pumila ( )  under semi-arid environments. If no data for this species exists, please default first to other species of the genus tephrosia  and then the SUBfamily Faboideae  and then the tribe Millettieae.</v>
      </c>
      <c r="I247" t="str">
        <f t="shared" si="20"/>
        <v>co2</v>
      </c>
      <c r="J247" t="str">
        <f t="shared" si="20"/>
        <v>THETA</v>
      </c>
      <c r="K247" t="str">
        <f t="shared" si="20"/>
        <v>Curvature parameter for the light response curve</v>
      </c>
      <c r="L247">
        <f t="shared" si="20"/>
        <v>0</v>
      </c>
      <c r="M247">
        <f t="shared" si="22"/>
        <v>0</v>
      </c>
      <c r="N247">
        <f t="shared" si="21"/>
        <v>2</v>
      </c>
      <c r="O247">
        <v>0.7</v>
      </c>
      <c r="P247">
        <v>0.9</v>
      </c>
      <c r="Q247">
        <v>0.8</v>
      </c>
      <c r="R247">
        <v>0.8</v>
      </c>
      <c r="S247" t="s">
        <v>322</v>
      </c>
    </row>
    <row r="248" spans="3:19" x14ac:dyDescent="0.25">
      <c r="C248" t="s">
        <v>314</v>
      </c>
      <c r="D248" t="s">
        <v>291</v>
      </c>
      <c r="E248" t="s">
        <v>315</v>
      </c>
      <c r="F248" t="s">
        <v>316</v>
      </c>
      <c r="G248" t="s">
        <v>317</v>
      </c>
      <c r="H248" t="str">
        <f t="shared" si="18"/>
        <v>studies which report the Relation between maximum electron transport rate and RubP saturated rate of carboxylation (ï¿½).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48" t="str">
        <f t="shared" si="20"/>
        <v>co2</v>
      </c>
      <c r="J248" t="str">
        <f t="shared" si="20"/>
        <v>QJVC</v>
      </c>
      <c r="K248" t="str">
        <f t="shared" si="20"/>
        <v>Relation between maximum electron transport rate and RubP saturated rate of carboxylation (ï¿½).</v>
      </c>
      <c r="L248" t="str">
        <f t="shared" si="20"/>
        <v>micromols per square meter per second</v>
      </c>
      <c r="M248" t="str">
        <f t="shared" si="22"/>
        <v>umol m^-2 s^-1</v>
      </c>
      <c r="N248">
        <f t="shared" si="21"/>
        <v>2</v>
      </c>
      <c r="O248">
        <v>2</v>
      </c>
      <c r="P248">
        <v>2.5</v>
      </c>
      <c r="Q248">
        <v>2.27</v>
      </c>
      <c r="R248">
        <v>2.27</v>
      </c>
      <c r="S248" t="s">
        <v>323</v>
      </c>
    </row>
    <row r="249" spans="3:19" x14ac:dyDescent="0.25">
      <c r="C249" t="s">
        <v>314</v>
      </c>
      <c r="D249" t="s">
        <v>291</v>
      </c>
      <c r="E249" t="s">
        <v>315</v>
      </c>
      <c r="F249" t="s">
        <v>316</v>
      </c>
      <c r="G249" t="s">
        <v>317</v>
      </c>
      <c r="H249" t="str">
        <f t="shared" si="18"/>
        <v>studies which report the Relation between dark respiration rate and RubP saturated rate of carboxyla tion at 25 oC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49" t="str">
        <f t="shared" si="20"/>
        <v>co2</v>
      </c>
      <c r="J249" t="str">
        <f t="shared" si="20"/>
        <v>QRD25</v>
      </c>
      <c r="K249" t="str">
        <f t="shared" si="20"/>
        <v>Relation between dark respiration rate and RubP saturated rate of carboxyla tion at 25 oC</v>
      </c>
      <c r="L249" t="str">
        <f t="shared" si="20"/>
        <v>micromols per square meter per second</v>
      </c>
      <c r="M249" t="str">
        <f t="shared" si="22"/>
        <v>umol m^-2 s^-1</v>
      </c>
      <c r="N249">
        <f t="shared" si="21"/>
        <v>2</v>
      </c>
      <c r="O249">
        <v>0.01</v>
      </c>
      <c r="P249">
        <v>0.02</v>
      </c>
      <c r="Q249">
        <v>1.4999999999999999E-2</v>
      </c>
      <c r="R249">
        <v>1.4999999999999999E-2</v>
      </c>
      <c r="S249" t="s">
        <v>324</v>
      </c>
    </row>
    <row r="250" spans="3:19" x14ac:dyDescent="0.25">
      <c r="C250" t="s">
        <v>314</v>
      </c>
      <c r="D250" t="s">
        <v>291</v>
      </c>
      <c r="E250" t="s">
        <v>315</v>
      </c>
      <c r="F250" t="s">
        <v>316</v>
      </c>
      <c r="G250" t="s">
        <v>317</v>
      </c>
      <c r="H250" t="str">
        <f t="shared" si="18"/>
        <v>studies which report the Maximum instantaneous water use efficiency as milligrams of carbon dioxide per gram of water  (mg CO2 g^-1 H2O) , and the values reported therein, of tephrosia pumila ( )  under semi-arid environments. If no data for this species exists, please default first to other species of the genus tephrosia  and then the SUBfamily Faboideae  and then the tribe Millettieae.</v>
      </c>
      <c r="I250" t="str">
        <f t="shared" ref="I250:L269" si="23">I203</f>
        <v>water</v>
      </c>
      <c r="J250" t="str">
        <f t="shared" si="23"/>
        <v>WUECMAX</v>
      </c>
      <c r="K250" t="str">
        <f t="shared" si="23"/>
        <v>Maximum instantaneous water use efficiency</v>
      </c>
      <c r="L250" t="str">
        <f t="shared" si="23"/>
        <v>milligrams of carbon dioxide per gram of water</v>
      </c>
      <c r="M250" t="str">
        <f t="shared" si="22"/>
        <v>mg CO2 g^-1 H2O</v>
      </c>
      <c r="N250">
        <f t="shared" si="21"/>
        <v>1</v>
      </c>
      <c r="O250">
        <v>3</v>
      </c>
      <c r="P250">
        <v>6.5</v>
      </c>
      <c r="Q250">
        <v>4.5</v>
      </c>
      <c r="R250">
        <v>4.75</v>
      </c>
      <c r="S250" t="s">
        <v>325</v>
      </c>
    </row>
    <row r="251" spans="3:19" x14ac:dyDescent="0.25">
      <c r="C251" t="s">
        <v>314</v>
      </c>
      <c r="D251" t="s">
        <v>291</v>
      </c>
      <c r="E251" t="s">
        <v>315</v>
      </c>
      <c r="F251" t="s">
        <v>316</v>
      </c>
      <c r="G251" t="s">
        <v>317</v>
      </c>
      <c r="H251" t="str">
        <f t="shared" si="18"/>
        <v>studies which report the minimum instantaneous water use efficiency as milligrams of carbon dioxide per gram of water  (mg CO2 g^-1 H2O) , and the values reported therein, of tephrosia pumila ( )  under semi-arid environments. If no data for this species exists, please default first to other species of the genus tephrosia  and then the SUBfamily Faboideae  and then the tribe Millettieae.</v>
      </c>
      <c r="I251" t="str">
        <f t="shared" si="23"/>
        <v>water</v>
      </c>
      <c r="J251" t="str">
        <f t="shared" si="23"/>
        <v>WUECMIN</v>
      </c>
      <c r="K251" t="str">
        <f t="shared" si="23"/>
        <v>minimum instantaneous water use efficiency</v>
      </c>
      <c r="L251" t="str">
        <f t="shared" si="23"/>
        <v>milligrams of carbon dioxide per gram of water</v>
      </c>
      <c r="M251" t="str">
        <f t="shared" si="22"/>
        <v>mg CO2 g^-1 H2O</v>
      </c>
      <c r="N251">
        <f t="shared" si="21"/>
        <v>1</v>
      </c>
      <c r="O251">
        <v>1</v>
      </c>
      <c r="P251">
        <v>2.5</v>
      </c>
      <c r="Q251">
        <v>1.5</v>
      </c>
      <c r="R251">
        <v>1.75</v>
      </c>
      <c r="S251" t="s">
        <v>325</v>
      </c>
    </row>
    <row r="252" spans="3:19" x14ac:dyDescent="0.25">
      <c r="C252" t="s">
        <v>314</v>
      </c>
      <c r="D252" t="s">
        <v>291</v>
      </c>
      <c r="E252" t="s">
        <v>315</v>
      </c>
      <c r="F252" t="s">
        <v>316</v>
      </c>
      <c r="G252" t="s">
        <v>317</v>
      </c>
      <c r="H252" t="str">
        <f t="shared" si="18"/>
        <v>studies which report the relative available soil water content at which drought affects photosynthesis activity as a fraction   (0) , and the values reported therein, of tephrosia pumila ( )  under semi-arid environments. If no data for this species exists, please default first to other species of the genus tephrosia  and then the SUBfamily Faboideae  and then the tribe Millettieae.</v>
      </c>
      <c r="I252" t="str">
        <f t="shared" si="23"/>
        <v>water</v>
      </c>
      <c r="J252" t="str">
        <f t="shared" si="23"/>
        <v>H2OREF_A</v>
      </c>
      <c r="K252" t="str">
        <f t="shared" si="23"/>
        <v>relative available soil water content at which drought affects photosynthesis activity</v>
      </c>
      <c r="L252" t="str">
        <f t="shared" si="23"/>
        <v xml:space="preserve">a fraction </v>
      </c>
      <c r="M252">
        <f t="shared" si="22"/>
        <v>0</v>
      </c>
      <c r="N252">
        <f t="shared" si="21"/>
        <v>2</v>
      </c>
      <c r="O252">
        <v>0.2</v>
      </c>
      <c r="P252">
        <v>0.4</v>
      </c>
      <c r="Q252">
        <v>0.3</v>
      </c>
      <c r="R252">
        <v>0.35</v>
      </c>
      <c r="S252" t="s">
        <v>326</v>
      </c>
    </row>
    <row r="253" spans="3:19" x14ac:dyDescent="0.25">
      <c r="C253" t="s">
        <v>314</v>
      </c>
      <c r="D253" t="s">
        <v>291</v>
      </c>
      <c r="E253" t="s">
        <v>315</v>
      </c>
      <c r="F253" t="s">
        <v>316</v>
      </c>
      <c r="G253" t="s">
        <v>317</v>
      </c>
      <c r="H253" t="str">
        <f t="shared" si="18"/>
        <v>studies which report the relative available soil water content below which restricted water availability triggers plant senescence as a fraction   (0) , and the values reported therein, of tephrosia pumila ( )  under semi-arid environments. If no data for this species exists, please default first to other species of the genus tephrosia  and then the SUBfamily Faboideae  and then the tribe Millettieae.</v>
      </c>
      <c r="I253" t="str">
        <f t="shared" si="23"/>
        <v>water</v>
      </c>
      <c r="J253" t="str">
        <f t="shared" si="23"/>
        <v>H2OREF_SENESCENCE</v>
      </c>
      <c r="K253" t="str">
        <f t="shared" si="23"/>
        <v>relative available soil water content below which restricted water availability triggers plant senescence</v>
      </c>
      <c r="L253" t="str">
        <f t="shared" si="23"/>
        <v xml:space="preserve">a fraction </v>
      </c>
      <c r="M253">
        <f t="shared" si="22"/>
        <v>0</v>
      </c>
      <c r="N253">
        <f t="shared" si="21"/>
        <v>2</v>
      </c>
      <c r="O253">
        <v>0</v>
      </c>
      <c r="P253">
        <v>0</v>
      </c>
      <c r="Q253">
        <v>0</v>
      </c>
      <c r="R253">
        <v>0</v>
      </c>
      <c r="S253" t="s">
        <v>171</v>
      </c>
    </row>
    <row r="254" spans="3:19" x14ac:dyDescent="0.25">
      <c r="C254" t="s">
        <v>314</v>
      </c>
      <c r="D254" t="s">
        <v>291</v>
      </c>
      <c r="E254" t="s">
        <v>315</v>
      </c>
      <c r="F254" t="s">
        <v>316</v>
      </c>
      <c r="G254" t="s">
        <v>317</v>
      </c>
      <c r="H254" t="str">
        <f t="shared" si="18"/>
        <v>studies which report the relative available soil water content at which stomata are fully closed as a fraction   (0) , and the values reported therein, of tephrosia pumila ( )  under semi-arid environments. If no data for this species exists, please default first to other species of the genus tephrosia  and then the SUBfamily Faboideae  and then the tribe Millettieae.</v>
      </c>
      <c r="I254" t="str">
        <f t="shared" si="23"/>
        <v>water</v>
      </c>
      <c r="J254" t="str">
        <f t="shared" si="23"/>
        <v>H2OREF_GS</v>
      </c>
      <c r="K254" t="str">
        <f t="shared" si="23"/>
        <v>relative available soil water content at which stomata are fully closed</v>
      </c>
      <c r="L254" t="str">
        <f t="shared" si="23"/>
        <v xml:space="preserve">a fraction </v>
      </c>
      <c r="M254">
        <f t="shared" si="22"/>
        <v>0</v>
      </c>
      <c r="N254">
        <f t="shared" si="21"/>
        <v>2</v>
      </c>
      <c r="O254">
        <v>0.33</v>
      </c>
      <c r="P254">
        <v>0.33</v>
      </c>
      <c r="Q254">
        <v>0.33</v>
      </c>
      <c r="R254">
        <v>0.33</v>
      </c>
      <c r="S254" t="s">
        <v>171</v>
      </c>
    </row>
    <row r="255" spans="3:19" ht="26.25" customHeight="1" x14ac:dyDescent="0.25">
      <c r="C255" t="s">
        <v>314</v>
      </c>
      <c r="D255" t="s">
        <v>291</v>
      </c>
      <c r="E255" t="s">
        <v>315</v>
      </c>
      <c r="F255" t="s">
        <v>316</v>
      </c>
      <c r="G255" t="s">
        <v>317</v>
      </c>
      <c r="H255" t="str">
        <f t="shared" si="18"/>
        <v>studies which report the relative available soil water content below which flushing is affected by water
availability as 0  (0) , and the values reported therein, of tephrosia pumila ( )  under semi-arid environments. If no data for this species exists, please default first to other species of the genus tephrosia  and then the SUBfamily Faboideae  and then the tribe Millettieae.</v>
      </c>
      <c r="I255" t="str">
        <f t="shared" si="23"/>
        <v>water</v>
      </c>
      <c r="J255" t="str">
        <f t="shared" si="23"/>
        <v>H2OREF_FLUSHING</v>
      </c>
      <c r="K255" t="str">
        <f t="shared" si="23"/>
        <v>relative available soil water content below which flushing is affected by water
availability</v>
      </c>
      <c r="L255">
        <f t="shared" si="23"/>
        <v>0</v>
      </c>
      <c r="M255">
        <f t="shared" si="22"/>
        <v>0</v>
      </c>
      <c r="N255">
        <f t="shared" si="21"/>
        <v>2</v>
      </c>
      <c r="O255">
        <v>0</v>
      </c>
      <c r="P255">
        <v>0</v>
      </c>
      <c r="Q255">
        <v>0</v>
      </c>
      <c r="R255">
        <v>0</v>
      </c>
      <c r="S255" t="s">
        <v>171</v>
      </c>
    </row>
    <row r="256" spans="3:19" x14ac:dyDescent="0.25">
      <c r="C256" t="s">
        <v>314</v>
      </c>
      <c r="D256" t="s">
        <v>291</v>
      </c>
      <c r="E256" t="s">
        <v>315</v>
      </c>
      <c r="F256" t="s">
        <v>316</v>
      </c>
      <c r="G256" t="s">
        <v>317</v>
      </c>
      <c r="H256" t="str">
        <f t="shared" si="18"/>
        <v>studies which report the relative available soil water content below which leaf growth is affected as 0  (0) , and the values reported therein, of tephrosia pumila ( )  under semi-arid environments. If no data for this species exists, please default first to other species of the genus tephrosia  and then the SUBfamily Faboideae  and then the tribe Millettieae.</v>
      </c>
      <c r="I256" t="str">
        <f t="shared" si="23"/>
        <v>water</v>
      </c>
      <c r="J256" t="str">
        <f t="shared" si="23"/>
        <v>H2OREF_LEAF_GROWTH</v>
      </c>
      <c r="K256" t="str">
        <f t="shared" si="23"/>
        <v>relative available soil water content below which leaf growth is affected</v>
      </c>
      <c r="L256">
        <f t="shared" si="23"/>
        <v>0</v>
      </c>
      <c r="M256">
        <f t="shared" si="22"/>
        <v>0</v>
      </c>
      <c r="N256">
        <f t="shared" si="21"/>
        <v>2</v>
      </c>
      <c r="O256">
        <v>0.3</v>
      </c>
      <c r="P256">
        <v>0.5</v>
      </c>
      <c r="Q256">
        <v>0.4</v>
      </c>
      <c r="R256">
        <v>0.4</v>
      </c>
      <c r="S256" t="s">
        <v>301</v>
      </c>
    </row>
    <row r="257" spans="3:19" x14ac:dyDescent="0.25">
      <c r="C257" t="s">
        <v>314</v>
      </c>
      <c r="D257" t="s">
        <v>291</v>
      </c>
      <c r="E257" t="s">
        <v>315</v>
      </c>
      <c r="F257" t="s">
        <v>316</v>
      </c>
      <c r="G257" t="s">
        <v>317</v>
      </c>
      <c r="H257" t="str">
        <f t="shared" si="18"/>
        <v>studies which report the maximum stomatal conductivity  as millimols of h2o per square meter per second  (mmol H2O m^(-2) s^(-1)) , and the values reported therein, of tephrosia pumila ( )  under semi-arid environments. If no data for this species exists, please default first to other species of the genus tephrosia  and then the SUBfamily Faboideae  and then the tribe Millettieae.</v>
      </c>
      <c r="I257" t="str">
        <f t="shared" si="23"/>
        <v>water</v>
      </c>
      <c r="J257" t="str">
        <f t="shared" si="23"/>
        <v>GSMAX</v>
      </c>
      <c r="K257" t="str">
        <f t="shared" si="23"/>
        <v xml:space="preserve">maximum stomatal conductivity </v>
      </c>
      <c r="L257" t="str">
        <f t="shared" si="23"/>
        <v>millimols of h2o per square meter per second</v>
      </c>
      <c r="M257" t="str">
        <f t="shared" si="22"/>
        <v>mmol H2O m^(-2) s^(-1)</v>
      </c>
      <c r="N257">
        <f t="shared" si="21"/>
        <v>1</v>
      </c>
      <c r="O257">
        <v>200</v>
      </c>
      <c r="P257">
        <v>400</v>
      </c>
      <c r="Q257">
        <v>300</v>
      </c>
      <c r="R257">
        <v>300</v>
      </c>
      <c r="S257" t="s">
        <v>327</v>
      </c>
    </row>
    <row r="258" spans="3:19" x14ac:dyDescent="0.25">
      <c r="C258" t="s">
        <v>314</v>
      </c>
      <c r="D258" t="s">
        <v>291</v>
      </c>
      <c r="E258" t="s">
        <v>315</v>
      </c>
      <c r="F258" t="s">
        <v>316</v>
      </c>
      <c r="G258" t="s">
        <v>317</v>
      </c>
      <c r="H258" t="str">
        <f t="shared" ref="H258:H283" si="24">_xlfn.CONCAT("studies which report the ", K258," as ",L258,"  (",M258,") , and the values reported therein, of ", C258," ( ", B258,")  under semi-arid environments. If no data for this species exists, please default first to other species of the genus ", F258,"  and then the SUBfamily ", D258,"  and then the tribe ", E258,".")</f>
        <v>studies which report the minimum stomatal conductivity  as millimols of h2o per square meter per second  (mmol H2O m^(-2) s^(-1)) , and the values reported therein, of tephrosia pumila ( )  under semi-arid environments. If no data for this species exists, please default first to other species of the genus tephrosia  and then the SUBfamily Faboideae  and then the tribe Millettieae.</v>
      </c>
      <c r="I258" t="str">
        <f t="shared" si="23"/>
        <v>water</v>
      </c>
      <c r="J258" t="str">
        <f t="shared" si="23"/>
        <v>GSMIN</v>
      </c>
      <c r="K258" t="str">
        <f t="shared" si="23"/>
        <v xml:space="preserve">minimum stomatal conductivity </v>
      </c>
      <c r="L258" t="str">
        <f t="shared" si="23"/>
        <v>millimols of h2o per square meter per second</v>
      </c>
      <c r="M258" t="str">
        <f t="shared" si="22"/>
        <v>mmol H2O m^(-2) s^(-1)</v>
      </c>
      <c r="N258">
        <f t="shared" si="21"/>
        <v>1</v>
      </c>
      <c r="O258">
        <v>2</v>
      </c>
      <c r="P258">
        <v>15</v>
      </c>
      <c r="Q258">
        <v>2</v>
      </c>
      <c r="R258">
        <v>8.5</v>
      </c>
      <c r="S258" t="s">
        <v>328</v>
      </c>
    </row>
    <row r="259" spans="3:19" x14ac:dyDescent="0.25">
      <c r="C259" t="s">
        <v>314</v>
      </c>
      <c r="D259" t="s">
        <v>291</v>
      </c>
      <c r="E259" t="s">
        <v>315</v>
      </c>
      <c r="F259" t="s">
        <v>316</v>
      </c>
      <c r="G259" t="s">
        <v>317</v>
      </c>
      <c r="H259" t="str">
        <f t="shared" si="24"/>
        <v>studies which report the Biomass fraction of foliage at maturity. as fraction  (0) , and the values reported therein, of tephrosia pumila ( )  under semi-arid environments. If no data for this species exists, please default first to other species of the genus tephrosia  and then the SUBfamily Faboideae  and then the tribe Millettieae.</v>
      </c>
      <c r="I259" t="str">
        <f t="shared" si="23"/>
        <v>biomass</v>
      </c>
      <c r="J259" t="str">
        <f t="shared" si="23"/>
        <v>FRACTION_FOLIAGE</v>
      </c>
      <c r="K259" t="str">
        <f t="shared" si="23"/>
        <v>Biomass fraction of foliage at maturity.</v>
      </c>
      <c r="L259" t="str">
        <f t="shared" si="23"/>
        <v>fraction</v>
      </c>
      <c r="M259">
        <f t="shared" si="22"/>
        <v>0</v>
      </c>
      <c r="N259">
        <f t="shared" si="21"/>
        <v>2</v>
      </c>
      <c r="O259">
        <v>0.4</v>
      </c>
      <c r="P259">
        <v>0.5</v>
      </c>
      <c r="Q259">
        <v>0.45</v>
      </c>
      <c r="R259">
        <v>0.45</v>
      </c>
      <c r="S259" t="s">
        <v>329</v>
      </c>
    </row>
    <row r="260" spans="3:19" x14ac:dyDescent="0.25">
      <c r="C260" t="s">
        <v>314</v>
      </c>
      <c r="D260" t="s">
        <v>291</v>
      </c>
      <c r="E260" t="s">
        <v>315</v>
      </c>
      <c r="F260" t="s">
        <v>316</v>
      </c>
      <c r="G260" t="s">
        <v>317</v>
      </c>
      <c r="H260" t="str">
        <f t="shared" si="24"/>
        <v>studies which report the Biomass fraction of roots at maturity as fraction  (0) , and the values reported therein, of tephrosia pumila ( )  under semi-arid environments. If no data for this species exists, please default first to other species of the genus tephrosia  and then the SUBfamily Faboideae  and then the tribe Millettieae.</v>
      </c>
      <c r="I260" t="str">
        <f t="shared" si="23"/>
        <v>biomass</v>
      </c>
      <c r="J260" t="str">
        <f t="shared" si="23"/>
        <v>FRACTION_ROOT</v>
      </c>
      <c r="K260" t="str">
        <f t="shared" si="23"/>
        <v>Biomass fraction of roots at maturity</v>
      </c>
      <c r="L260" t="str">
        <f t="shared" si="23"/>
        <v>fraction</v>
      </c>
      <c r="M260">
        <f t="shared" si="22"/>
        <v>0</v>
      </c>
      <c r="N260">
        <f t="shared" si="21"/>
        <v>2</v>
      </c>
      <c r="O260">
        <v>0.2</v>
      </c>
      <c r="P260">
        <v>0.35</v>
      </c>
      <c r="Q260">
        <v>0.25</v>
      </c>
      <c r="R260">
        <v>0.27500000000000002</v>
      </c>
      <c r="S260" t="s">
        <v>330</v>
      </c>
    </row>
    <row r="261" spans="3:19" x14ac:dyDescent="0.25">
      <c r="C261" t="s">
        <v>314</v>
      </c>
      <c r="D261" t="s">
        <v>291</v>
      </c>
      <c r="E261" t="s">
        <v>315</v>
      </c>
      <c r="F261" t="s">
        <v>316</v>
      </c>
      <c r="G261" t="s">
        <v>317</v>
      </c>
      <c r="H261" t="str">
        <f t="shared" si="24"/>
        <v>studies which report the Biomass fraction of fruit at maturity. as fraction  (0) , and the values reported therein, of tephrosia pumila ( )  under semi-arid environments. If no data for this species exists, please default first to other species of the genus tephrosia  and then the SUBfamily Faboideae  and then the tribe Millettieae.</v>
      </c>
      <c r="I261" t="str">
        <f t="shared" si="23"/>
        <v>biomass</v>
      </c>
      <c r="J261" t="str">
        <f t="shared" si="23"/>
        <v>FRACTION_FRUIT</v>
      </c>
      <c r="K261" t="str">
        <f t="shared" si="23"/>
        <v>Biomass fraction of fruit at maturity.</v>
      </c>
      <c r="L261" t="str">
        <f t="shared" si="23"/>
        <v>fraction</v>
      </c>
      <c r="M261">
        <f t="shared" si="22"/>
        <v>0</v>
      </c>
      <c r="N261">
        <f t="shared" si="21"/>
        <v>2</v>
      </c>
      <c r="O261">
        <v>0.35</v>
      </c>
      <c r="P261">
        <v>0.5</v>
      </c>
      <c r="Q261">
        <v>0.45</v>
      </c>
      <c r="R261">
        <v>0.42499999999999999</v>
      </c>
      <c r="S261" t="s">
        <v>331</v>
      </c>
    </row>
    <row r="262" spans="3:19" x14ac:dyDescent="0.25">
      <c r="C262" t="s">
        <v>314</v>
      </c>
      <c r="D262" t="s">
        <v>291</v>
      </c>
      <c r="E262" t="s">
        <v>315</v>
      </c>
      <c r="F262" t="s">
        <v>316</v>
      </c>
      <c r="G262" t="s">
        <v>317</v>
      </c>
      <c r="H262" t="str">
        <f t="shared" si="24"/>
        <v>studies which report the Maximum relative growth rate for foliage as fraction   (0) , and the values reported therein, of tephrosia pumila ( )  under semi-arid environments. If no data for this species exists, please default first to other species of the genus tephrosia  and then the SUBfamily Faboideae  and then the tribe Millettieae.</v>
      </c>
      <c r="I262" t="str">
        <f t="shared" si="23"/>
        <v>biomass</v>
      </c>
      <c r="J262" t="str">
        <f t="shared" si="23"/>
        <v>FOLRELGROMAX</v>
      </c>
      <c r="K262" t="str">
        <f t="shared" si="23"/>
        <v>Maximum relative growth rate for foliage</v>
      </c>
      <c r="L262" t="str">
        <f t="shared" si="23"/>
        <v xml:space="preserve">fraction </v>
      </c>
      <c r="M262">
        <f t="shared" si="22"/>
        <v>0</v>
      </c>
      <c r="N262">
        <f t="shared" si="21"/>
        <v>2</v>
      </c>
      <c r="O262">
        <v>0.02</v>
      </c>
      <c r="P262">
        <v>0.05</v>
      </c>
      <c r="Q262">
        <v>3.5000000000000003E-2</v>
      </c>
      <c r="R262">
        <v>3.5000000000000003E-2</v>
      </c>
      <c r="S262" t="s">
        <v>310</v>
      </c>
    </row>
    <row r="263" spans="3:19" x14ac:dyDescent="0.25">
      <c r="C263" t="s">
        <v>314</v>
      </c>
      <c r="D263" t="s">
        <v>291</v>
      </c>
      <c r="E263" t="s">
        <v>315</v>
      </c>
      <c r="F263" t="s">
        <v>316</v>
      </c>
      <c r="G263" t="s">
        <v>317</v>
      </c>
      <c r="H263" t="str">
        <f t="shared" si="24"/>
        <v>studies which report the Foliage biomass under optimal, closed canopy condition (kg m-2) as kg per square meter  (kg m^-2) , and the values reported therein, of tephrosia pumila ( )  under semi-arid environments. If no data for this species exists, please default first to other species of the genus tephrosia  and then the SUBfamily Faboideae  and then the tribe Millettieae.</v>
      </c>
      <c r="I263" t="str">
        <f t="shared" si="23"/>
        <v>biomass</v>
      </c>
      <c r="J263" t="str">
        <f t="shared" si="23"/>
        <v>MFOLOPT</v>
      </c>
      <c r="K263" t="str">
        <f t="shared" si="23"/>
        <v>Foliage biomass under optimal, closed canopy condition (kg m-2)</v>
      </c>
      <c r="L263" t="str">
        <f t="shared" si="23"/>
        <v>kg per square meter</v>
      </c>
      <c r="M263" t="str">
        <f t="shared" si="22"/>
        <v>kg m^-2</v>
      </c>
      <c r="N263">
        <f t="shared" si="21"/>
        <v>2</v>
      </c>
      <c r="O263">
        <v>0.1</v>
      </c>
      <c r="P263">
        <v>0.3</v>
      </c>
      <c r="Q263">
        <v>0.2</v>
      </c>
      <c r="R263">
        <v>0.2</v>
      </c>
      <c r="S263" t="s">
        <v>332</v>
      </c>
    </row>
    <row r="264" spans="3:19" x14ac:dyDescent="0.25">
      <c r="C264" t="s">
        <v>314</v>
      </c>
      <c r="D264" t="s">
        <v>291</v>
      </c>
      <c r="E264" t="s">
        <v>315</v>
      </c>
      <c r="F264" t="s">
        <v>316</v>
      </c>
      <c r="G264" t="s">
        <v>317</v>
      </c>
      <c r="H264" t="str">
        <f t="shared" si="24"/>
        <v>studies which report the Specific interception capacity of foliage  as meters per square meter of LAI  (m m^-2 LAI) , and the values reported therein, of tephrosia pumila ( )  under semi-arid environments. If no data for this species exists, please default first to other species of the genus tephrosia  and then the SUBfamily Faboideae  and then the tribe Millettieae.</v>
      </c>
      <c r="I264" t="str">
        <f t="shared" si="23"/>
        <v>light &amp; photosynthesis</v>
      </c>
      <c r="J264" t="str">
        <f t="shared" si="23"/>
        <v>MWFM</v>
      </c>
      <c r="K264" t="str">
        <f t="shared" si="23"/>
        <v xml:space="preserve">Specific interception capacity of foliage </v>
      </c>
      <c r="L264" t="str">
        <f t="shared" si="23"/>
        <v>meters per square meter of LAI</v>
      </c>
      <c r="M264" t="str">
        <f t="shared" si="22"/>
        <v>m m^-2 LAI</v>
      </c>
      <c r="N264">
        <f t="shared" si="21"/>
        <v>5</v>
      </c>
      <c r="O264">
        <v>1E-4</v>
      </c>
      <c r="P264">
        <v>2.9999999999999997E-4</v>
      </c>
      <c r="Q264">
        <v>1.4999999999999999E-4</v>
      </c>
      <c r="R264">
        <v>2.0000000000000001E-4</v>
      </c>
      <c r="S264" t="s">
        <v>305</v>
      </c>
    </row>
    <row r="265" spans="3:19" x14ac:dyDescent="0.25">
      <c r="C265" t="s">
        <v>314</v>
      </c>
      <c r="D265" t="s">
        <v>291</v>
      </c>
      <c r="E265" t="s">
        <v>315</v>
      </c>
      <c r="F265" t="s">
        <v>316</v>
      </c>
      <c r="G265" t="s">
        <v>317</v>
      </c>
      <c r="H265" t="str">
        <f t="shared" si="24"/>
        <v>studies which report the maximal net photosynthesis as nanomols of CO2 per gram per second  (0) , and the values reported therein, of tephrosia pumila ( )  under semi-arid environments. If no data for this species exists, please default first to other species of the genus tephrosia  and then the SUBfamily Faboideae  and then the tribe Millettieae.</v>
      </c>
      <c r="I265" t="str">
        <f t="shared" si="23"/>
        <v>light &amp; photosynthesis</v>
      </c>
      <c r="J265" t="str">
        <f t="shared" si="23"/>
        <v>AMAXB</v>
      </c>
      <c r="K265" t="str">
        <f t="shared" si="23"/>
        <v>maximal net photosynthesis</v>
      </c>
      <c r="L265" t="str">
        <f t="shared" si="23"/>
        <v>nanomols of CO2 per gram per second</v>
      </c>
      <c r="M265">
        <f t="shared" si="22"/>
        <v>0</v>
      </c>
      <c r="N265">
        <f t="shared" si="21"/>
        <v>2</v>
      </c>
      <c r="O265">
        <v>300</v>
      </c>
      <c r="P265">
        <v>350</v>
      </c>
      <c r="Q265">
        <v>315.39999999999998</v>
      </c>
      <c r="R265">
        <v>325</v>
      </c>
      <c r="S265" t="s">
        <v>333</v>
      </c>
    </row>
    <row r="266" spans="3:19" x14ac:dyDescent="0.25">
      <c r="C266" t="s">
        <v>314</v>
      </c>
      <c r="D266" t="s">
        <v>291</v>
      </c>
      <c r="E266" t="s">
        <v>315</v>
      </c>
      <c r="F266" t="s">
        <v>316</v>
      </c>
      <c r="G266" t="s">
        <v>317</v>
      </c>
      <c r="H266" t="str">
        <f t="shared" si="24"/>
        <v>studies which report the specific leaf area in the shade as square meters per kilogram  (m^2 kg^-1) , and the values reported therein, of tephrosia pumila ( )  under semi-arid environments. If no data for this species exists, please default first to other species of the genus tephrosia  and then the SUBfamily Faboideae  and then the tribe Millettieae.</v>
      </c>
      <c r="I266" t="str">
        <f t="shared" si="23"/>
        <v>light &amp; photosynthesis</v>
      </c>
      <c r="J266" t="str">
        <f t="shared" si="23"/>
        <v>SLAMAX</v>
      </c>
      <c r="K266" t="str">
        <f t="shared" si="23"/>
        <v>specific leaf area in the shade</v>
      </c>
      <c r="L266" t="str">
        <f t="shared" si="23"/>
        <v>square meters per kilogram</v>
      </c>
      <c r="M266" t="str">
        <f t="shared" si="22"/>
        <v>m^2 kg^-1</v>
      </c>
      <c r="N266">
        <f t="shared" si="21"/>
        <v>1</v>
      </c>
      <c r="O266">
        <v>20</v>
      </c>
      <c r="P266">
        <v>25</v>
      </c>
      <c r="Q266">
        <v>23</v>
      </c>
      <c r="R266">
        <v>22.5</v>
      </c>
      <c r="S266" t="s">
        <v>334</v>
      </c>
    </row>
    <row r="267" spans="3:19" x14ac:dyDescent="0.25">
      <c r="C267" t="s">
        <v>314</v>
      </c>
      <c r="D267" t="s">
        <v>291</v>
      </c>
      <c r="E267" t="s">
        <v>315</v>
      </c>
      <c r="F267" t="s">
        <v>316</v>
      </c>
      <c r="G267" t="s">
        <v>317</v>
      </c>
      <c r="H267" t="str">
        <f t="shared" si="24"/>
        <v>studies which report the specific leaf area under full sun as square meters per kilogram  (m^2 kg^-1) , and the values reported therein, of tephrosia pumila ( )  under semi-arid environments. If no data for this species exists, please default first to other species of the genus tephrosia  and then the SUBfamily Faboideae  and then the tribe Millettieae.</v>
      </c>
      <c r="I267" t="str">
        <f t="shared" si="23"/>
        <v>light &amp; photosynthesis</v>
      </c>
      <c r="J267" t="str">
        <f t="shared" si="23"/>
        <v>SLAMIN</v>
      </c>
      <c r="K267" t="str">
        <f t="shared" si="23"/>
        <v>specific leaf area under full sun</v>
      </c>
      <c r="L267" t="str">
        <f t="shared" si="23"/>
        <v>square meters per kilogram</v>
      </c>
      <c r="M267" t="str">
        <f t="shared" si="22"/>
        <v>m^2 kg^-1</v>
      </c>
      <c r="N267">
        <f t="shared" si="21"/>
        <v>1</v>
      </c>
      <c r="O267">
        <v>10</v>
      </c>
      <c r="P267">
        <v>15</v>
      </c>
      <c r="Q267">
        <v>13</v>
      </c>
      <c r="R267">
        <v>12.5</v>
      </c>
      <c r="S267" t="s">
        <v>335</v>
      </c>
    </row>
    <row r="268" spans="3:19" x14ac:dyDescent="0.25">
      <c r="C268" t="s">
        <v>314</v>
      </c>
      <c r="D268" t="s">
        <v>291</v>
      </c>
      <c r="E268" t="s">
        <v>315</v>
      </c>
      <c r="F268" t="s">
        <v>316</v>
      </c>
      <c r="G268" t="s">
        <v>317</v>
      </c>
      <c r="H268" t="str">
        <f t="shared" si="24"/>
        <v>studies which report the Time interval necessary to complete growth of new foliage as days  (0) , and the values reported therein, of tephrosia pumila ( )  under semi-arid environments. If no data for this species exists, please default first to other species of the genus tephrosia  and then the SUBfamily Faboideae  and then the tribe Millettieae.</v>
      </c>
      <c r="I268" t="str">
        <f t="shared" si="23"/>
        <v>phenology</v>
      </c>
      <c r="J268" t="str">
        <f t="shared" si="23"/>
        <v>NDFLUSH</v>
      </c>
      <c r="K268" t="str">
        <f t="shared" si="23"/>
        <v>Time interval necessary to complete growth of new foliage</v>
      </c>
      <c r="L268" t="str">
        <f t="shared" si="23"/>
        <v>days</v>
      </c>
      <c r="M268">
        <f t="shared" si="22"/>
        <v>0</v>
      </c>
      <c r="N268">
        <f t="shared" si="21"/>
        <v>0</v>
      </c>
      <c r="O268">
        <v>10</v>
      </c>
      <c r="P268">
        <v>20</v>
      </c>
      <c r="Q268">
        <v>15</v>
      </c>
      <c r="R268">
        <v>15</v>
      </c>
      <c r="S268" t="s">
        <v>306</v>
      </c>
    </row>
    <row r="269" spans="3:19" x14ac:dyDescent="0.25">
      <c r="C269" t="s">
        <v>314</v>
      </c>
      <c r="D269" t="s">
        <v>291</v>
      </c>
      <c r="E269" t="s">
        <v>315</v>
      </c>
      <c r="F269" t="s">
        <v>316</v>
      </c>
      <c r="G269" t="s">
        <v>317</v>
      </c>
      <c r="H269" t="str">
        <f t="shared" si="24"/>
        <v>studies which report the duration of senescence  as days  (0) , and the values reported therein, of tephrosia pumila ( )  under semi-arid environments. If no data for this species exists, please default first to other species of the genus tephrosia  and then the SUBfamily Faboideae  and then the tribe Millettieae.</v>
      </c>
      <c r="I269" t="str">
        <f t="shared" si="23"/>
        <v>phenology</v>
      </c>
      <c r="J269" t="str">
        <f t="shared" si="23"/>
        <v>NDMORTA</v>
      </c>
      <c r="K269" t="str">
        <f t="shared" si="23"/>
        <v xml:space="preserve">duration of senescence </v>
      </c>
      <c r="L269" t="str">
        <f t="shared" si="23"/>
        <v>days</v>
      </c>
      <c r="M269">
        <f t="shared" si="22"/>
        <v>0</v>
      </c>
      <c r="N269">
        <f t="shared" si="21"/>
        <v>0</v>
      </c>
      <c r="O269">
        <v>90</v>
      </c>
      <c r="P269">
        <v>120</v>
      </c>
      <c r="Q269">
        <v>105</v>
      </c>
      <c r="R269">
        <v>105</v>
      </c>
      <c r="S269" t="s">
        <v>307</v>
      </c>
    </row>
    <row r="270" spans="3:19" x14ac:dyDescent="0.25">
      <c r="C270" t="s">
        <v>314</v>
      </c>
      <c r="D270" t="s">
        <v>291</v>
      </c>
      <c r="E270" t="s">
        <v>315</v>
      </c>
      <c r="F270" t="s">
        <v>316</v>
      </c>
      <c r="G270" t="s">
        <v>317</v>
      </c>
      <c r="H270" t="str">
        <f t="shared" si="24"/>
        <v>studies which report the base temperature for growing degree days as 0  (0) , and the values reported therein, of tephrosia pumila ( )  under semi-arid environments. If no data for this species exists, please default first to other species of the genus tephrosia  and then the SUBfamily Faboideae  and then the tribe Millettieae.</v>
      </c>
      <c r="I270" t="str">
        <f t="shared" ref="I270:L289" si="25">I223</f>
        <v>phenology</v>
      </c>
      <c r="J270" t="str">
        <f t="shared" si="25"/>
        <v>GDD_BASE_TEMPERATURE</v>
      </c>
      <c r="K270" t="str">
        <f t="shared" si="25"/>
        <v>base temperature for growing degree days</v>
      </c>
      <c r="L270">
        <f t="shared" si="25"/>
        <v>0</v>
      </c>
      <c r="M270">
        <f t="shared" si="22"/>
        <v>0</v>
      </c>
      <c r="N270">
        <f t="shared" si="21"/>
        <v>0</v>
      </c>
      <c r="O270">
        <v>10</v>
      </c>
      <c r="P270">
        <v>10</v>
      </c>
      <c r="Q270">
        <v>10</v>
      </c>
      <c r="R270">
        <v>10</v>
      </c>
      <c r="S270" t="s">
        <v>336</v>
      </c>
    </row>
    <row r="271" spans="3:19" x14ac:dyDescent="0.25">
      <c r="C271" t="s">
        <v>314</v>
      </c>
      <c r="D271" t="s">
        <v>291</v>
      </c>
      <c r="E271" t="s">
        <v>315</v>
      </c>
      <c r="F271" t="s">
        <v>316</v>
      </c>
      <c r="G271" t="s">
        <v>317</v>
      </c>
      <c r="H271" t="str">
        <f t="shared" si="24"/>
        <v>studies which report the growing degree days until beginning of emergence as days  (GDD) , and the values reported therein, of tephrosia pumila ( )  under semi-arid environments. If no data for this species exists, please default first to other species of the genus tephrosia  and then the SUBfamily Faboideae  and then the tribe Millettieae.</v>
      </c>
      <c r="I271" t="str">
        <f t="shared" si="25"/>
        <v>phenology</v>
      </c>
      <c r="J271" t="str">
        <f t="shared" si="25"/>
        <v>GDD_EMERG</v>
      </c>
      <c r="K271" t="str">
        <f t="shared" si="25"/>
        <v>growing degree days until beginning of emergence</v>
      </c>
      <c r="L271" t="str">
        <f t="shared" si="25"/>
        <v>days</v>
      </c>
      <c r="M271" t="str">
        <f t="shared" si="22"/>
        <v>GDD</v>
      </c>
      <c r="N271">
        <f t="shared" si="21"/>
        <v>0</v>
      </c>
      <c r="O271">
        <v>65</v>
      </c>
      <c r="P271">
        <v>85</v>
      </c>
      <c r="Q271">
        <v>75</v>
      </c>
      <c r="R271">
        <v>75</v>
      </c>
      <c r="S271" t="s">
        <v>337</v>
      </c>
    </row>
    <row r="272" spans="3:19" x14ac:dyDescent="0.25">
      <c r="C272" t="s">
        <v>314</v>
      </c>
      <c r="D272" t="s">
        <v>291</v>
      </c>
      <c r="E272" t="s">
        <v>315</v>
      </c>
      <c r="F272" t="s">
        <v>316</v>
      </c>
      <c r="G272" t="s">
        <v>317</v>
      </c>
      <c r="H272" t="str">
        <f t="shared" si="24"/>
        <v>studies which report the growing degree days until maturity as days  (GDD) , and the values reported therein, of tephrosia pumila ( )  under semi-arid environments. If no data for this species exists, please default first to other species of the genus tephrosia  and then the SUBfamily Faboideae  and then the tribe Millettieae.</v>
      </c>
      <c r="I272" t="str">
        <f t="shared" si="25"/>
        <v>phenology</v>
      </c>
      <c r="J272" t="str">
        <f t="shared" si="25"/>
        <v>GDD_MATURITY</v>
      </c>
      <c r="K272" t="str">
        <f t="shared" si="25"/>
        <v>growing degree days until maturity</v>
      </c>
      <c r="L272" t="str">
        <f t="shared" si="25"/>
        <v>days</v>
      </c>
      <c r="M272" t="str">
        <f t="shared" si="22"/>
        <v>GDD</v>
      </c>
      <c r="N272">
        <f t="shared" si="21"/>
        <v>0</v>
      </c>
      <c r="O272">
        <v>1650</v>
      </c>
      <c r="P272">
        <v>2400</v>
      </c>
      <c r="Q272">
        <v>2025</v>
      </c>
      <c r="R272">
        <v>2025</v>
      </c>
      <c r="S272" t="s">
        <v>338</v>
      </c>
    </row>
    <row r="273" spans="3:19" x14ac:dyDescent="0.25">
      <c r="C273" t="s">
        <v>314</v>
      </c>
      <c r="D273" t="s">
        <v>291</v>
      </c>
      <c r="E273" t="s">
        <v>315</v>
      </c>
      <c r="F273" t="s">
        <v>316</v>
      </c>
      <c r="G273" t="s">
        <v>317</v>
      </c>
      <c r="H273" t="str">
        <f t="shared" si="24"/>
        <v>studies which report the growing degree days until begin of stem elongation as days  (GDD) , and the values reported therein, of tephrosia pumila ( )  under semi-arid environments. If no data for this species exists, please default first to other species of the genus tephrosia  and then the SUBfamily Faboideae  and then the tribe Millettieae.</v>
      </c>
      <c r="I273" t="str">
        <f t="shared" si="25"/>
        <v>phenology</v>
      </c>
      <c r="J273" t="str">
        <f t="shared" si="25"/>
        <v>GDD_STEM_ELONGATION</v>
      </c>
      <c r="K273" t="str">
        <f t="shared" si="25"/>
        <v>growing degree days until begin of stem elongation</v>
      </c>
      <c r="L273" t="str">
        <f t="shared" si="25"/>
        <v>days</v>
      </c>
      <c r="M273" t="str">
        <f t="shared" si="22"/>
        <v>GDD</v>
      </c>
      <c r="N273">
        <f t="shared" si="21"/>
        <v>0</v>
      </c>
      <c r="O273">
        <v>350</v>
      </c>
      <c r="P273">
        <v>550</v>
      </c>
      <c r="Q273">
        <v>450</v>
      </c>
      <c r="R273">
        <v>450</v>
      </c>
      <c r="S273" t="s">
        <v>301</v>
      </c>
    </row>
    <row r="274" spans="3:19" x14ac:dyDescent="0.25">
      <c r="C274" t="s">
        <v>314</v>
      </c>
      <c r="D274" t="s">
        <v>291</v>
      </c>
      <c r="E274" t="s">
        <v>315</v>
      </c>
      <c r="F274" t="s">
        <v>316</v>
      </c>
      <c r="G274" t="s">
        <v>317</v>
      </c>
      <c r="H274" t="str">
        <f t="shared" si="24"/>
        <v>studies which report the growing degree days until downwards root growth ceases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4" t="str">
        <f t="shared" si="25"/>
        <v>phenology</v>
      </c>
      <c r="J274" t="str">
        <f t="shared" si="25"/>
        <v>GDD_ROOTS_GROWN</v>
      </c>
      <c r="K274" t="str">
        <f t="shared" si="25"/>
        <v>growing degree days until downwards root growth ceases</v>
      </c>
      <c r="L274" t="str">
        <f t="shared" si="25"/>
        <v>growing degree days</v>
      </c>
      <c r="M274" t="str">
        <f t="shared" si="22"/>
        <v>GDD</v>
      </c>
      <c r="N274">
        <f t="shared" si="21"/>
        <v>0</v>
      </c>
      <c r="O274">
        <v>1400</v>
      </c>
      <c r="P274">
        <v>1400</v>
      </c>
      <c r="Q274">
        <v>1400</v>
      </c>
      <c r="R274">
        <v>1400</v>
      </c>
      <c r="S274" t="s">
        <v>171</v>
      </c>
    </row>
    <row r="275" spans="3:19" x14ac:dyDescent="0.25">
      <c r="C275" t="s">
        <v>314</v>
      </c>
      <c r="D275" t="s">
        <v>291</v>
      </c>
      <c r="E275" t="s">
        <v>315</v>
      </c>
      <c r="F275" t="s">
        <v>316</v>
      </c>
      <c r="G275" t="s">
        <v>317</v>
      </c>
      <c r="H275" t="str">
        <f t="shared" si="24"/>
        <v>studies which report the minimum temperature sum for foliage activity onset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5" t="str">
        <f t="shared" si="25"/>
        <v>phenology</v>
      </c>
      <c r="J275" t="str">
        <f t="shared" si="25"/>
        <v>GDDFOLSTART</v>
      </c>
      <c r="K275" t="str">
        <f t="shared" si="25"/>
        <v>minimum temperature sum for foliage activity onset</v>
      </c>
      <c r="L275" t="str">
        <f t="shared" si="25"/>
        <v>growing degree days</v>
      </c>
      <c r="M275" t="str">
        <f t="shared" si="22"/>
        <v>GDD</v>
      </c>
      <c r="N275">
        <f t="shared" si="21"/>
        <v>0</v>
      </c>
      <c r="O275">
        <v>150</v>
      </c>
      <c r="P275">
        <v>300</v>
      </c>
      <c r="Q275">
        <v>200</v>
      </c>
      <c r="R275">
        <v>225</v>
      </c>
      <c r="S275" t="s">
        <v>301</v>
      </c>
    </row>
    <row r="276" spans="3:19" x14ac:dyDescent="0.25">
      <c r="C276" t="s">
        <v>314</v>
      </c>
      <c r="D276" t="s">
        <v>291</v>
      </c>
      <c r="E276" t="s">
        <v>315</v>
      </c>
      <c r="F276" t="s">
        <v>316</v>
      </c>
      <c r="G276" t="s">
        <v>317</v>
      </c>
      <c r="H276" t="str">
        <f t="shared" si="24"/>
        <v>studies which report the growing degree days to complete foliar production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6" t="str">
        <f t="shared" si="25"/>
        <v>phenology</v>
      </c>
      <c r="J276" t="str">
        <f t="shared" si="25"/>
        <v>GDDFOLEND</v>
      </c>
      <c r="K276" t="str">
        <f t="shared" si="25"/>
        <v>growing degree days to complete foliar production</v>
      </c>
      <c r="L276" t="str">
        <f t="shared" si="25"/>
        <v>growing degree days</v>
      </c>
      <c r="M276" t="str">
        <f t="shared" si="22"/>
        <v>GDD</v>
      </c>
      <c r="N276">
        <f t="shared" si="21"/>
        <v>0</v>
      </c>
      <c r="O276">
        <v>1100</v>
      </c>
      <c r="P276">
        <v>1400</v>
      </c>
      <c r="Q276">
        <v>1300</v>
      </c>
      <c r="R276">
        <v>1250</v>
      </c>
      <c r="S276" t="s">
        <v>313</v>
      </c>
    </row>
    <row r="277" spans="3:19" x14ac:dyDescent="0.25">
      <c r="C277" t="s">
        <v>314</v>
      </c>
      <c r="D277" t="s">
        <v>291</v>
      </c>
      <c r="E277" t="s">
        <v>315</v>
      </c>
      <c r="F277" t="s">
        <v>316</v>
      </c>
      <c r="G277" t="s">
        <v>317</v>
      </c>
      <c r="H277" t="str">
        <f t="shared" si="24"/>
        <v>studies which report the potential nitrogen fixation rate per plant dry matter tissue and day as kg N per kg DM per day  (kg N/kg DM/day) , and the values reported therein, of tephrosia pumila ( )  under semi-arid environments. If no data for this species exists, please default first to other species of the genus tephrosia  and then the SUBfamily Faboideae  and then the tribe Millettieae.</v>
      </c>
      <c r="I277" t="str">
        <f t="shared" si="25"/>
        <v>nitrogen</v>
      </c>
      <c r="J277" t="str">
        <f t="shared" si="25"/>
        <v>NFIX_RATE</v>
      </c>
      <c r="K277" t="str">
        <f t="shared" si="25"/>
        <v>potential nitrogen fixation rate per plant dry matter tissue and day</v>
      </c>
      <c r="L277" t="str">
        <f t="shared" si="25"/>
        <v>kg N per kg DM per day</v>
      </c>
      <c r="M277" t="str">
        <f t="shared" si="22"/>
        <v>kg N/kg DM/day</v>
      </c>
      <c r="N277">
        <f t="shared" si="21"/>
        <v>3</v>
      </c>
    </row>
    <row r="278" spans="3:19" x14ac:dyDescent="0.25">
      <c r="C278" t="s">
        <v>314</v>
      </c>
      <c r="D278" t="s">
        <v>291</v>
      </c>
      <c r="E278" t="s">
        <v>315</v>
      </c>
      <c r="F278" t="s">
        <v>316</v>
      </c>
      <c r="G278" t="s">
        <v>317</v>
      </c>
      <c r="H278" t="str">
        <f t="shared" si="24"/>
        <v>studies which report the Optimum nitrogen concentration of foliage as kg per kg  (kg/kg) , and the values reported therein, of tephrosia pumila ( )  under semi-arid environments. If no data for this species exists, please default first to other species of the genus tephrosia  and then the SUBfamily Faboideae  and then the tribe Millettieae.</v>
      </c>
      <c r="I278" t="str">
        <f t="shared" si="25"/>
        <v>nitrogen</v>
      </c>
      <c r="J278" t="str">
        <f t="shared" si="25"/>
        <v>NCFOLOPT</v>
      </c>
      <c r="K278" t="str">
        <f t="shared" si="25"/>
        <v>Optimum nitrogen concentration of foliage</v>
      </c>
      <c r="L278" t="str">
        <f t="shared" si="25"/>
        <v>kg per kg</v>
      </c>
      <c r="M278" t="str">
        <f t="shared" si="22"/>
        <v>kg/kg</v>
      </c>
      <c r="N278">
        <f t="shared" si="21"/>
        <v>2</v>
      </c>
    </row>
    <row r="279" spans="3:19" x14ac:dyDescent="0.25">
      <c r="C279" t="s">
        <v>314</v>
      </c>
      <c r="D279" t="s">
        <v>291</v>
      </c>
      <c r="E279" t="s">
        <v>315</v>
      </c>
      <c r="F279" t="s">
        <v>316</v>
      </c>
      <c r="G279" t="s">
        <v>317</v>
      </c>
      <c r="H279" t="str">
        <f t="shared" si="24"/>
        <v>studies which report the Maximum (optimum) nitrogen concentration of fine roots as kg per kg  (kg/kg) , and the values reported therein, of tephrosia pumila ( )  under semi-arid environments. If no data for this species exists, please default first to other species of the genus tephrosia  and then the SUBfamily Faboideae  and then the tribe Millettieae.</v>
      </c>
      <c r="I279" t="str">
        <f t="shared" si="25"/>
        <v>nitrogen</v>
      </c>
      <c r="J279" t="str">
        <f t="shared" si="25"/>
        <v>NC_FINEROOTS_MAX</v>
      </c>
      <c r="K279" t="str">
        <f t="shared" si="25"/>
        <v>Maximum (optimum) nitrogen concentration of fine roots</v>
      </c>
      <c r="L279" t="str">
        <f t="shared" si="25"/>
        <v>kg per kg</v>
      </c>
      <c r="M279" t="str">
        <f t="shared" si="22"/>
        <v>kg/kg</v>
      </c>
      <c r="N279">
        <f t="shared" si="21"/>
        <v>2</v>
      </c>
    </row>
    <row r="280" spans="3:19" x14ac:dyDescent="0.25">
      <c r="C280" t="s">
        <v>314</v>
      </c>
      <c r="D280" t="s">
        <v>291</v>
      </c>
      <c r="E280" t="s">
        <v>315</v>
      </c>
      <c r="F280" t="s">
        <v>316</v>
      </c>
      <c r="G280" t="s">
        <v>317</v>
      </c>
      <c r="H280" t="str">
        <f t="shared" si="24"/>
        <v>studies which report the Minimum nitrogen concentration of fine roots as kg per kg  (kg/kg) , and the values reported therein, of tephrosia pumila ( )  under semi-arid environments. If no data for this species exists, please default first to other species of the genus tephrosia  and then the SUBfamily Faboideae  and then the tribe Millettieae.</v>
      </c>
      <c r="I280" t="str">
        <f t="shared" si="25"/>
        <v>nitrogen</v>
      </c>
      <c r="J280" t="str">
        <f t="shared" si="25"/>
        <v>NC_FINEROOTS_MIN</v>
      </c>
      <c r="K280" t="str">
        <f t="shared" si="25"/>
        <v>Minimum nitrogen concentration of fine roots</v>
      </c>
      <c r="L280" t="str">
        <f t="shared" si="25"/>
        <v>kg per kg</v>
      </c>
      <c r="M280" t="str">
        <f t="shared" si="22"/>
        <v>kg/kg</v>
      </c>
      <c r="N280">
        <f t="shared" si="21"/>
        <v>2</v>
      </c>
    </row>
    <row r="281" spans="3:19" x14ac:dyDescent="0.25">
      <c r="C281" t="s">
        <v>314</v>
      </c>
      <c r="D281" t="s">
        <v>291</v>
      </c>
      <c r="E281" t="s">
        <v>315</v>
      </c>
      <c r="F281" t="s">
        <v>316</v>
      </c>
      <c r="G281" t="s">
        <v>317</v>
      </c>
      <c r="H281" t="str">
        <f t="shared" si="24"/>
        <v>studies which report the Optimum nitrogen concentration of living structural tissue as kg per kg  (kg/kg) , and the values reported therein, of tephrosia pumila ( )  under semi-arid environments. If no data for this species exists, please default first to other species of the genus tephrosia  and then the SUBfamily Faboideae  and then the tribe Millettieae.</v>
      </c>
      <c r="I281" t="str">
        <f t="shared" si="25"/>
        <v>nitrogen</v>
      </c>
      <c r="J281" t="str">
        <f t="shared" si="25"/>
        <v>NC_STRUCTURAL_TISSUE_MAX</v>
      </c>
      <c r="K281" t="str">
        <f t="shared" si="25"/>
        <v>Optimum nitrogen concentration of living structural tissue</v>
      </c>
      <c r="L281" t="str">
        <f t="shared" si="25"/>
        <v>kg per kg</v>
      </c>
      <c r="M281" t="str">
        <f t="shared" si="22"/>
        <v>kg/kg</v>
      </c>
      <c r="N281">
        <f t="shared" si="21"/>
        <v>2</v>
      </c>
    </row>
    <row r="282" spans="3:19" x14ac:dyDescent="0.25">
      <c r="C282" t="s">
        <v>314</v>
      </c>
      <c r="D282" t="s">
        <v>291</v>
      </c>
      <c r="E282" t="s">
        <v>315</v>
      </c>
      <c r="F282" t="s">
        <v>316</v>
      </c>
      <c r="G282" t="s">
        <v>317</v>
      </c>
      <c r="H282" t="str">
        <f t="shared" si="24"/>
        <v>studies which report the Minimum nitrogen concentration of living structural tissue as kg per kg  (kg/kg) , and the values reported therein, of tephrosia pumila ( )  under semi-arid environments. If no data for this species exists, please default first to other species of the genus tephrosia  and then the SUBfamily Faboideae  and then the tribe Millettieae.</v>
      </c>
      <c r="I282" t="str">
        <f t="shared" si="25"/>
        <v>nitrogen</v>
      </c>
      <c r="J282" t="str">
        <f t="shared" si="25"/>
        <v>NC_STRUCTURAL_TISSUE_MIN</v>
      </c>
      <c r="K282" t="str">
        <f t="shared" si="25"/>
        <v>Minimum nitrogen concentration of living structural tissue</v>
      </c>
      <c r="L282" t="str">
        <f t="shared" si="25"/>
        <v>kg per kg</v>
      </c>
      <c r="M282" t="str">
        <f t="shared" si="22"/>
        <v>kg/kg</v>
      </c>
      <c r="N282">
        <f t="shared" si="21"/>
        <v>2</v>
      </c>
    </row>
    <row r="283" spans="3:19" x14ac:dyDescent="0.25">
      <c r="C283" t="s">
        <v>314</v>
      </c>
      <c r="D283" t="s">
        <v>291</v>
      </c>
      <c r="E283" t="s">
        <v>315</v>
      </c>
      <c r="F283" t="s">
        <v>316</v>
      </c>
      <c r="G283" t="s">
        <v>317</v>
      </c>
      <c r="H283" t="str">
        <f t="shared" si="24"/>
        <v>studies which report the Ratio between fine root- and foliage biomass under standard conditions. as ratio  (0) , and the values reported therein, of tephrosia pumila ( )  under semi-arid environments. If no data for this species exists, please default first to other species of the genus tephrosia  and then the SUBfamily Faboideae  and then the tribe Millettieae.</v>
      </c>
      <c r="I283" t="str">
        <f t="shared" si="25"/>
        <v>biomass</v>
      </c>
      <c r="J283" t="str">
        <f t="shared" si="25"/>
        <v>QRF</v>
      </c>
      <c r="K283" t="str">
        <f t="shared" si="25"/>
        <v>Ratio between fine root- and foliage biomass under standard conditions.</v>
      </c>
      <c r="L283" t="str">
        <f t="shared" si="25"/>
        <v>ratio</v>
      </c>
      <c r="M283">
        <f t="shared" si="22"/>
        <v>0</v>
      </c>
      <c r="N283">
        <f t="shared" si="2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Species_params_GEMINI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Hawkins, James (ILRI)</cp:lastModifiedBy>
  <dcterms:created xsi:type="dcterms:W3CDTF">2026-06-05T08:21:24Z</dcterms:created>
  <dcterms:modified xsi:type="dcterms:W3CDTF">2026-06-08T11:55:31Z</dcterms:modified>
</cp:coreProperties>
</file>