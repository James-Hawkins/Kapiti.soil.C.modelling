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rgoualch\Documents\ILRI\Mazingira\Kapiti\C stock inventory\Soil Root CN data\Lab analysis\Results\"/>
    </mc:Choice>
  </mc:AlternateContent>
  <xr:revisionPtr revIDLastSave="0" documentId="8_{3CEA0FF6-A111-434C-ADD7-12ED585E53A0}" xr6:coauthVersionLast="47" xr6:coauthVersionMax="47" xr10:uidLastSave="{00000000-0000-0000-0000-000000000000}"/>
  <bookViews>
    <workbookView xWindow="-98" yWindow="-98" windowWidth="19396" windowHeight="11475" xr2:uid="{24F26902-28F7-46A2-9727-CAFD095DF8DD}"/>
  </bookViews>
  <sheets>
    <sheet name="Final" sheetId="3" r:id="rId1"/>
    <sheet name="pH" sheetId="1" r:id="rId2"/>
    <sheet name="Textu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L3" i="2" s="1"/>
  <c r="J3" i="2"/>
  <c r="K3" i="2" s="1"/>
  <c r="I4" i="2"/>
  <c r="L4" i="2" s="1"/>
  <c r="J4" i="2"/>
  <c r="K4" i="2" s="1"/>
  <c r="I5" i="2"/>
  <c r="L5" i="2" s="1"/>
  <c r="J5" i="2"/>
  <c r="K5" i="2" s="1"/>
  <c r="I6" i="2"/>
  <c r="L6" i="2" s="1"/>
  <c r="J6" i="2"/>
  <c r="K6" i="2" s="1"/>
  <c r="I7" i="2"/>
  <c r="L7" i="2" s="1"/>
  <c r="J7" i="2"/>
  <c r="K7" i="2" s="1"/>
  <c r="I8" i="2"/>
  <c r="L8" i="2" s="1"/>
  <c r="J8" i="2"/>
  <c r="K8" i="2" s="1"/>
  <c r="I9" i="2"/>
  <c r="L9" i="2" s="1"/>
  <c r="J9" i="2"/>
  <c r="K9" i="2" s="1"/>
  <c r="I10" i="2"/>
  <c r="L10" i="2" s="1"/>
  <c r="J10" i="2"/>
  <c r="K10" i="2" s="1"/>
  <c r="I11" i="2"/>
  <c r="L11" i="2" s="1"/>
  <c r="J11" i="2"/>
  <c r="K11" i="2" s="1"/>
  <c r="I12" i="2"/>
  <c r="L12" i="2" s="1"/>
  <c r="J12" i="2"/>
  <c r="K12" i="2" s="1"/>
  <c r="I13" i="2"/>
  <c r="L13" i="2" s="1"/>
  <c r="J13" i="2"/>
  <c r="K13" i="2" s="1"/>
  <c r="I14" i="2"/>
  <c r="L14" i="2" s="1"/>
  <c r="J14" i="2"/>
  <c r="K14" i="2" s="1"/>
  <c r="I2" i="2"/>
  <c r="L2" i="2" s="1"/>
  <c r="J2" i="2"/>
  <c r="K2" i="2" s="1"/>
  <c r="M9" i="2" l="1"/>
  <c r="M12" i="2"/>
  <c r="M14" i="2"/>
  <c r="M4" i="2"/>
  <c r="M13" i="2"/>
  <c r="M11" i="2"/>
  <c r="M3" i="2"/>
  <c r="M10" i="2"/>
  <c r="M7" i="2"/>
  <c r="M6" i="2"/>
  <c r="M8" i="2"/>
  <c r="M5" i="2"/>
  <c r="M2" i="2"/>
</calcChain>
</file>

<file path=xl/sharedStrings.xml><?xml version="1.0" encoding="utf-8"?>
<sst xmlns="http://schemas.openxmlformats.org/spreadsheetml/2006/main" count="85" uniqueCount="62">
  <si>
    <t>Sample ID</t>
  </si>
  <si>
    <t>Sample_Weight</t>
  </si>
  <si>
    <t>pH</t>
  </si>
  <si>
    <t>pH buffer4</t>
  </si>
  <si>
    <t>pH buffer7</t>
  </si>
  <si>
    <t>pH buffer10</t>
  </si>
  <si>
    <t>Katumani</t>
  </si>
  <si>
    <t>Thika</t>
  </si>
  <si>
    <t>LABID</t>
  </si>
  <si>
    <t>PSSLWT</t>
  </si>
  <si>
    <t>PSH40SAM</t>
  </si>
  <si>
    <t>PSH40BLK</t>
  </si>
  <si>
    <t>PST40</t>
  </si>
  <si>
    <t>PSH2HSAM</t>
  </si>
  <si>
    <t>PSH2HBLK</t>
  </si>
  <si>
    <t>PST2H</t>
  </si>
  <si>
    <t>PSH40COR</t>
  </si>
  <si>
    <t>PSH2HCOR</t>
  </si>
  <si>
    <t>%CLAY</t>
  </si>
  <si>
    <t>%SAND</t>
  </si>
  <si>
    <t>%SILT</t>
  </si>
  <si>
    <t>Rpt 230</t>
  </si>
  <si>
    <t>rpt 238</t>
  </si>
  <si>
    <t>ANALYSIS OVERVIEW</t>
  </si>
  <si>
    <t>Analysis type</t>
  </si>
  <si>
    <t>Owner of samples</t>
  </si>
  <si>
    <t>Collins Oduor</t>
  </si>
  <si>
    <t>Supervisor</t>
  </si>
  <si>
    <t>Winnie Ntinyari</t>
  </si>
  <si>
    <t>Sampling date</t>
  </si>
  <si>
    <t>21/07/2026</t>
  </si>
  <si>
    <t>Sampling site</t>
  </si>
  <si>
    <t>Kapiti</t>
  </si>
  <si>
    <t>Country</t>
  </si>
  <si>
    <t>Kenya</t>
  </si>
  <si>
    <t>Sample type</t>
  </si>
  <si>
    <t>Soil</t>
  </si>
  <si>
    <t>Number of samples</t>
  </si>
  <si>
    <t>Sampling date (DD.MM.YYYY)</t>
  </si>
  <si>
    <t>Researcher ID</t>
  </si>
  <si>
    <t>Sample code</t>
  </si>
  <si>
    <t>CO_Ke_Kapiti_20260721_S1</t>
  </si>
  <si>
    <t>CO_Ke_Kapiti_20260721_S2</t>
  </si>
  <si>
    <t>CO_Ke_Kapiti_20260721_S3</t>
  </si>
  <si>
    <t>CO_Ke_Kapiti_20260721_S4</t>
  </si>
  <si>
    <t>CO_Ke_Kapiti_20260721_S5</t>
  </si>
  <si>
    <t>CO_Ke_Kapiti_20260721_S6</t>
  </si>
  <si>
    <t>CO_Ke_Kapiti_20260721_S7</t>
  </si>
  <si>
    <t>CO_Ke_Kapiti_20260721_S8</t>
  </si>
  <si>
    <t>CO_Ke_Kapiti_20260721_S9</t>
  </si>
  <si>
    <t>pH &amp; PSA</t>
  </si>
  <si>
    <t>EC-2_25 m_0-10cm</t>
  </si>
  <si>
    <t>EC-2_25 m_10_20cm</t>
  </si>
  <si>
    <t>EC-2_25 m_20-30cm</t>
  </si>
  <si>
    <t>EC-5_25 m_0-10cm</t>
  </si>
  <si>
    <t>EC-5_25 m_10_20cm</t>
  </si>
  <si>
    <t>EC-5_25 m_20-30cm</t>
  </si>
  <si>
    <t>EC-8_25 m_0-10cm</t>
  </si>
  <si>
    <t>EC-8_25 m_10_20cm</t>
  </si>
  <si>
    <t>EC-8_25 m_20-30cm</t>
  </si>
  <si>
    <t>std1-1-Katumani</t>
  </si>
  <si>
    <t>std1-2- Thika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</si>
</sst>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indexed="8"/>
      <name val="Aptos Narrow"/>
      <family val="2"/>
    </font>
    <font>
      <sz val="11"/>
      <color indexed="8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indexed="8"/>
      <name val="Calibri"/>
      <charset val="134"/>
    </font>
    <font>
      <b/>
      <sz val="11"/>
      <color theme="1"/>
      <name val="Calibri"/>
      <family val="2"/>
    </font>
    <font>
      <sz val="12"/>
      <color indexed="8"/>
      <name val="Aptos Narrow"/>
      <family val="2"/>
    </font>
    <font>
      <sz val="12"/>
      <color rgb="FF0061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6" fillId="0" borderId="0" xfId="0" applyFont="1"/>
    <xf numFmtId="2" fontId="8" fillId="0" borderId="0" xfId="0" applyNumberFormat="1" applyFont="1"/>
    <xf numFmtId="0" fontId="8" fillId="0" borderId="0" xfId="0" applyFont="1"/>
    <xf numFmtId="0" fontId="9" fillId="0" borderId="0" xfId="0" applyFont="1"/>
    <xf numFmtId="14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2" fontId="6" fillId="6" borderId="0" xfId="0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2" fontId="8" fillId="8" borderId="0" xfId="0" applyNumberFormat="1" applyFont="1" applyFill="1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165" fontId="4" fillId="0" borderId="1" xfId="0" applyNumberFormat="1" applyFont="1" applyBorder="1"/>
    <xf numFmtId="164" fontId="4" fillId="0" borderId="1" xfId="0" applyNumberFormat="1" applyFont="1" applyBorder="1"/>
    <xf numFmtId="0" fontId="10" fillId="0" borderId="1" xfId="0" applyFont="1" applyBorder="1"/>
    <xf numFmtId="165" fontId="10" fillId="0" borderId="1" xfId="0" applyNumberFormat="1" applyFont="1" applyBorder="1"/>
    <xf numFmtId="164" fontId="11" fillId="2" borderId="1" xfId="1" applyNumberFormat="1" applyFont="1" applyBorder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6525-39FB-453D-86D4-85F5C2F9B1EB}">
  <dimension ref="A1:H19"/>
  <sheetViews>
    <sheetView tabSelected="1" zoomScale="80" zoomScaleNormal="80" workbookViewId="0">
      <selection activeCell="E7" sqref="E7"/>
    </sheetView>
  </sheetViews>
  <sheetFormatPr defaultRowHeight="14.25"/>
  <cols>
    <col min="1" max="1" width="18" customWidth="1"/>
    <col min="2" max="2" width="13.1328125" customWidth="1"/>
    <col min="3" max="3" width="19.1328125" customWidth="1"/>
    <col min="4" max="4" width="28.73046875" customWidth="1"/>
    <col min="5" max="5" width="17.1328125" customWidth="1"/>
    <col min="6" max="6" width="12.59765625" customWidth="1"/>
    <col min="7" max="7" width="14.86328125" customWidth="1"/>
    <col min="8" max="8" width="14.59765625" customWidth="1"/>
  </cols>
  <sheetData>
    <row r="1" spans="1:8" ht="21">
      <c r="A1" s="11" t="s">
        <v>23</v>
      </c>
      <c r="B1" s="12"/>
      <c r="C1" s="12"/>
      <c r="D1" s="12"/>
      <c r="E1" s="12"/>
      <c r="F1" s="13"/>
      <c r="G1" s="13"/>
      <c r="H1" s="14"/>
    </row>
    <row r="2" spans="1:8">
      <c r="A2" s="15" t="s">
        <v>24</v>
      </c>
      <c r="B2" s="12" t="s">
        <v>50</v>
      </c>
      <c r="C2" s="12"/>
      <c r="D2" s="12"/>
      <c r="E2" s="12"/>
      <c r="F2" s="13"/>
      <c r="G2" s="13"/>
      <c r="H2" s="14"/>
    </row>
    <row r="3" spans="1:8">
      <c r="A3" s="15" t="s">
        <v>25</v>
      </c>
      <c r="B3" s="12" t="s">
        <v>26</v>
      </c>
      <c r="C3" s="12"/>
      <c r="D3" s="12"/>
      <c r="E3" s="12"/>
      <c r="F3" s="13"/>
      <c r="G3" s="13"/>
      <c r="H3" s="14"/>
    </row>
    <row r="4" spans="1:8">
      <c r="A4" s="15" t="s">
        <v>27</v>
      </c>
      <c r="B4" s="12" t="s">
        <v>28</v>
      </c>
      <c r="C4" s="12"/>
      <c r="D4" s="12"/>
      <c r="E4" s="12"/>
      <c r="F4" s="13"/>
      <c r="G4" s="13"/>
      <c r="H4" s="14"/>
    </row>
    <row r="5" spans="1:8">
      <c r="A5" s="15" t="s">
        <v>29</v>
      </c>
      <c r="B5" s="16" t="s">
        <v>30</v>
      </c>
      <c r="C5" s="12"/>
      <c r="D5" s="12"/>
      <c r="E5" s="12"/>
      <c r="F5" s="13"/>
      <c r="G5" s="13"/>
      <c r="H5" s="14"/>
    </row>
    <row r="6" spans="1:8">
      <c r="A6" s="15" t="s">
        <v>31</v>
      </c>
      <c r="B6" s="12" t="s">
        <v>32</v>
      </c>
      <c r="C6" s="12"/>
      <c r="D6" s="12"/>
      <c r="E6" s="12"/>
      <c r="F6" s="13"/>
      <c r="G6" s="13"/>
      <c r="H6" s="14"/>
    </row>
    <row r="7" spans="1:8">
      <c r="A7" s="15" t="s">
        <v>33</v>
      </c>
      <c r="B7" s="12" t="s">
        <v>34</v>
      </c>
      <c r="C7" s="12"/>
      <c r="D7" s="12"/>
      <c r="E7" s="12"/>
      <c r="F7" s="13"/>
      <c r="G7" s="13"/>
      <c r="H7" s="14"/>
    </row>
    <row r="8" spans="1:8">
      <c r="A8" s="15" t="s">
        <v>35</v>
      </c>
      <c r="B8" s="12" t="s">
        <v>36</v>
      </c>
      <c r="C8" s="12"/>
      <c r="D8" s="12"/>
      <c r="E8" s="17"/>
      <c r="F8" s="13"/>
      <c r="G8" s="13"/>
      <c r="H8" s="14"/>
    </row>
    <row r="9" spans="1:8">
      <c r="A9" s="15" t="s">
        <v>37</v>
      </c>
      <c r="B9" s="18">
        <v>9</v>
      </c>
      <c r="C9" s="12"/>
      <c r="D9" s="12"/>
      <c r="E9" s="12"/>
      <c r="F9" s="13"/>
      <c r="G9" s="13"/>
      <c r="H9" s="14"/>
    </row>
    <row r="10" spans="1:8" ht="28.5">
      <c r="A10" s="19" t="s">
        <v>38</v>
      </c>
      <c r="B10" s="15" t="s">
        <v>35</v>
      </c>
      <c r="C10" s="15" t="s">
        <v>39</v>
      </c>
      <c r="D10" s="15" t="s">
        <v>40</v>
      </c>
      <c r="E10" s="20" t="s">
        <v>2</v>
      </c>
      <c r="F10" s="31" t="s">
        <v>18</v>
      </c>
      <c r="G10" s="20" t="s">
        <v>19</v>
      </c>
      <c r="H10" s="20" t="s">
        <v>20</v>
      </c>
    </row>
    <row r="11" spans="1:8">
      <c r="A11" s="16" t="s">
        <v>30</v>
      </c>
      <c r="B11" s="21" t="s">
        <v>36</v>
      </c>
      <c r="C11" s="18" t="s">
        <v>51</v>
      </c>
      <c r="D11" s="12" t="s">
        <v>41</v>
      </c>
      <c r="E11" s="22">
        <v>7.0529999999999999</v>
      </c>
      <c r="F11" s="23">
        <v>16.88</v>
      </c>
      <c r="G11" s="24">
        <v>73.12</v>
      </c>
      <c r="H11" s="25">
        <v>9.9999999999999964</v>
      </c>
    </row>
    <row r="12" spans="1:8">
      <c r="A12" s="16" t="s">
        <v>30</v>
      </c>
      <c r="B12" s="21" t="s">
        <v>36</v>
      </c>
      <c r="C12" s="18" t="s">
        <v>52</v>
      </c>
      <c r="D12" s="12" t="s">
        <v>42</v>
      </c>
      <c r="E12" s="22">
        <v>7.274</v>
      </c>
      <c r="F12" s="23">
        <v>16.88</v>
      </c>
      <c r="G12" s="24">
        <v>73.12</v>
      </c>
      <c r="H12" s="25">
        <v>9.9999999999999964</v>
      </c>
    </row>
    <row r="13" spans="1:8">
      <c r="A13" s="16" t="s">
        <v>30</v>
      </c>
      <c r="B13" s="21" t="s">
        <v>36</v>
      </c>
      <c r="C13" s="18" t="s">
        <v>53</v>
      </c>
      <c r="D13" s="12" t="s">
        <v>43</v>
      </c>
      <c r="E13" s="22">
        <v>8.3279999999999994</v>
      </c>
      <c r="F13" s="23">
        <v>46.88</v>
      </c>
      <c r="G13" s="24">
        <v>51.12</v>
      </c>
      <c r="H13" s="25">
        <v>2</v>
      </c>
    </row>
    <row r="14" spans="1:8">
      <c r="A14" s="16" t="s">
        <v>30</v>
      </c>
      <c r="B14" s="21" t="s">
        <v>36</v>
      </c>
      <c r="C14" s="18" t="s">
        <v>54</v>
      </c>
      <c r="D14" s="12" t="s">
        <v>44</v>
      </c>
      <c r="E14" s="22">
        <v>6.4169999999999998</v>
      </c>
      <c r="F14" s="23">
        <v>14.88</v>
      </c>
      <c r="G14" s="24">
        <v>77.12</v>
      </c>
      <c r="H14" s="25">
        <v>7.9999999999999947</v>
      </c>
    </row>
    <row r="15" spans="1:8">
      <c r="A15" s="16" t="s">
        <v>30</v>
      </c>
      <c r="B15" s="21" t="s">
        <v>36</v>
      </c>
      <c r="C15" s="18" t="s">
        <v>55</v>
      </c>
      <c r="D15" s="12" t="s">
        <v>45</v>
      </c>
      <c r="E15" s="22">
        <v>6.49</v>
      </c>
      <c r="F15" s="23">
        <v>16.88</v>
      </c>
      <c r="G15" s="24">
        <v>75.12</v>
      </c>
      <c r="H15" s="25">
        <v>7.9999999999999964</v>
      </c>
    </row>
    <row r="16" spans="1:8">
      <c r="A16" s="16" t="s">
        <v>30</v>
      </c>
      <c r="B16" s="21" t="s">
        <v>36</v>
      </c>
      <c r="C16" s="18" t="s">
        <v>56</v>
      </c>
      <c r="D16" s="12" t="s">
        <v>46</v>
      </c>
      <c r="E16" s="22">
        <v>7.2370000000000001</v>
      </c>
      <c r="F16" s="23">
        <v>34.880000000000003</v>
      </c>
      <c r="G16" s="24">
        <v>63.12</v>
      </c>
      <c r="H16" s="25">
        <v>2</v>
      </c>
    </row>
    <row r="17" spans="1:8">
      <c r="A17" s="16" t="s">
        <v>30</v>
      </c>
      <c r="B17" s="21" t="s">
        <v>36</v>
      </c>
      <c r="C17" s="18" t="s">
        <v>57</v>
      </c>
      <c r="D17" s="12" t="s">
        <v>47</v>
      </c>
      <c r="E17" s="22">
        <v>7.26</v>
      </c>
      <c r="F17" s="23">
        <v>32.880000000000003</v>
      </c>
      <c r="G17" s="24">
        <v>57.12</v>
      </c>
      <c r="H17" s="25">
        <v>10</v>
      </c>
    </row>
    <row r="18" spans="1:8">
      <c r="A18" s="16" t="s">
        <v>30</v>
      </c>
      <c r="B18" s="21" t="s">
        <v>36</v>
      </c>
      <c r="C18" s="18" t="s">
        <v>58</v>
      </c>
      <c r="D18" s="12" t="s">
        <v>48</v>
      </c>
      <c r="E18" s="22">
        <v>7.5659999999999998</v>
      </c>
      <c r="F18" s="23">
        <v>38.880000000000003</v>
      </c>
      <c r="G18" s="24">
        <v>53.12</v>
      </c>
      <c r="H18" s="25">
        <v>8</v>
      </c>
    </row>
    <row r="19" spans="1:8">
      <c r="A19" s="16" t="s">
        <v>30</v>
      </c>
      <c r="B19" s="21" t="s">
        <v>36</v>
      </c>
      <c r="C19" s="18" t="s">
        <v>59</v>
      </c>
      <c r="D19" s="12" t="s">
        <v>49</v>
      </c>
      <c r="E19" s="22">
        <v>8.5050000000000008</v>
      </c>
      <c r="F19" s="23">
        <v>48.88</v>
      </c>
      <c r="G19" s="24">
        <v>49.12</v>
      </c>
      <c r="H19" s="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0629-0AE7-405A-81C2-A3F28939236C}">
  <dimension ref="A1:C15"/>
  <sheetViews>
    <sheetView workbookViewId="0">
      <selection activeCell="C7" sqref="C7:C15"/>
    </sheetView>
  </sheetViews>
  <sheetFormatPr defaultColWidth="9.1328125" defaultRowHeight="15.4"/>
  <cols>
    <col min="1" max="1" width="16.86328125" style="1" customWidth="1"/>
    <col min="2" max="2" width="14.86328125" style="1" customWidth="1"/>
    <col min="3" max="16384" width="9.13281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/>
      <c r="C2" s="27">
        <v>4</v>
      </c>
    </row>
    <row r="3" spans="1:3">
      <c r="A3" s="3" t="s">
        <v>4</v>
      </c>
      <c r="B3" s="3"/>
      <c r="C3" s="27">
        <v>6.9980000000000002</v>
      </c>
    </row>
    <row r="4" spans="1:3">
      <c r="A4" s="3" t="s">
        <v>5</v>
      </c>
      <c r="B4" s="3"/>
      <c r="C4" s="27">
        <v>10</v>
      </c>
    </row>
    <row r="5" spans="1:3">
      <c r="A5" s="3" t="s">
        <v>60</v>
      </c>
      <c r="B5" s="26">
        <v>10.004799999999999</v>
      </c>
      <c r="C5" s="27">
        <v>6.173</v>
      </c>
    </row>
    <row r="6" spans="1:3">
      <c r="A6" s="3" t="s">
        <v>61</v>
      </c>
      <c r="B6" s="26">
        <v>10.030799999999999</v>
      </c>
      <c r="C6" s="27">
        <v>5.5</v>
      </c>
    </row>
    <row r="7" spans="1:3" ht="15.75">
      <c r="A7" s="28">
        <v>220</v>
      </c>
      <c r="B7" s="29">
        <v>10.061500000000001</v>
      </c>
      <c r="C7" s="30">
        <v>7.0529999999999999</v>
      </c>
    </row>
    <row r="8" spans="1:3" ht="15.75">
      <c r="A8" s="28">
        <v>221</v>
      </c>
      <c r="B8" s="29">
        <v>10.050000000000001</v>
      </c>
      <c r="C8" s="30">
        <v>7.274</v>
      </c>
    </row>
    <row r="9" spans="1:3" ht="15.75">
      <c r="A9" s="28">
        <v>222</v>
      </c>
      <c r="B9" s="29">
        <v>10.079599999999999</v>
      </c>
      <c r="C9" s="30">
        <v>8.3279999999999994</v>
      </c>
    </row>
    <row r="10" spans="1:3" ht="15.75">
      <c r="A10" s="28">
        <v>229</v>
      </c>
      <c r="B10" s="29">
        <v>10.0336</v>
      </c>
      <c r="C10" s="30">
        <v>6.4169999999999998</v>
      </c>
    </row>
    <row r="11" spans="1:3" ht="15.75">
      <c r="A11" s="28">
        <v>230</v>
      </c>
      <c r="B11" s="29">
        <v>10.085100000000001</v>
      </c>
      <c r="C11" s="30">
        <v>6.49</v>
      </c>
    </row>
    <row r="12" spans="1:3" ht="15.75">
      <c r="A12" s="28">
        <v>231</v>
      </c>
      <c r="B12" s="29">
        <v>10.0687</v>
      </c>
      <c r="C12" s="30">
        <v>7.2370000000000001</v>
      </c>
    </row>
    <row r="13" spans="1:3" ht="15.75">
      <c r="A13" s="28">
        <v>238</v>
      </c>
      <c r="B13" s="29">
        <v>10.026400000000001</v>
      </c>
      <c r="C13" s="30">
        <v>7.26</v>
      </c>
    </row>
    <row r="14" spans="1:3" ht="15.75">
      <c r="A14" s="28">
        <v>239</v>
      </c>
      <c r="B14" s="29">
        <v>10.013</v>
      </c>
      <c r="C14" s="30">
        <v>7.5659999999999998</v>
      </c>
    </row>
    <row r="15" spans="1:3" ht="15.75">
      <c r="A15" s="28">
        <v>240</v>
      </c>
      <c r="B15" s="29">
        <v>10.0296</v>
      </c>
      <c r="C15" s="30">
        <v>8.5050000000000008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2012-EC26-48C3-AF0C-AF9174BD6FB6}">
  <dimension ref="A1:M14"/>
  <sheetViews>
    <sheetView workbookViewId="0">
      <selection activeCell="G27" sqref="G27"/>
    </sheetView>
  </sheetViews>
  <sheetFormatPr defaultRowHeight="14.25"/>
  <cols>
    <col min="3" max="3" width="11.73046875" customWidth="1"/>
    <col min="4" max="4" width="10.265625" style="10" customWidth="1"/>
    <col min="6" max="6" width="11.3984375" customWidth="1"/>
    <col min="7" max="7" width="11.73046875" customWidth="1"/>
    <col min="9" max="9" width="10.86328125" customWidth="1"/>
    <col min="10" max="10" width="10.1328125" customWidth="1"/>
  </cols>
  <sheetData>
    <row r="1" spans="1:13">
      <c r="A1" s="32" t="s">
        <v>8</v>
      </c>
      <c r="B1" s="32" t="s">
        <v>9</v>
      </c>
      <c r="C1" s="32" t="s">
        <v>10</v>
      </c>
      <c r="D1" s="32" t="s">
        <v>11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3" t="s">
        <v>18</v>
      </c>
      <c r="L1" s="34" t="s">
        <v>19</v>
      </c>
      <c r="M1" s="35" t="s">
        <v>20</v>
      </c>
    </row>
    <row r="2" spans="1:13">
      <c r="A2" s="4">
        <v>1</v>
      </c>
      <c r="B2" s="5">
        <v>50</v>
      </c>
      <c r="C2" s="6">
        <v>12</v>
      </c>
      <c r="D2" s="6">
        <v>0</v>
      </c>
      <c r="E2" s="6">
        <v>24</v>
      </c>
      <c r="F2" s="6">
        <v>7</v>
      </c>
      <c r="G2" s="6">
        <v>0</v>
      </c>
      <c r="H2" s="6">
        <v>24</v>
      </c>
      <c r="I2" s="6">
        <f>(C2-D2)+((E2-20)*0.36)</f>
        <v>13.44</v>
      </c>
      <c r="J2" s="6">
        <f t="shared" ref="J2" si="0">(F2-G2)+((H2-20)*0.36)</f>
        <v>8.44</v>
      </c>
      <c r="K2" s="7">
        <f t="shared" ref="K2:K8" si="1">J2*100/B2</f>
        <v>16.88</v>
      </c>
      <c r="L2" s="8">
        <f t="shared" ref="L2:L8" si="2">100-((I2/B2)*100)</f>
        <v>73.12</v>
      </c>
      <c r="M2" s="9">
        <f>(100-L2-K2)</f>
        <v>9.9999999999999964</v>
      </c>
    </row>
    <row r="3" spans="1:13">
      <c r="A3" s="4">
        <v>2</v>
      </c>
      <c r="B3" s="5">
        <v>50</v>
      </c>
      <c r="C3" s="6">
        <v>12</v>
      </c>
      <c r="D3" s="6">
        <v>0</v>
      </c>
      <c r="E3" s="6">
        <v>24</v>
      </c>
      <c r="F3" s="6">
        <v>7</v>
      </c>
      <c r="G3" s="6">
        <v>0</v>
      </c>
      <c r="H3" s="6">
        <v>24</v>
      </c>
      <c r="I3" s="6">
        <f t="shared" ref="I3:I14" si="3">(C3-D3)+((E3-20)*0.36)</f>
        <v>13.44</v>
      </c>
      <c r="J3" s="6">
        <f t="shared" ref="J3:J14" si="4">(F3-G3)+((H3-20)*0.36)</f>
        <v>8.44</v>
      </c>
      <c r="K3" s="7">
        <f t="shared" si="1"/>
        <v>16.88</v>
      </c>
      <c r="L3" s="8">
        <f t="shared" si="2"/>
        <v>73.12</v>
      </c>
      <c r="M3" s="9">
        <f t="shared" ref="M3:M8" si="5">(100-L3-K3)</f>
        <v>9.9999999999999964</v>
      </c>
    </row>
    <row r="4" spans="1:13">
      <c r="A4" s="4">
        <v>3</v>
      </c>
      <c r="B4" s="5">
        <v>50</v>
      </c>
      <c r="C4" s="6">
        <v>23</v>
      </c>
      <c r="D4" s="6">
        <v>0</v>
      </c>
      <c r="E4" s="6">
        <v>24</v>
      </c>
      <c r="F4" s="6">
        <v>22</v>
      </c>
      <c r="G4" s="6">
        <v>0</v>
      </c>
      <c r="H4" s="6">
        <v>24</v>
      </c>
      <c r="I4" s="6">
        <f t="shared" si="3"/>
        <v>24.44</v>
      </c>
      <c r="J4" s="6">
        <f t="shared" si="4"/>
        <v>23.44</v>
      </c>
      <c r="K4" s="7">
        <f t="shared" si="1"/>
        <v>46.88</v>
      </c>
      <c r="L4" s="8">
        <f t="shared" si="2"/>
        <v>51.12</v>
      </c>
      <c r="M4" s="9">
        <f t="shared" si="5"/>
        <v>2</v>
      </c>
    </row>
    <row r="5" spans="1:13">
      <c r="A5" s="4">
        <v>4</v>
      </c>
      <c r="B5" s="5">
        <v>50</v>
      </c>
      <c r="C5" s="6">
        <v>10</v>
      </c>
      <c r="D5" s="6">
        <v>0</v>
      </c>
      <c r="E5" s="6">
        <v>24</v>
      </c>
      <c r="F5" s="6">
        <v>6</v>
      </c>
      <c r="G5" s="6">
        <v>0</v>
      </c>
      <c r="H5" s="6">
        <v>24</v>
      </c>
      <c r="I5" s="6">
        <f t="shared" si="3"/>
        <v>11.44</v>
      </c>
      <c r="J5" s="6">
        <f t="shared" si="4"/>
        <v>7.4399999999999995</v>
      </c>
      <c r="K5" s="7">
        <f t="shared" si="1"/>
        <v>14.88</v>
      </c>
      <c r="L5" s="8">
        <f t="shared" si="2"/>
        <v>77.12</v>
      </c>
      <c r="M5" s="9">
        <f t="shared" si="5"/>
        <v>7.9999999999999947</v>
      </c>
    </row>
    <row r="6" spans="1:13">
      <c r="A6" s="4">
        <v>5</v>
      </c>
      <c r="B6" s="5">
        <v>50</v>
      </c>
      <c r="C6" s="6">
        <v>11</v>
      </c>
      <c r="D6" s="6">
        <v>0</v>
      </c>
      <c r="E6" s="6">
        <v>24</v>
      </c>
      <c r="F6" s="6">
        <v>7</v>
      </c>
      <c r="G6" s="6">
        <v>0</v>
      </c>
      <c r="H6" s="6">
        <v>24</v>
      </c>
      <c r="I6" s="6">
        <f t="shared" si="3"/>
        <v>12.44</v>
      </c>
      <c r="J6" s="6">
        <f t="shared" si="4"/>
        <v>8.44</v>
      </c>
      <c r="K6" s="7">
        <f t="shared" si="1"/>
        <v>16.88</v>
      </c>
      <c r="L6" s="8">
        <f t="shared" si="2"/>
        <v>75.12</v>
      </c>
      <c r="M6" s="9">
        <f t="shared" si="5"/>
        <v>7.9999999999999964</v>
      </c>
    </row>
    <row r="7" spans="1:13">
      <c r="A7" s="4">
        <v>6</v>
      </c>
      <c r="B7" s="5">
        <v>50</v>
      </c>
      <c r="C7" s="6">
        <v>17</v>
      </c>
      <c r="D7" s="6">
        <v>0</v>
      </c>
      <c r="E7" s="6">
        <v>24</v>
      </c>
      <c r="F7" s="6">
        <v>16</v>
      </c>
      <c r="G7" s="6">
        <v>0</v>
      </c>
      <c r="H7" s="6">
        <v>24</v>
      </c>
      <c r="I7" s="6">
        <f t="shared" si="3"/>
        <v>18.440000000000001</v>
      </c>
      <c r="J7" s="6">
        <f t="shared" si="4"/>
        <v>17.440000000000001</v>
      </c>
      <c r="K7" s="7">
        <f t="shared" si="1"/>
        <v>34.880000000000003</v>
      </c>
      <c r="L7" s="8">
        <f t="shared" si="2"/>
        <v>63.12</v>
      </c>
      <c r="M7" s="9">
        <f t="shared" si="5"/>
        <v>2</v>
      </c>
    </row>
    <row r="8" spans="1:13">
      <c r="A8" s="4">
        <v>7</v>
      </c>
      <c r="B8" s="5">
        <v>50</v>
      </c>
      <c r="C8" s="6">
        <v>20</v>
      </c>
      <c r="D8" s="6">
        <v>0</v>
      </c>
      <c r="E8" s="6">
        <v>24</v>
      </c>
      <c r="F8" s="6">
        <v>15</v>
      </c>
      <c r="G8" s="6">
        <v>0</v>
      </c>
      <c r="H8" s="6">
        <v>24</v>
      </c>
      <c r="I8" s="6">
        <f t="shared" si="3"/>
        <v>21.44</v>
      </c>
      <c r="J8" s="6">
        <f t="shared" si="4"/>
        <v>16.440000000000001</v>
      </c>
      <c r="K8" s="7">
        <f t="shared" si="1"/>
        <v>32.880000000000003</v>
      </c>
      <c r="L8" s="8">
        <f t="shared" si="2"/>
        <v>57.12</v>
      </c>
      <c r="M8" s="9">
        <f t="shared" si="5"/>
        <v>10</v>
      </c>
    </row>
    <row r="9" spans="1:13">
      <c r="A9" s="4">
        <v>8</v>
      </c>
      <c r="B9" s="5">
        <v>50</v>
      </c>
      <c r="C9" s="6">
        <v>22</v>
      </c>
      <c r="D9" s="6">
        <v>0</v>
      </c>
      <c r="E9" s="6">
        <v>24</v>
      </c>
      <c r="F9" s="6">
        <v>18</v>
      </c>
      <c r="G9" s="6">
        <v>0</v>
      </c>
      <c r="H9" s="6">
        <v>24</v>
      </c>
      <c r="I9" s="6">
        <f t="shared" si="3"/>
        <v>23.44</v>
      </c>
      <c r="J9" s="6">
        <f t="shared" si="4"/>
        <v>19.440000000000001</v>
      </c>
      <c r="K9" s="7">
        <f t="shared" ref="K9:K14" si="6">J9*100/B9</f>
        <v>38.880000000000003</v>
      </c>
      <c r="L9" s="8">
        <f t="shared" ref="L9:L14" si="7">100-((I9/B9)*100)</f>
        <v>53.12</v>
      </c>
      <c r="M9" s="9">
        <f t="shared" ref="M9:M14" si="8">(100-L9-K9)</f>
        <v>8</v>
      </c>
    </row>
    <row r="10" spans="1:13">
      <c r="A10" s="4">
        <v>9</v>
      </c>
      <c r="B10" s="5">
        <v>50</v>
      </c>
      <c r="C10" s="6">
        <v>24</v>
      </c>
      <c r="D10" s="6">
        <v>0</v>
      </c>
      <c r="E10" s="6">
        <v>24</v>
      </c>
      <c r="F10" s="6">
        <v>23</v>
      </c>
      <c r="G10" s="6">
        <v>0</v>
      </c>
      <c r="H10" s="6">
        <v>24</v>
      </c>
      <c r="I10" s="6">
        <f t="shared" si="3"/>
        <v>25.44</v>
      </c>
      <c r="J10" s="6">
        <f t="shared" si="4"/>
        <v>24.44</v>
      </c>
      <c r="K10" s="7">
        <f t="shared" si="6"/>
        <v>48.88</v>
      </c>
      <c r="L10" s="8">
        <f t="shared" si="7"/>
        <v>49.12</v>
      </c>
      <c r="M10" s="9">
        <f t="shared" si="8"/>
        <v>2</v>
      </c>
    </row>
    <row r="11" spans="1:13">
      <c r="A11" s="4" t="s">
        <v>22</v>
      </c>
      <c r="B11" s="5">
        <v>50</v>
      </c>
      <c r="C11" s="6">
        <v>20</v>
      </c>
      <c r="D11" s="6">
        <v>0</v>
      </c>
      <c r="E11" s="6">
        <v>24</v>
      </c>
      <c r="F11" s="6">
        <v>16</v>
      </c>
      <c r="G11" s="6">
        <v>0</v>
      </c>
      <c r="H11" s="6">
        <v>24</v>
      </c>
      <c r="I11" s="6">
        <f t="shared" si="3"/>
        <v>21.44</v>
      </c>
      <c r="J11" s="6">
        <f t="shared" si="4"/>
        <v>17.440000000000001</v>
      </c>
      <c r="K11" s="7">
        <f t="shared" si="6"/>
        <v>34.880000000000003</v>
      </c>
      <c r="L11" s="8">
        <f t="shared" si="7"/>
        <v>57.12</v>
      </c>
      <c r="M11" s="9">
        <f t="shared" si="8"/>
        <v>8</v>
      </c>
    </row>
    <row r="12" spans="1:13">
      <c r="A12" s="4" t="s">
        <v>21</v>
      </c>
      <c r="B12" s="5">
        <v>50</v>
      </c>
      <c r="C12" s="6">
        <v>11</v>
      </c>
      <c r="D12" s="6">
        <v>0</v>
      </c>
      <c r="E12" s="6">
        <v>24</v>
      </c>
      <c r="F12" s="6">
        <v>7</v>
      </c>
      <c r="G12" s="6">
        <v>0</v>
      </c>
      <c r="H12" s="6">
        <v>24</v>
      </c>
      <c r="I12" s="6">
        <f t="shared" si="3"/>
        <v>12.44</v>
      </c>
      <c r="J12" s="6">
        <f t="shared" si="4"/>
        <v>8.44</v>
      </c>
      <c r="K12" s="7">
        <f t="shared" si="6"/>
        <v>16.88</v>
      </c>
      <c r="L12" s="8">
        <f t="shared" si="7"/>
        <v>75.12</v>
      </c>
      <c r="M12" s="9">
        <f t="shared" si="8"/>
        <v>7.9999999999999964</v>
      </c>
    </row>
    <row r="13" spans="1:13">
      <c r="A13" s="4" t="s">
        <v>6</v>
      </c>
      <c r="B13" s="5">
        <v>50</v>
      </c>
      <c r="C13" s="6">
        <v>24</v>
      </c>
      <c r="D13" s="6">
        <v>0</v>
      </c>
      <c r="E13" s="6">
        <v>24</v>
      </c>
      <c r="F13" s="6">
        <v>19</v>
      </c>
      <c r="G13" s="6">
        <v>0</v>
      </c>
      <c r="H13" s="6">
        <v>24</v>
      </c>
      <c r="I13" s="6">
        <f t="shared" si="3"/>
        <v>25.44</v>
      </c>
      <c r="J13" s="6">
        <f t="shared" si="4"/>
        <v>20.440000000000001</v>
      </c>
      <c r="K13" s="7">
        <f t="shared" si="6"/>
        <v>40.880000000000003</v>
      </c>
      <c r="L13" s="8">
        <f t="shared" si="7"/>
        <v>49.12</v>
      </c>
      <c r="M13" s="9">
        <f t="shared" si="8"/>
        <v>10</v>
      </c>
    </row>
    <row r="14" spans="1:13">
      <c r="A14" s="4" t="s">
        <v>7</v>
      </c>
      <c r="B14" s="5">
        <v>50</v>
      </c>
      <c r="C14" s="6">
        <v>36</v>
      </c>
      <c r="D14" s="6">
        <v>0</v>
      </c>
      <c r="E14" s="6">
        <v>24</v>
      </c>
      <c r="F14" s="6">
        <v>22</v>
      </c>
      <c r="G14" s="6">
        <v>0</v>
      </c>
      <c r="H14" s="6">
        <v>24</v>
      </c>
      <c r="I14" s="6">
        <f t="shared" si="3"/>
        <v>37.44</v>
      </c>
      <c r="J14" s="6">
        <f t="shared" si="4"/>
        <v>23.44</v>
      </c>
      <c r="K14" s="7">
        <f t="shared" si="6"/>
        <v>46.88</v>
      </c>
      <c r="L14" s="8">
        <f t="shared" si="7"/>
        <v>25.120000000000005</v>
      </c>
      <c r="M14" s="9">
        <f t="shared" si="8"/>
        <v>27.999999999999993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pH</vt:lpstr>
      <vt:lpstr>Texture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kimutai</dc:creator>
  <cp:lastModifiedBy>Hergoualch, Kristell</cp:lastModifiedBy>
  <dcterms:created xsi:type="dcterms:W3CDTF">2026-09-08T12:48:03Z</dcterms:created>
  <dcterms:modified xsi:type="dcterms:W3CDTF">2026-10-07T13:06:07Z</dcterms:modified>
</cp:coreProperties>
</file>