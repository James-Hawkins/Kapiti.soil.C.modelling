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data\"/>
    </mc:Choice>
  </mc:AlternateContent>
  <xr:revisionPtr revIDLastSave="0" documentId="13_ncr:1_{E6E87EB4-8605-436A-BF9D-D69C4F8ED58D}" xr6:coauthVersionLast="47" xr6:coauthVersionMax="47" xr10:uidLastSave="{00000000-0000-0000-0000-000000000000}"/>
  <bookViews>
    <workbookView xWindow="-96" yWindow="-96" windowWidth="20928" windowHeight="12432" xr2:uid="{3C14AB75-1737-45B8-AA36-63A148897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D8" i="1"/>
  <c r="C8" i="1"/>
  <c r="B8" i="1" l="1"/>
  <c r="B48" i="1" l="1"/>
  <c r="B49" i="1"/>
  <c r="B50" i="1"/>
  <c r="B51" i="1"/>
  <c r="B52" i="1"/>
  <c r="B53" i="1"/>
  <c r="B54" i="1"/>
  <c r="B55" i="1"/>
  <c r="B67" i="1"/>
  <c r="B69" i="1"/>
  <c r="B87" i="1"/>
  <c r="B89" i="1"/>
  <c r="B92" i="1"/>
  <c r="B95" i="1"/>
  <c r="B127" i="1"/>
  <c r="B132" i="1"/>
  <c r="B136" i="1"/>
  <c r="B154" i="1"/>
  <c r="B162" i="1"/>
  <c r="B56" i="1"/>
  <c r="B57" i="1"/>
  <c r="B58" i="1"/>
  <c r="B59" i="1"/>
  <c r="B60" i="1"/>
  <c r="B61" i="1"/>
  <c r="B62" i="1"/>
  <c r="B63" i="1"/>
  <c r="B64" i="1"/>
  <c r="B65" i="1"/>
  <c r="B66" i="1"/>
  <c r="B68" i="1"/>
  <c r="B88" i="1"/>
  <c r="B91" i="1"/>
  <c r="B94" i="1"/>
  <c r="B128" i="1"/>
  <c r="B131" i="1"/>
  <c r="B151" i="1"/>
  <c r="B170" i="1"/>
  <c r="B19" i="1"/>
  <c r="B20" i="1"/>
  <c r="B22" i="1"/>
  <c r="B24" i="1"/>
  <c r="B144" i="1"/>
  <c r="B147" i="1"/>
  <c r="B149" i="1"/>
  <c r="B150" i="1"/>
  <c r="B155" i="1"/>
  <c r="B157" i="1"/>
  <c r="B160" i="1"/>
  <c r="B25" i="1"/>
  <c r="B29" i="1"/>
  <c r="B31" i="1"/>
  <c r="B32" i="1"/>
  <c r="B33" i="1"/>
  <c r="B34" i="1"/>
  <c r="B18" i="1"/>
  <c r="B35" i="1"/>
  <c r="B37" i="1"/>
  <c r="B39" i="1"/>
  <c r="B41" i="1"/>
  <c r="B17" i="1"/>
  <c r="B44" i="1"/>
  <c r="B46" i="1"/>
  <c r="B28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90" i="1"/>
  <c r="B93" i="1"/>
  <c r="B125" i="1"/>
  <c r="B129" i="1"/>
  <c r="B133" i="1"/>
  <c r="B137" i="1"/>
  <c r="B140" i="1"/>
  <c r="B143" i="1"/>
  <c r="B159" i="1"/>
  <c r="B164" i="1"/>
  <c r="B16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2" i="1"/>
  <c r="B123" i="1"/>
  <c r="B124" i="1"/>
  <c r="B126" i="1"/>
  <c r="B130" i="1"/>
  <c r="B134" i="1"/>
  <c r="B138" i="1"/>
  <c r="B146" i="1"/>
  <c r="B152" i="1"/>
  <c r="B14" i="1"/>
  <c r="B26" i="1"/>
  <c r="B30" i="1"/>
  <c r="B121" i="1"/>
  <c r="B135" i="1"/>
  <c r="B139" i="1"/>
  <c r="B141" i="1"/>
  <c r="B142" i="1"/>
  <c r="B145" i="1"/>
  <c r="B148" i="1"/>
  <c r="B153" i="1"/>
  <c r="B156" i="1"/>
  <c r="B158" i="1"/>
  <c r="B161" i="1"/>
  <c r="B165" i="1"/>
  <c r="B166" i="1"/>
  <c r="B167" i="1"/>
  <c r="B168" i="1"/>
  <c r="B169" i="1"/>
  <c r="B171" i="1"/>
  <c r="B15" i="1"/>
  <c r="B21" i="1"/>
  <c r="B27" i="1"/>
  <c r="B36" i="1"/>
  <c r="B38" i="1"/>
  <c r="B40" i="1"/>
  <c r="B42" i="1"/>
  <c r="B43" i="1"/>
  <c r="B45" i="1"/>
  <c r="B47" i="1"/>
  <c r="B163" i="1"/>
  <c r="B23" i="1"/>
</calcChain>
</file>

<file path=xl/sharedStrings.xml><?xml version="1.0" encoding="utf-8"?>
<sst xmlns="http://schemas.openxmlformats.org/spreadsheetml/2006/main" count="8" uniqueCount="8">
  <si>
    <t>herd size</t>
  </si>
  <si>
    <t>distance(m)</t>
  </si>
  <si>
    <t>Boma</t>
  </si>
  <si>
    <t>optimal k</t>
  </si>
  <si>
    <t>piosphere</t>
  </si>
  <si>
    <t>Target SD as 'negligible'</t>
  </si>
  <si>
    <t>Boma 2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</si>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</sst>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4" borderId="0" xfId="0" applyFill="1"/>
    <xf numFmtId="1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CECA-6A94-4B3F-9B37-B48AB37117D9}">
  <dimension ref="A1:D171"/>
  <sheetViews>
    <sheetView tabSelected="1" topLeftCell="A9" workbookViewId="0">
      <selection activeCell="B6" sqref="B6"/>
    </sheetView>
  </sheetViews>
  <sheetFormatPr defaultRowHeight="14.4" x14ac:dyDescent="0.55000000000000004"/>
  <cols>
    <col min="2" max="2" width="12.5234375" bestFit="1" customWidth="1"/>
    <col min="3" max="3" width="11.20703125" customWidth="1"/>
  </cols>
  <sheetData>
    <row r="1" spans="1:4" x14ac:dyDescent="0.55000000000000004">
      <c r="B1" t="s">
        <v>2</v>
      </c>
      <c r="C1" t="s">
        <v>6</v>
      </c>
      <c r="D1" t="s">
        <v>4</v>
      </c>
    </row>
    <row r="2" spans="1:4" x14ac:dyDescent="0.55000000000000004">
      <c r="A2" t="s">
        <v>0</v>
      </c>
      <c r="B2">
        <f>1000</f>
        <v>1000</v>
      </c>
      <c r="C2">
        <v>269.2</v>
      </c>
      <c r="D2">
        <v>50</v>
      </c>
    </row>
    <row r="3" spans="1:4" x14ac:dyDescent="0.55000000000000004">
      <c r="A3" t="s">
        <v>1</v>
      </c>
      <c r="B3">
        <v>3500</v>
      </c>
      <c r="C3">
        <v>4000</v>
      </c>
      <c r="D3">
        <v>4000</v>
      </c>
    </row>
    <row r="6" spans="1:4" x14ac:dyDescent="0.55000000000000004">
      <c r="A6" t="s">
        <v>5</v>
      </c>
      <c r="B6">
        <v>0.1</v>
      </c>
      <c r="C6">
        <v>0.1</v>
      </c>
      <c r="D6">
        <v>1E-3</v>
      </c>
    </row>
    <row r="8" spans="1:4" x14ac:dyDescent="0.55000000000000004">
      <c r="A8" t="s">
        <v>3</v>
      </c>
      <c r="B8" s="1">
        <f>-LN(B6/B2)/B3</f>
        <v>2.6315258205646232E-3</v>
      </c>
      <c r="C8" s="1">
        <f>-LN(C6/C2)/C3</f>
        <v>1.9745099226911545E-3</v>
      </c>
      <c r="D8" s="1">
        <f>-LN(D6/D2)/D3</f>
        <v>2.704944571102571E-3</v>
      </c>
    </row>
    <row r="13" spans="1:4" x14ac:dyDescent="0.55000000000000004">
      <c r="A13" t="s">
        <v>7</v>
      </c>
    </row>
    <row r="14" spans="1:4" x14ac:dyDescent="0.55000000000000004">
      <c r="A14">
        <v>10</v>
      </c>
      <c r="B14" s="2">
        <f>B$2*2.71828^(-B$8*A14)</f>
        <v>974.02798813139134</v>
      </c>
    </row>
    <row r="15" spans="1:4" x14ac:dyDescent="0.55000000000000004">
      <c r="A15">
        <v>20</v>
      </c>
      <c r="B15" s="2">
        <f>B$2*2.71828^(-B$8*A15)</f>
        <v>948.7305216632858</v>
      </c>
    </row>
    <row r="16" spans="1:4" x14ac:dyDescent="0.55000000000000004">
      <c r="A16">
        <v>30</v>
      </c>
      <c r="B16" s="2">
        <f>B$2*2.71828^(-B$8*A16)</f>
        <v>924.09008129453548</v>
      </c>
    </row>
    <row r="17" spans="1:2" x14ac:dyDescent="0.55000000000000004">
      <c r="A17">
        <v>40</v>
      </c>
      <c r="B17" s="2">
        <f>B$2*2.71828^(-B$8*A17)</f>
        <v>900.0896027354903</v>
      </c>
    </row>
    <row r="18" spans="1:2" x14ac:dyDescent="0.55000000000000004">
      <c r="A18">
        <v>50</v>
      </c>
      <c r="B18" s="2">
        <f>B$2*2.71828^(-B$8*A18)</f>
        <v>876.7124648904329</v>
      </c>
    </row>
    <row r="19" spans="1:2" x14ac:dyDescent="0.55000000000000004">
      <c r="A19">
        <v>60</v>
      </c>
      <c r="B19" s="2">
        <f>B$2*2.71828^(-B$8*A19)</f>
        <v>853.94247834694136</v>
      </c>
    </row>
    <row r="20" spans="1:2" x14ac:dyDescent="0.55000000000000004">
      <c r="A20">
        <v>70</v>
      </c>
      <c r="B20" s="2">
        <f>B$2*2.71828^(-B$8*A20)</f>
        <v>831.7638741642055</v>
      </c>
    </row>
    <row r="21" spans="1:2" x14ac:dyDescent="0.55000000000000004">
      <c r="A21">
        <v>80</v>
      </c>
      <c r="B21" s="2">
        <f>B$2*2.71828^(-B$8*A21)</f>
        <v>810.16129295253279</v>
      </c>
    </row>
    <row r="22" spans="1:2" x14ac:dyDescent="0.55000000000000004">
      <c r="A22">
        <v>90</v>
      </c>
      <c r="B22" s="2">
        <f>B$2*2.71828^(-B$8*A22)</f>
        <v>789.11977423648216</v>
      </c>
    </row>
    <row r="23" spans="1:2" x14ac:dyDescent="0.55000000000000004">
      <c r="A23">
        <v>100</v>
      </c>
      <c r="B23" s="3">
        <f>B$2*2.71828^(-B$8*A23)</f>
        <v>768.62474609425851</v>
      </c>
    </row>
    <row r="24" spans="1:2" x14ac:dyDescent="0.55000000000000004">
      <c r="A24">
        <v>110</v>
      </c>
      <c r="B24" s="2">
        <f>B$2*2.71828^(-B$8*A24)</f>
        <v>748.662015066192</v>
      </c>
    </row>
    <row r="25" spans="1:2" x14ac:dyDescent="0.55000000000000004">
      <c r="A25">
        <v>120</v>
      </c>
      <c r="B25" s="2">
        <f>B$2*2.71828^(-B$8*A25)</f>
        <v>729.21775632531626</v>
      </c>
    </row>
    <row r="26" spans="1:2" x14ac:dyDescent="0.55000000000000004">
      <c r="A26">
        <v>130</v>
      </c>
      <c r="B26" s="2">
        <f>B$2*2.71828^(-B$8*A26)</f>
        <v>710.27850410323515</v>
      </c>
    </row>
    <row r="27" spans="1:2" x14ac:dyDescent="0.55000000000000004">
      <c r="A27">
        <v>140</v>
      </c>
      <c r="B27" s="2">
        <f>B$2*2.71828^(-B$8*A27)</f>
        <v>691.83114236464814</v>
      </c>
    </row>
    <row r="28" spans="1:2" x14ac:dyDescent="0.55000000000000004">
      <c r="A28">
        <v>150</v>
      </c>
      <c r="B28" s="2">
        <f>B$2*2.71828^(-B$8*A28)</f>
        <v>673.86289572408043</v>
      </c>
    </row>
    <row r="29" spans="1:2" x14ac:dyDescent="0.55000000000000004">
      <c r="A29">
        <v>160</v>
      </c>
      <c r="B29" s="2">
        <f>B$2*2.71828^(-B$8*A29)</f>
        <v>656.36132059851957</v>
      </c>
    </row>
    <row r="30" spans="1:2" x14ac:dyDescent="0.55000000000000004">
      <c r="A30">
        <v>170</v>
      </c>
      <c r="B30" s="2">
        <f>B$2*2.71828^(-B$8*A30)</f>
        <v>639.31429658983905</v>
      </c>
    </row>
    <row r="31" spans="1:2" x14ac:dyDescent="0.55000000000000004">
      <c r="A31">
        <v>180</v>
      </c>
      <c r="B31" s="2">
        <f>B$2*2.71828^(-B$8*A31)</f>
        <v>622.71001809103655</v>
      </c>
    </row>
    <row r="32" spans="1:2" x14ac:dyDescent="0.55000000000000004">
      <c r="A32">
        <v>190</v>
      </c>
      <c r="B32" s="2">
        <f>B$2*2.71828^(-B$8*A32)</f>
        <v>606.53698611047457</v>
      </c>
    </row>
    <row r="33" spans="1:2" x14ac:dyDescent="0.55000000000000004">
      <c r="A33">
        <v>200</v>
      </c>
      <c r="B33" s="2">
        <f>B$2*2.71828^(-B$8*A33)</f>
        <v>590.78400030846331</v>
      </c>
    </row>
    <row r="34" spans="1:2" x14ac:dyDescent="0.55000000000000004">
      <c r="A34">
        <v>210</v>
      </c>
      <c r="B34" s="2">
        <f>B$2*2.71828^(-B$8*A34)</f>
        <v>575.44015124066777</v>
      </c>
    </row>
    <row r="35" spans="1:2" x14ac:dyDescent="0.55000000000000004">
      <c r="A35">
        <v>220</v>
      </c>
      <c r="B35" s="2">
        <f>B$2*2.71828^(-B$8*A35)</f>
        <v>560.49481280297107</v>
      </c>
    </row>
    <row r="36" spans="1:2" x14ac:dyDescent="0.55000000000000004">
      <c r="A36">
        <v>230</v>
      </c>
      <c r="B36" s="2">
        <f>B$2*2.71828^(-B$8*A36)</f>
        <v>545.93763487255865</v>
      </c>
    </row>
    <row r="37" spans="1:2" x14ac:dyDescent="0.55000000000000004">
      <c r="A37">
        <v>240</v>
      </c>
      <c r="B37" s="2">
        <f>B$2*2.71828^(-B$8*A37)</f>
        <v>531.75853614012851</v>
      </c>
    </row>
    <row r="38" spans="1:2" x14ac:dyDescent="0.55000000000000004">
      <c r="A38">
        <v>250</v>
      </c>
      <c r="B38" s="2">
        <f>B$2*2.71828^(-B$8*A38)</f>
        <v>517.94769712826303</v>
      </c>
    </row>
    <row r="39" spans="1:2" x14ac:dyDescent="0.55000000000000004">
      <c r="A39">
        <v>260</v>
      </c>
      <c r="B39" s="2">
        <f>B$2*2.71828^(-B$8*A39)</f>
        <v>504.49555339112931</v>
      </c>
    </row>
    <row r="40" spans="1:2" x14ac:dyDescent="0.55000000000000004">
      <c r="A40">
        <v>270</v>
      </c>
      <c r="B40" s="2">
        <f>B$2*2.71828^(-B$8*A40)</f>
        <v>491.39278889079446</v>
      </c>
    </row>
    <row r="41" spans="1:2" x14ac:dyDescent="0.55000000000000004">
      <c r="A41">
        <v>280</v>
      </c>
      <c r="B41" s="2">
        <f>B$2*2.71828^(-B$8*A41)</f>
        <v>478.63032954557406</v>
      </c>
    </row>
    <row r="42" spans="1:2" x14ac:dyDescent="0.55000000000000004">
      <c r="A42">
        <v>290</v>
      </c>
      <c r="B42" s="2">
        <f>B$2*2.71828^(-B$8*A42)</f>
        <v>466.19933694594027</v>
      </c>
    </row>
    <row r="43" spans="1:2" x14ac:dyDescent="0.55000000000000004">
      <c r="A43">
        <v>300</v>
      </c>
      <c r="B43" s="2">
        <f>B$2*2.71828^(-B$8*A43)</f>
        <v>454.09120223364283</v>
      </c>
    </row>
    <row r="44" spans="1:2" x14ac:dyDescent="0.55000000000000004">
      <c r="A44">
        <v>310</v>
      </c>
      <c r="B44" s="2">
        <f>B$2*2.71828^(-B$8*A44)</f>
        <v>442.29754013979982</v>
      </c>
    </row>
    <row r="45" spans="1:2" x14ac:dyDescent="0.55000000000000004">
      <c r="A45">
        <v>320</v>
      </c>
      <c r="B45" s="2">
        <f>B$2*2.71828^(-B$8*A45)</f>
        <v>430.81018317783258</v>
      </c>
    </row>
    <row r="46" spans="1:2" x14ac:dyDescent="0.55000000000000004">
      <c r="A46">
        <v>330</v>
      </c>
      <c r="B46" s="2">
        <f>B$2*2.71828^(-B$8*A46)</f>
        <v>419.6211759872204</v>
      </c>
    </row>
    <row r="47" spans="1:2" x14ac:dyDescent="0.55000000000000004">
      <c r="A47">
        <v>340</v>
      </c>
      <c r="B47" s="2">
        <f>B$2*2.71828^(-B$8*A47)</f>
        <v>408.72276982416065</v>
      </c>
    </row>
    <row r="48" spans="1:2" x14ac:dyDescent="0.55000000000000004">
      <c r="A48">
        <v>350</v>
      </c>
      <c r="B48" s="2">
        <f>B$2*2.71828^(-B$8*A48)</f>
        <v>398.107417195317</v>
      </c>
    </row>
    <row r="49" spans="1:2" x14ac:dyDescent="0.55000000000000004">
      <c r="A49">
        <v>360</v>
      </c>
      <c r="B49" s="2">
        <f>B$2*2.71828^(-B$8*A49)</f>
        <v>387.76776663093909</v>
      </c>
    </row>
    <row r="50" spans="1:2" x14ac:dyDescent="0.55000000000000004">
      <c r="A50">
        <v>370</v>
      </c>
      <c r="B50" s="2">
        <f>B$2*2.71828^(-B$8*A50)</f>
        <v>377.69665759373652</v>
      </c>
    </row>
    <row r="51" spans="1:2" x14ac:dyDescent="0.55000000000000004">
      <c r="A51">
        <v>380</v>
      </c>
      <c r="B51" s="2">
        <f>B$2*2.71828^(-B$8*A51)</f>
        <v>367.88711551997807</v>
      </c>
    </row>
    <row r="52" spans="1:2" x14ac:dyDescent="0.55000000000000004">
      <c r="A52">
        <v>390</v>
      </c>
      <c r="B52" s="2">
        <f>B$2*2.71828^(-B$8*A52)</f>
        <v>358.33234698938497</v>
      </c>
    </row>
    <row r="53" spans="1:2" x14ac:dyDescent="0.55000000000000004">
      <c r="A53">
        <v>400</v>
      </c>
      <c r="B53" s="2">
        <f>B$2*2.71828^(-B$8*A53)</f>
        <v>349.02573502047034</v>
      </c>
    </row>
    <row r="54" spans="1:2" x14ac:dyDescent="0.55000000000000004">
      <c r="A54">
        <v>410</v>
      </c>
      <c r="B54" s="2">
        <f>B$2*2.71828^(-B$8*A54)</f>
        <v>339.96083448806877</v>
      </c>
    </row>
    <row r="55" spans="1:2" x14ac:dyDescent="0.55000000000000004">
      <c r="A55">
        <v>420</v>
      </c>
      <c r="B55" s="2">
        <f>B$2*2.71828^(-B$8*A55)</f>
        <v>331.13136765988241</v>
      </c>
    </row>
    <row r="56" spans="1:2" x14ac:dyDescent="0.55000000000000004">
      <c r="A56">
        <v>430</v>
      </c>
      <c r="B56" s="2">
        <f>B$2*2.71828^(-B$8*A56)</f>
        <v>322.53121984895131</v>
      </c>
    </row>
    <row r="57" spans="1:2" x14ac:dyDescent="0.55000000000000004">
      <c r="A57">
        <v>440</v>
      </c>
      <c r="B57" s="2">
        <f>B$2*2.71828^(-B$8*A57)</f>
        <v>314.15443517903759</v>
      </c>
    </row>
    <row r="58" spans="1:2" x14ac:dyDescent="0.55000000000000004">
      <c r="A58">
        <v>450</v>
      </c>
      <c r="B58" s="2">
        <f>B$2*2.71828^(-B$8*A58)</f>
        <v>305.99521245999154</v>
      </c>
    </row>
    <row r="59" spans="1:2" x14ac:dyDescent="0.55000000000000004">
      <c r="A59">
        <v>460</v>
      </c>
      <c r="B59" s="2">
        <f>B$2*2.71828^(-B$8*A59)</f>
        <v>298.04790117024322</v>
      </c>
    </row>
    <row r="60" spans="1:2" x14ac:dyDescent="0.55000000000000004">
      <c r="A60">
        <v>470</v>
      </c>
      <c r="B60" s="2">
        <f>B$2*2.71828^(-B$8*A60)</f>
        <v>290.3069975436357</v>
      </c>
    </row>
    <row r="61" spans="1:2" x14ac:dyDescent="0.55000000000000004">
      <c r="A61">
        <v>480</v>
      </c>
      <c r="B61" s="2">
        <f>B$2*2.71828^(-B$8*A61)</f>
        <v>282.76714075789226</v>
      </c>
    </row>
    <row r="62" spans="1:2" x14ac:dyDescent="0.55000000000000004">
      <c r="A62">
        <v>490</v>
      </c>
      <c r="B62" s="2">
        <f>B$2*2.71828^(-B$8*A62)</f>
        <v>275.42310922207577</v>
      </c>
    </row>
    <row r="63" spans="1:2" x14ac:dyDescent="0.55000000000000004">
      <c r="A63">
        <v>500</v>
      </c>
      <c r="B63" s="2">
        <f>B$2*2.71828^(-B$8*A63)</f>
        <v>268.26981696047091</v>
      </c>
    </row>
    <row r="64" spans="1:2" x14ac:dyDescent="0.55000000000000004">
      <c r="A64">
        <v>510</v>
      </c>
      <c r="B64" s="2">
        <f>B$2*2.71828^(-B$8*A64)</f>
        <v>261.30231009038403</v>
      </c>
    </row>
    <row r="65" spans="1:2" x14ac:dyDescent="0.55000000000000004">
      <c r="A65">
        <v>520</v>
      </c>
      <c r="B65" s="2">
        <f>B$2*2.71828^(-B$8*A65)</f>
        <v>254.51576339142179</v>
      </c>
    </row>
    <row r="66" spans="1:2" x14ac:dyDescent="0.55000000000000004">
      <c r="A66">
        <v>530</v>
      </c>
      <c r="B66" s="2">
        <f>B$2*2.71828^(-B$8*A66)</f>
        <v>247.90547696387165</v>
      </c>
    </row>
    <row r="67" spans="1:2" x14ac:dyDescent="0.55000000000000004">
      <c r="A67">
        <v>540</v>
      </c>
      <c r="B67" s="2">
        <f>B$2*2.71828^(-B$8*A67)</f>
        <v>241.46687297387294</v>
      </c>
    </row>
    <row r="68" spans="1:2" x14ac:dyDescent="0.55000000000000004">
      <c r="A68">
        <v>550</v>
      </c>
      <c r="B68" s="2">
        <f>B$2*2.71828^(-B$8*A68)</f>
        <v>235.19549248311964</v>
      </c>
    </row>
    <row r="69" spans="1:2" x14ac:dyDescent="0.55000000000000004">
      <c r="A69">
        <v>560</v>
      </c>
      <c r="B69" s="2">
        <f>B$2*2.71828^(-B$8*A69)</f>
        <v>229.08699236090484</v>
      </c>
    </row>
    <row r="70" spans="1:2" x14ac:dyDescent="0.55000000000000004">
      <c r="A70">
        <v>570</v>
      </c>
      <c r="B70" s="2">
        <f>B$2*2.71828^(-B$8*A70)</f>
        <v>223.13714227636356</v>
      </c>
    </row>
    <row r="71" spans="1:2" x14ac:dyDescent="0.55000000000000004">
      <c r="A71">
        <v>580</v>
      </c>
      <c r="B71" s="2">
        <f>B$2*2.71828^(-B$8*A71)</f>
        <v>217.34182176883436</v>
      </c>
    </row>
    <row r="72" spans="1:2" x14ac:dyDescent="0.55000000000000004">
      <c r="A72">
        <v>590</v>
      </c>
      <c r="B72" s="2">
        <f>B$2*2.71828^(-B$8*A72)</f>
        <v>211.69701739430914</v>
      </c>
    </row>
    <row r="73" spans="1:2" x14ac:dyDescent="0.55000000000000004">
      <c r="A73">
        <v>600</v>
      </c>
      <c r="B73" s="2">
        <f>B$2*2.71828^(-B$8*A73)</f>
        <v>206.19881994599515</v>
      </c>
    </row>
    <row r="74" spans="1:2" x14ac:dyDescent="0.55000000000000004">
      <c r="A74">
        <v>610</v>
      </c>
      <c r="B74" s="2">
        <f>B$2*2.71828^(-B$8*A74)</f>
        <v>200.84342174706467</v>
      </c>
    </row>
    <row r="75" spans="1:2" x14ac:dyDescent="0.55000000000000004">
      <c r="A75">
        <v>620</v>
      </c>
      <c r="B75" s="2">
        <f>B$2*2.71828^(-B$8*A75)</f>
        <v>195.62711401371791</v>
      </c>
    </row>
    <row r="76" spans="1:2" x14ac:dyDescent="0.55000000000000004">
      <c r="A76">
        <v>630</v>
      </c>
      <c r="B76" s="2">
        <f>B$2*2.71828^(-B$8*A76)</f>
        <v>190.54628428673192</v>
      </c>
    </row>
    <row r="77" spans="1:2" x14ac:dyDescent="0.55000000000000004">
      <c r="A77">
        <v>640</v>
      </c>
      <c r="B77" s="2">
        <f>B$2*2.71828^(-B$8*A77)</f>
        <v>185.59741392971767</v>
      </c>
    </row>
    <row r="78" spans="1:2" x14ac:dyDescent="0.55000000000000004">
      <c r="A78">
        <v>650</v>
      </c>
      <c r="B78" s="2">
        <f>B$2*2.71828^(-B$8*A78)</f>
        <v>180.7770756923519</v>
      </c>
    </row>
    <row r="79" spans="1:2" x14ac:dyDescent="0.55000000000000004">
      <c r="A79">
        <v>660</v>
      </c>
      <c r="B79" s="2">
        <f>B$2*2.71828^(-B$8*A79)</f>
        <v>176.08193133689775</v>
      </c>
    </row>
    <row r="80" spans="1:2" x14ac:dyDescent="0.55000000000000004">
      <c r="A80">
        <v>670</v>
      </c>
      <c r="B80" s="2">
        <f>B$2*2.71828^(-B$8*A80)</f>
        <v>171.50872932636833</v>
      </c>
    </row>
    <row r="81" spans="1:2" x14ac:dyDescent="0.55000000000000004">
      <c r="A81">
        <v>680</v>
      </c>
      <c r="B81" s="2">
        <f>B$2*2.71828^(-B$8*A81)</f>
        <v>167.05430257273389</v>
      </c>
    </row>
    <row r="82" spans="1:2" x14ac:dyDescent="0.55000000000000004">
      <c r="A82">
        <v>690</v>
      </c>
      <c r="B82" s="2">
        <f>B$2*2.71828^(-B$8*A82)</f>
        <v>162.7155662436127</v>
      </c>
    </row>
    <row r="83" spans="1:2" x14ac:dyDescent="0.55000000000000004">
      <c r="A83">
        <v>700</v>
      </c>
      <c r="B83" s="2">
        <f>B$2*2.71828^(-B$8*A83)</f>
        <v>158.4895156259262</v>
      </c>
    </row>
    <row r="84" spans="1:2" x14ac:dyDescent="0.55000000000000004">
      <c r="A84">
        <v>710</v>
      </c>
      <c r="B84" s="2">
        <f>B$2*2.71828^(-B$8*A84)</f>
        <v>154.37322404503959</v>
      </c>
    </row>
    <row r="85" spans="1:2" x14ac:dyDescent="0.55000000000000004">
      <c r="A85">
        <v>720</v>
      </c>
      <c r="B85" s="2">
        <f>B$2*2.71828^(-B$8*A85)</f>
        <v>150.36384083794644</v>
      </c>
    </row>
    <row r="86" spans="1:2" x14ac:dyDescent="0.55000000000000004">
      <c r="A86">
        <v>730</v>
      </c>
      <c r="B86" s="2">
        <f>B$2*2.71828^(-B$8*A86)</f>
        <v>146.4585893790937</v>
      </c>
    </row>
    <row r="87" spans="1:2" x14ac:dyDescent="0.55000000000000004">
      <c r="A87">
        <v>740</v>
      </c>
      <c r="B87" s="2">
        <f>B$2*2.71828^(-B$8*A87)</f>
        <v>142.6547651574802</v>
      </c>
    </row>
    <row r="88" spans="1:2" x14ac:dyDescent="0.55000000000000004">
      <c r="A88">
        <v>750</v>
      </c>
      <c r="B88" s="2">
        <f>B$2*2.71828^(-B$8*A88)</f>
        <v>138.94973390369654</v>
      </c>
    </row>
    <row r="89" spans="1:2" x14ac:dyDescent="0.55000000000000004">
      <c r="A89">
        <v>760</v>
      </c>
      <c r="B89" s="2">
        <f>B$2*2.71828^(-B$8*A89)</f>
        <v>135.34092976560964</v>
      </c>
    </row>
    <row r="90" spans="1:2" x14ac:dyDescent="0.55000000000000004">
      <c r="A90">
        <v>770</v>
      </c>
      <c r="B90" s="2">
        <f>B$2*2.71828^(-B$8*A90)</f>
        <v>131.82585353142878</v>
      </c>
    </row>
    <row r="91" spans="1:2" x14ac:dyDescent="0.55000000000000004">
      <c r="A91">
        <v>780</v>
      </c>
      <c r="B91" s="2">
        <f>B$2*2.71828^(-B$8*A91)</f>
        <v>128.40207089892101</v>
      </c>
    </row>
    <row r="92" spans="1:2" x14ac:dyDescent="0.55000000000000004">
      <c r="A92">
        <v>790</v>
      </c>
      <c r="B92" s="2">
        <f>B$2*2.71828^(-B$8*A92)</f>
        <v>125.0672107895803</v>
      </c>
    </row>
    <row r="93" spans="1:2" x14ac:dyDescent="0.55000000000000004">
      <c r="A93">
        <v>800</v>
      </c>
      <c r="B93" s="2">
        <f>B$2*2.71828^(-B$8*A93)</f>
        <v>121.81896370657957</v>
      </c>
    </row>
    <row r="94" spans="1:2" x14ac:dyDescent="0.55000000000000004">
      <c r="A94">
        <v>810</v>
      </c>
      <c r="B94" s="2">
        <f>B$2*2.71828^(-B$8*A94)</f>
        <v>118.65508013537064</v>
      </c>
    </row>
    <row r="95" spans="1:2" x14ac:dyDescent="0.55000000000000004">
      <c r="A95">
        <v>820</v>
      </c>
      <c r="B95" s="2">
        <f>B$2*2.71828^(-B$8*A95)</f>
        <v>115.57336898582405</v>
      </c>
    </row>
    <row r="96" spans="1:2" x14ac:dyDescent="0.55000000000000004">
      <c r="A96">
        <v>830</v>
      </c>
      <c r="B96" s="2">
        <f>B$2*2.71828^(-B$8*A96)</f>
        <v>112.57169607482915</v>
      </c>
    </row>
    <row r="97" spans="1:2" x14ac:dyDescent="0.55000000000000004">
      <c r="A97">
        <v>840</v>
      </c>
      <c r="B97" s="2">
        <f>B$2*2.71828^(-B$8*A97)</f>
        <v>109.64798264830425</v>
      </c>
    </row>
    <row r="98" spans="1:2" x14ac:dyDescent="0.55000000000000004">
      <c r="A98">
        <v>850</v>
      </c>
      <c r="B98" s="2">
        <f>B$2*2.71828^(-B$8*A98)</f>
        <v>106.80020394159351</v>
      </c>
    </row>
    <row r="99" spans="1:2" x14ac:dyDescent="0.55000000000000004">
      <c r="A99">
        <v>860</v>
      </c>
      <c r="B99" s="2">
        <f>B$2*2.71828^(-B$8*A99)</f>
        <v>104.02638777725259</v>
      </c>
    </row>
    <row r="100" spans="1:2" x14ac:dyDescent="0.55000000000000004">
      <c r="A100">
        <v>870</v>
      </c>
      <c r="B100" s="2">
        <f>B$2*2.71828^(-B$8*A100)</f>
        <v>101.32461319925332</v>
      </c>
    </row>
    <row r="101" spans="1:2" x14ac:dyDescent="0.55000000000000004">
      <c r="A101">
        <v>880</v>
      </c>
      <c r="B101" s="2">
        <f>B$2*2.71828^(-B$8*A101)</f>
        <v>98.693009142660117</v>
      </c>
    </row>
    <row r="102" spans="1:2" x14ac:dyDescent="0.55000000000000004">
      <c r="A102">
        <v>890</v>
      </c>
      <c r="B102" s="2">
        <f>B$2*2.71828^(-B$8*A102)</f>
        <v>96.129753137858216</v>
      </c>
    </row>
    <row r="103" spans="1:2" x14ac:dyDescent="0.55000000000000004">
      <c r="A103">
        <v>900</v>
      </c>
      <c r="B103" s="2">
        <f>B$2*2.71828^(-B$8*A103)</f>
        <v>93.633070048435371</v>
      </c>
    </row>
    <row r="104" spans="1:2" x14ac:dyDescent="0.55000000000000004">
      <c r="A104">
        <v>910</v>
      </c>
      <c r="B104" s="2">
        <f>B$2*2.71828^(-B$8*A104)</f>
        <v>91.201230841843142</v>
      </c>
    </row>
    <row r="105" spans="1:2" x14ac:dyDescent="0.55000000000000004">
      <c r="A105">
        <v>920</v>
      </c>
      <c r="B105" s="2">
        <f>B$2*2.71828^(-B$8*A105)</f>
        <v>88.832551391987067</v>
      </c>
    </row>
    <row r="106" spans="1:2" x14ac:dyDescent="0.55000000000000004">
      <c r="A106">
        <v>930</v>
      </c>
      <c r="B106" s="2">
        <f>B$2*2.71828^(-B$8*A106)</f>
        <v>86.525391312915588</v>
      </c>
    </row>
    <row r="107" spans="1:2" x14ac:dyDescent="0.55000000000000004">
      <c r="A107">
        <v>940</v>
      </c>
      <c r="B107" s="2">
        <f>B$2*2.71828^(-B$8*A107)</f>
        <v>84.278152822800521</v>
      </c>
    </row>
    <row r="108" spans="1:2" x14ac:dyDescent="0.55000000000000004">
      <c r="A108">
        <v>950</v>
      </c>
      <c r="B108" s="2">
        <f>B$2*2.71828^(-B$8*A108)</f>
        <v>82.089279637422337</v>
      </c>
    </row>
    <row r="109" spans="1:2" x14ac:dyDescent="0.55000000000000004">
      <c r="A109">
        <v>960</v>
      </c>
      <c r="B109" s="2">
        <f>B$2*2.71828^(-B$8*A109)</f>
        <v>79.957255892393675</v>
      </c>
    </row>
    <row r="110" spans="1:2" x14ac:dyDescent="0.55000000000000004">
      <c r="A110">
        <v>970</v>
      </c>
      <c r="B110" s="2">
        <f>B$2*2.71828^(-B$8*A110)</f>
        <v>77.880605093375024</v>
      </c>
    </row>
    <row r="111" spans="1:2" x14ac:dyDescent="0.55000000000000004">
      <c r="A111">
        <v>980</v>
      </c>
      <c r="B111" s="2">
        <f>B$2*2.71828^(-B$8*A111)</f>
        <v>75.857889093555471</v>
      </c>
    </row>
    <row r="112" spans="1:2" x14ac:dyDescent="0.55000000000000004">
      <c r="A112">
        <v>990</v>
      </c>
      <c r="B112" s="2">
        <f>B$2*2.71828^(-B$8*A112)</f>
        <v>73.887707097690026</v>
      </c>
    </row>
    <row r="113" spans="1:2" x14ac:dyDescent="0.55000000000000004">
      <c r="A113">
        <v>1000</v>
      </c>
      <c r="B113" s="2">
        <f>B$2*2.71828^(-B$8*A113)</f>
        <v>71.968694692004547</v>
      </c>
    </row>
    <row r="114" spans="1:2" x14ac:dyDescent="0.55000000000000004">
      <c r="A114">
        <v>1010</v>
      </c>
      <c r="B114" s="2">
        <f>B$2*2.71828^(-B$8*A114)</f>
        <v>70.09952289929555</v>
      </c>
    </row>
    <row r="115" spans="1:2" x14ac:dyDescent="0.55000000000000004">
      <c r="A115">
        <v>1020</v>
      </c>
      <c r="B115" s="2">
        <f>B$2*2.71828^(-B$8*A115)</f>
        <v>68.27889725857122</v>
      </c>
    </row>
    <row r="116" spans="1:2" x14ac:dyDescent="0.55000000000000004">
      <c r="A116">
        <v>1030</v>
      </c>
      <c r="B116" s="2">
        <f>B$2*2.71828^(-B$8*A116)</f>
        <v>66.505556928596093</v>
      </c>
    </row>
    <row r="117" spans="1:2" x14ac:dyDescent="0.55000000000000004">
      <c r="A117">
        <v>1040</v>
      </c>
      <c r="B117" s="2">
        <f>B$2*2.71828^(-B$8*A117)</f>
        <v>64.778273814718176</v>
      </c>
    </row>
    <row r="118" spans="1:2" x14ac:dyDescent="0.55000000000000004">
      <c r="A118">
        <v>1050</v>
      </c>
      <c r="B118" s="2">
        <f>B$2*2.71828^(-B$8*A118)</f>
        <v>63.095851718374327</v>
      </c>
    </row>
    <row r="119" spans="1:2" x14ac:dyDescent="0.55000000000000004">
      <c r="A119">
        <v>1060</v>
      </c>
      <c r="B119" s="2">
        <f>B$2*2.71828^(-B$8*A119)</f>
        <v>61.457125508684712</v>
      </c>
    </row>
    <row r="120" spans="1:2" x14ac:dyDescent="0.55000000000000004">
      <c r="A120">
        <v>1070</v>
      </c>
      <c r="B120" s="2">
        <f>B$2*2.71828^(-B$8*A120)</f>
        <v>59.860960315562558</v>
      </c>
    </row>
    <row r="121" spans="1:2" x14ac:dyDescent="0.55000000000000004">
      <c r="A121">
        <v>1080</v>
      </c>
      <c r="B121" s="2">
        <f>B$2*2.71828^(-B$8*A121)</f>
        <v>58.306250743780467</v>
      </c>
    </row>
    <row r="122" spans="1:2" x14ac:dyDescent="0.55000000000000004">
      <c r="A122">
        <v>1090</v>
      </c>
      <c r="B122" s="2">
        <f>B$2*2.71828^(-B$8*A122)</f>
        <v>56.791920107448938</v>
      </c>
    </row>
    <row r="123" spans="1:2" x14ac:dyDescent="0.55000000000000004">
      <c r="A123">
        <v>1100</v>
      </c>
      <c r="B123" s="2">
        <f>B$2*2.71828^(-B$8*A123)</f>
        <v>55.316919684377183</v>
      </c>
    </row>
    <row r="124" spans="1:2" x14ac:dyDescent="0.55000000000000004">
      <c r="A124">
        <v>1110</v>
      </c>
      <c r="B124" s="2">
        <f>B$2*2.71828^(-B$8*A124)</f>
        <v>53.880227989799678</v>
      </c>
    </row>
    <row r="125" spans="1:2" x14ac:dyDescent="0.55000000000000004">
      <c r="A125">
        <v>1120</v>
      </c>
      <c r="B125" s="2">
        <f>B$2*2.71828^(-B$8*A125)</f>
        <v>52.480850068965267</v>
      </c>
    </row>
    <row r="126" spans="1:2" x14ac:dyDescent="0.55000000000000004">
      <c r="A126">
        <v>1130</v>
      </c>
      <c r="B126" s="2">
        <f>B$2*2.71828^(-B$8*A126)</f>
        <v>51.11781680809942</v>
      </c>
    </row>
    <row r="127" spans="1:2" x14ac:dyDescent="0.55000000000000004">
      <c r="A127">
        <v>1140</v>
      </c>
      <c r="B127" s="2">
        <f>B$2*2.71828^(-B$8*A127)</f>
        <v>49.790184263262098</v>
      </c>
    </row>
    <row r="128" spans="1:2" x14ac:dyDescent="0.55000000000000004">
      <c r="A128">
        <v>1150</v>
      </c>
      <c r="B128" s="2">
        <f>B$2*2.71828^(-B$8*A128)</f>
        <v>48.497033006636421</v>
      </c>
    </row>
    <row r="129" spans="1:2" x14ac:dyDescent="0.55000000000000004">
      <c r="A129">
        <v>1160</v>
      </c>
      <c r="B129" s="2">
        <f>B$2*2.71828^(-B$8*A129)</f>
        <v>47.237467489795762</v>
      </c>
    </row>
    <row r="130" spans="1:2" x14ac:dyDescent="0.55000000000000004">
      <c r="A130">
        <v>1170</v>
      </c>
      <c r="B130" s="2">
        <f>B$2*2.71828^(-B$8*A130)</f>
        <v>46.01061542350778</v>
      </c>
    </row>
    <row r="131" spans="1:2" x14ac:dyDescent="0.55000000000000004">
      <c r="A131">
        <v>1180</v>
      </c>
      <c r="B131" s="2">
        <f>B$2*2.71828^(-B$8*A131)</f>
        <v>44.815627173646433</v>
      </c>
    </row>
    <row r="132" spans="1:2" x14ac:dyDescent="0.55000000000000004">
      <c r="A132">
        <v>1190</v>
      </c>
      <c r="B132" s="2">
        <f>B$2*2.71828^(-B$8*A132)</f>
        <v>43.651675172793347</v>
      </c>
    </row>
    <row r="133" spans="1:2" x14ac:dyDescent="0.55000000000000004">
      <c r="A133">
        <v>1200</v>
      </c>
      <c r="B133" s="2">
        <f>B$2*2.71828^(-B$8*A133)</f>
        <v>42.51795334712093</v>
      </c>
    </row>
    <row r="134" spans="1:2" x14ac:dyDescent="0.55000000000000004">
      <c r="A134">
        <v>1210</v>
      </c>
      <c r="B134" s="2">
        <f>B$2*2.71828^(-B$8*A134)</f>
        <v>41.413676558160532</v>
      </c>
    </row>
    <row r="135" spans="1:2" x14ac:dyDescent="0.55000000000000004">
      <c r="A135">
        <v>1220</v>
      </c>
      <c r="B135" s="2">
        <f>B$2*2.71828^(-B$8*A135)</f>
        <v>40.338080059069277</v>
      </c>
    </row>
    <row r="136" spans="1:2" x14ac:dyDescent="0.55000000000000004">
      <c r="A136">
        <v>1230</v>
      </c>
      <c r="B136" s="2">
        <f>B$2*2.71828^(-B$8*A136)</f>
        <v>39.290418965018226</v>
      </c>
    </row>
    <row r="137" spans="1:2" x14ac:dyDescent="0.55000000000000004">
      <c r="A137">
        <v>1240</v>
      </c>
      <c r="B137" s="2">
        <f>B$2*2.71828^(-B$8*A137)</f>
        <v>38.269967737336174</v>
      </c>
    </row>
    <row r="138" spans="1:2" x14ac:dyDescent="0.55000000000000004">
      <c r="A138">
        <v>1250</v>
      </c>
      <c r="B138" s="2">
        <f>B$2*2.71828^(-B$8*A138)</f>
        <v>37.276019681050812</v>
      </c>
    </row>
    <row r="139" spans="1:2" x14ac:dyDescent="0.55000000000000004">
      <c r="A139">
        <v>1260</v>
      </c>
      <c r="B139" s="2">
        <f>B$2*2.71828^(-B$8*A139)</f>
        <v>36.307886455480059</v>
      </c>
    </row>
    <row r="140" spans="1:2" x14ac:dyDescent="0.55000000000000004">
      <c r="A140">
        <v>1270</v>
      </c>
      <c r="B140" s="2">
        <f>B$2*2.71828^(-B$8*A140)</f>
        <v>35.364897597534245</v>
      </c>
    </row>
    <row r="141" spans="1:2" x14ac:dyDescent="0.55000000000000004">
      <c r="A141">
        <v>1280</v>
      </c>
      <c r="B141" s="2">
        <f>B$2*2.71828^(-B$8*A141)</f>
        <v>34.446400057398961</v>
      </c>
    </row>
    <row r="142" spans="1:2" x14ac:dyDescent="0.55000000000000004">
      <c r="A142">
        <v>1290</v>
      </c>
      <c r="B142" s="2">
        <f>B$2*2.71828^(-B$8*A142)</f>
        <v>33.551757746277325</v>
      </c>
    </row>
    <row r="143" spans="1:2" x14ac:dyDescent="0.55000000000000004">
      <c r="A143">
        <v>1300</v>
      </c>
      <c r="B143" s="2">
        <f>B$2*2.71828^(-B$8*A143)</f>
        <v>32.680351095878329</v>
      </c>
    </row>
    <row r="144" spans="1:2" x14ac:dyDescent="0.55000000000000004">
      <c r="A144">
        <v>1310</v>
      </c>
      <c r="B144" s="2">
        <f>B$2*2.71828^(-B$8*A144)</f>
        <v>31.831576629345875</v>
      </c>
    </row>
    <row r="145" spans="1:2" x14ac:dyDescent="0.55000000000000004">
      <c r="A145">
        <v>1320</v>
      </c>
      <c r="B145" s="2">
        <f>B$2*2.71828^(-B$8*A145)</f>
        <v>31.004846543331979</v>
      </c>
    </row>
    <row r="146" spans="1:2" x14ac:dyDescent="0.55000000000000004">
      <c r="A146">
        <v>1330</v>
      </c>
      <c r="B146" s="2">
        <f>B$2*2.71828^(-B$8*A146)</f>
        <v>30.199588300924177</v>
      </c>
    </row>
    <row r="147" spans="1:2" x14ac:dyDescent="0.55000000000000004">
      <c r="A147">
        <v>1340</v>
      </c>
      <c r="B147" s="2">
        <f>B$2*2.71828^(-B$8*A147)</f>
        <v>29.415244235145465</v>
      </c>
    </row>
    <row r="148" spans="1:2" x14ac:dyDescent="0.55000000000000004">
      <c r="A148">
        <v>1350</v>
      </c>
      <c r="B148" s="2">
        <f>B$2*2.71828^(-B$8*A148)</f>
        <v>28.651271162752252</v>
      </c>
    </row>
    <row r="149" spans="1:2" x14ac:dyDescent="0.55000000000000004">
      <c r="A149">
        <v>1360</v>
      </c>
      <c r="B149" s="2">
        <f>B$2*2.71828^(-B$8*A149)</f>
        <v>27.90714000806252</v>
      </c>
    </row>
    <row r="150" spans="1:2" x14ac:dyDescent="0.55000000000000004">
      <c r="A150">
        <v>1370</v>
      </c>
      <c r="B150" s="2">
        <f>B$2*2.71828^(-B$8*A150)</f>
        <v>27.182335436554197</v>
      </c>
    </row>
    <row r="151" spans="1:2" x14ac:dyDescent="0.55000000000000004">
      <c r="A151">
        <v>1380</v>
      </c>
      <c r="B151" s="2">
        <f>B$2*2.71828^(-B$8*A151)</f>
        <v>26.476355497979512</v>
      </c>
    </row>
    <row r="152" spans="1:2" x14ac:dyDescent="0.55000000000000004">
      <c r="A152">
        <v>1390</v>
      </c>
      <c r="B152" s="2">
        <f>B$2*2.71828^(-B$8*A152)</f>
        <v>25.78871127874848</v>
      </c>
    </row>
    <row r="153" spans="1:2" x14ac:dyDescent="0.55000000000000004">
      <c r="A153">
        <v>1400</v>
      </c>
      <c r="B153" s="2">
        <f>B$2*2.71828^(-B$8*A153)</f>
        <v>25.118926563340704</v>
      </c>
    </row>
    <row r="154" spans="1:2" x14ac:dyDescent="0.55000000000000004">
      <c r="A154">
        <v>1410</v>
      </c>
      <c r="B154" s="2">
        <f>B$2*2.71828^(-B$8*A154)</f>
        <v>24.466537504510914</v>
      </c>
    </row>
    <row r="155" spans="1:2" x14ac:dyDescent="0.55000000000000004">
      <c r="A155">
        <v>1420</v>
      </c>
      <c r="B155" s="2">
        <f>B$2*2.71828^(-B$8*A155)</f>
        <v>23.831092302059993</v>
      </c>
    </row>
    <row r="156" spans="1:2" x14ac:dyDescent="0.55000000000000004">
      <c r="A156">
        <v>1430</v>
      </c>
      <c r="B156" s="2">
        <f>B$2*2.71828^(-B$8*A156)</f>
        <v>23.212150889948983</v>
      </c>
    </row>
    <row r="157" spans="1:2" x14ac:dyDescent="0.55000000000000004">
      <c r="A157">
        <v>1440</v>
      </c>
      <c r="B157" s="2">
        <f>B$2*2.71828^(-B$8*A157)</f>
        <v>22.609284631539285</v>
      </c>
    </row>
    <row r="158" spans="1:2" x14ac:dyDescent="0.55000000000000004">
      <c r="A158">
        <v>1450</v>
      </c>
      <c r="B158" s="2">
        <f>B$2*2.71828^(-B$8*A158)</f>
        <v>22.022076022748202</v>
      </c>
    </row>
    <row r="159" spans="1:2" x14ac:dyDescent="0.55000000000000004">
      <c r="A159">
        <v>1460</v>
      </c>
      <c r="B159" s="2">
        <f>B$2*2.71828^(-B$8*A159)</f>
        <v>21.450118402913986</v>
      </c>
    </row>
    <row r="160" spans="1:2" x14ac:dyDescent="0.55000000000000004">
      <c r="A160">
        <v>1470</v>
      </c>
      <c r="B160" s="2">
        <f>B$2*2.71828^(-B$8*A160)</f>
        <v>20.893015673170439</v>
      </c>
    </row>
    <row r="161" spans="1:2" x14ac:dyDescent="0.55000000000000004">
      <c r="A161">
        <v>1480</v>
      </c>
      <c r="B161" s="2">
        <f>B$2*2.71828^(-B$8*A161)</f>
        <v>20.350382022135832</v>
      </c>
    </row>
    <row r="162" spans="1:2" x14ac:dyDescent="0.55000000000000004">
      <c r="A162">
        <v>1490</v>
      </c>
      <c r="B162" s="2">
        <f>B$2*2.71828^(-B$8*A162)</f>
        <v>19.8218416587262</v>
      </c>
    </row>
    <row r="163" spans="1:2" x14ac:dyDescent="0.55000000000000004">
      <c r="A163" s="4">
        <v>1500</v>
      </c>
      <c r="B163" s="5">
        <f>B$2*2.71828^(-B$8*A163)</f>
        <v>19.307028551908076</v>
      </c>
    </row>
    <row r="164" spans="1:2" x14ac:dyDescent="0.55000000000000004">
      <c r="A164">
        <v>1510</v>
      </c>
      <c r="B164" s="2">
        <f>B$2*2.71828^(-B$8*A164)</f>
        <v>18.805586177210355</v>
      </c>
    </row>
    <row r="165" spans="1:2" x14ac:dyDescent="0.55000000000000004">
      <c r="A165">
        <v>1520</v>
      </c>
      <c r="B165" s="2">
        <f>B$2*2.71828^(-B$8*A165)</f>
        <v>18.317167269819691</v>
      </c>
    </row>
    <row r="166" spans="1:2" x14ac:dyDescent="0.55000000000000004">
      <c r="A166">
        <v>1530</v>
      </c>
      <c r="B166" s="2">
        <f>B$2*2.71828^(-B$8*A166)</f>
        <v>17.841433584088662</v>
      </c>
    </row>
    <row r="167" spans="1:2" x14ac:dyDescent="0.55000000000000004">
      <c r="A167">
        <v>1540</v>
      </c>
      <c r="B167" s="2">
        <f>B$2*2.71828^(-B$8*A167)</f>
        <v>17.378055659289714</v>
      </c>
    </row>
    <row r="168" spans="1:2" x14ac:dyDescent="0.55000000000000004">
      <c r="A168">
        <v>1550</v>
      </c>
      <c r="B168" s="2">
        <f>B$2*2.71828^(-B$8*A168)</f>
        <v>16.926712591453292</v>
      </c>
    </row>
    <row r="169" spans="1:2" x14ac:dyDescent="0.55000000000000004">
      <c r="A169">
        <v>1560</v>
      </c>
      <c r="B169" s="2">
        <f>B$2*2.71828^(-B$8*A169)</f>
        <v>16.487091811131535</v>
      </c>
    </row>
    <row r="170" spans="1:2" x14ac:dyDescent="0.55000000000000004">
      <c r="A170">
        <v>1570</v>
      </c>
      <c r="B170" s="2">
        <f>B$2*2.71828^(-B$8*A170)</f>
        <v>16.058888866933998</v>
      </c>
    </row>
    <row r="171" spans="1:2" x14ac:dyDescent="0.55000000000000004">
      <c r="A171">
        <v>1580</v>
      </c>
      <c r="B171" s="2">
        <f>B$2*2.71828^(-B$8*A171)</f>
        <v>15.641807214685315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James Hawkins</cp:lastModifiedBy>
  <dcterms:created xsi:type="dcterms:W3CDTF">2026-09-05T09:13:33Z</dcterms:created>
  <dcterms:modified xsi:type="dcterms:W3CDTF">2026-09-14T07:17:39Z</dcterms:modified>
</cp:coreProperties>
</file>