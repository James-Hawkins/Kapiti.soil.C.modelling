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/>
  <mc:AlternateContent xmlns:mc="http://schemas.openxmlformats.org/markup-compatibility/2006">
    <mc:Choice Requires="x15">
      <x15ac:absPath xmlns:x15ac="http://schemas.microsoft.com/office/spreadsheetml/2010/11/ac" url="C:\Users\JHawkins\Documents\Github\Soil.C.modelling\Kapiti.soil.C\projects\KE_Kapiti_Eddy_July\data\"/>
    </mc:Choice>
  </mc:AlternateContent>
  <xr:revisionPtr revIDLastSave="0" documentId="13_ncr:1_{4B6814C9-0A1D-457A-B13A-2738DEAD20D3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" i="1" l="1"/>
  <c r="Q57" i="1" l="1"/>
  <c r="R57" i="1" s="1"/>
  <c r="R56" i="1"/>
  <c r="M53" i="1"/>
  <c r="K5" i="1" s="1"/>
  <c r="L53" i="1"/>
  <c r="K53" i="1"/>
  <c r="H53" i="1"/>
  <c r="F53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O2" i="1"/>
  <c r="M2" i="1"/>
  <c r="I2" i="1"/>
  <c r="I53" i="1" l="1"/>
  <c r="H5" i="1"/>
  <c r="G5" i="1"/>
  <c r="F5" i="1"/>
  <c r="O53" i="1"/>
  <c r="L5" i="1"/>
  <c r="M42" i="1" s="1"/>
  <c r="M50" i="1" l="1"/>
  <c r="M40" i="1"/>
  <c r="M31" i="1"/>
  <c r="M29" i="1"/>
  <c r="M45" i="1"/>
  <c r="M24" i="1"/>
  <c r="M15" i="1"/>
  <c r="M23" i="1"/>
  <c r="M27" i="1"/>
  <c r="M35" i="1"/>
  <c r="M39" i="1"/>
  <c r="M51" i="1"/>
  <c r="M11" i="1"/>
  <c r="M19" i="1"/>
  <c r="M43" i="1"/>
  <c r="M9" i="1"/>
  <c r="M17" i="1"/>
  <c r="M16" i="1"/>
  <c r="M36" i="1"/>
  <c r="M52" i="1"/>
  <c r="M12" i="1"/>
  <c r="M25" i="1"/>
  <c r="M33" i="1"/>
  <c r="M20" i="1"/>
  <c r="M41" i="1"/>
  <c r="M46" i="1"/>
  <c r="M55" i="1"/>
  <c r="M30" i="1"/>
  <c r="M28" i="1"/>
  <c r="M7" i="1"/>
  <c r="M32" i="1"/>
  <c r="M6" i="1"/>
  <c r="M10" i="1"/>
  <c r="M26" i="1"/>
  <c r="M44" i="1"/>
  <c r="M49" i="1"/>
  <c r="M38" i="1"/>
  <c r="M54" i="1"/>
  <c r="M14" i="1"/>
  <c r="M48" i="1"/>
  <c r="M13" i="1"/>
  <c r="M18" i="1"/>
  <c r="L4" i="1"/>
  <c r="H4" i="1"/>
  <c r="K4" i="1"/>
  <c r="G4" i="1"/>
  <c r="F4" i="1"/>
  <c r="M34" i="1"/>
  <c r="M21" i="1"/>
  <c r="M22" i="1"/>
  <c r="I52" i="1"/>
  <c r="I42" i="1"/>
  <c r="I38" i="1"/>
  <c r="I34" i="1"/>
  <c r="I30" i="1"/>
  <c r="I26" i="1"/>
  <c r="I22" i="1"/>
  <c r="I18" i="1"/>
  <c r="I14" i="1"/>
  <c r="I10" i="1"/>
  <c r="I6" i="1"/>
  <c r="I55" i="1"/>
  <c r="I46" i="1"/>
  <c r="I51" i="1"/>
  <c r="I54" i="1"/>
  <c r="I45" i="1"/>
  <c r="I41" i="1"/>
  <c r="I37" i="1"/>
  <c r="I33" i="1"/>
  <c r="I29" i="1"/>
  <c r="I25" i="1"/>
  <c r="I21" i="1"/>
  <c r="I17" i="1"/>
  <c r="I13" i="1"/>
  <c r="I9" i="1"/>
  <c r="I50" i="1"/>
  <c r="I49" i="1"/>
  <c r="I44" i="1"/>
  <c r="I40" i="1"/>
  <c r="I36" i="1"/>
  <c r="I32" i="1"/>
  <c r="I28" i="1"/>
  <c r="I24" i="1"/>
  <c r="I20" i="1"/>
  <c r="I16" i="1"/>
  <c r="I12" i="1"/>
  <c r="I8" i="1"/>
  <c r="I47" i="1"/>
  <c r="I48" i="1"/>
  <c r="I43" i="1"/>
  <c r="I39" i="1"/>
  <c r="I35" i="1"/>
  <c r="I31" i="1"/>
  <c r="I27" i="1"/>
  <c r="I23" i="1"/>
  <c r="I19" i="1"/>
  <c r="I15" i="1"/>
  <c r="I11" i="1"/>
  <c r="I7" i="1"/>
  <c r="M47" i="1"/>
  <c r="M8" i="1"/>
  <c r="M37" i="1"/>
  <c r="O55" i="1" l="1"/>
  <c r="O46" i="1"/>
  <c r="O51" i="1"/>
  <c r="O54" i="1"/>
  <c r="O45" i="1"/>
  <c r="O41" i="1"/>
  <c r="O37" i="1"/>
  <c r="O33" i="1"/>
  <c r="O25" i="1"/>
  <c r="O21" i="1"/>
  <c r="O13" i="1"/>
  <c r="O50" i="1"/>
  <c r="O44" i="1"/>
  <c r="O4" i="1"/>
  <c r="O29" i="1"/>
  <c r="O17" i="1"/>
  <c r="O9" i="1"/>
  <c r="O36" i="1"/>
  <c r="O12" i="1"/>
  <c r="O40" i="1"/>
  <c r="O49" i="1"/>
  <c r="O32" i="1"/>
  <c r="O28" i="1"/>
  <c r="O24" i="1"/>
  <c r="O20" i="1"/>
  <c r="O16" i="1"/>
  <c r="O8" i="1"/>
  <c r="O48" i="1"/>
  <c r="O38" i="1"/>
  <c r="O34" i="1"/>
  <c r="O26" i="1"/>
  <c r="O18" i="1"/>
  <c r="O10" i="1"/>
  <c r="O30" i="1"/>
  <c r="O6" i="1"/>
  <c r="O43" i="1"/>
  <c r="O39" i="1"/>
  <c r="O35" i="1"/>
  <c r="O31" i="1"/>
  <c r="O27" i="1"/>
  <c r="O23" i="1"/>
  <c r="O19" i="1"/>
  <c r="O15" i="1"/>
  <c r="O11" i="1"/>
  <c r="O7" i="1"/>
  <c r="O22" i="1"/>
  <c r="O42" i="1"/>
  <c r="O14" i="1"/>
  <c r="O47" i="1"/>
  <c r="O52" i="1"/>
</calcChain>
</file>

<file path=xl/sharedStrings.xml><?xml version="1.0" encoding="utf-8"?>
<sst xmlns="http://schemas.openxmlformats.org/spreadsheetml/2006/main" count="128" uniqueCount="74">
  <si>
    <t>code</t>
  </si>
  <si>
    <t>category</t>
  </si>
  <si>
    <t>include.xml</t>
  </si>
  <si>
    <t>xml.file</t>
  </si>
  <si>
    <t>bare.ground</t>
  </si>
  <si>
    <t>cynodon_dactylon</t>
  </si>
  <si>
    <t>cenchrus_mezianum</t>
  </si>
  <si>
    <t>themeda_triandra</t>
  </si>
  <si>
    <t>HYBRID.GRASS</t>
  </si>
  <si>
    <t>indigofera_volkensii</t>
  </si>
  <si>
    <t>tephrosia_pumilla</t>
  </si>
  <si>
    <t>HYBRID.FORB</t>
  </si>
  <si>
    <t>Unnamed: 13</t>
  </si>
  <si>
    <t>HYBRID.ALL</t>
  </si>
  <si>
    <t>vechellia_drepanolobium</t>
  </si>
  <si>
    <t>HYBRID.SHRUB</t>
  </si>
  <si>
    <t>fractionalcover</t>
  </si>
  <si>
    <t>NA</t>
  </si>
  <si>
    <t>weight.all</t>
  </si>
  <si>
    <t>weight.ft</t>
  </si>
  <si>
    <t>KO25</t>
  </si>
  <si>
    <t>species</t>
  </si>
  <si>
    <t>KM20</t>
  </si>
  <si>
    <t>VCMAX25</t>
  </si>
  <si>
    <t>AEJM</t>
  </si>
  <si>
    <t>AEKC</t>
  </si>
  <si>
    <t>AEKO</t>
  </si>
  <si>
    <t>AERD</t>
  </si>
  <si>
    <t>AEVC</t>
  </si>
  <si>
    <t>AEVO</t>
  </si>
  <si>
    <t>KC25</t>
  </si>
  <si>
    <t>THETA</t>
  </si>
  <si>
    <t>QJVC</t>
  </si>
  <si>
    <t>QRD25</t>
  </si>
  <si>
    <t>WUECMAX</t>
  </si>
  <si>
    <t>WUECMIN</t>
  </si>
  <si>
    <t>H2OREF_A</t>
  </si>
  <si>
    <t>H2OREF_SENESCENCE</t>
  </si>
  <si>
    <t>H2OREF_GS</t>
  </si>
  <si>
    <t>H2OREF_FLUSHING</t>
  </si>
  <si>
    <t>H2OREF_LEAF_GROWTH</t>
  </si>
  <si>
    <t>GSMAX</t>
  </si>
  <si>
    <t>GSMIN</t>
  </si>
  <si>
    <t>FRACTION_FOLIAGE</t>
  </si>
  <si>
    <t>FRACTION_ROOT</t>
  </si>
  <si>
    <t>FRACTION_FRUIT</t>
  </si>
  <si>
    <t>FOLRELGROMAX</t>
  </si>
  <si>
    <t>MFOLOPT</t>
  </si>
  <si>
    <t>MWFM</t>
  </si>
  <si>
    <t>SLAMAX</t>
  </si>
  <si>
    <t>SLAMIN</t>
  </si>
  <si>
    <t>NDFLUSH</t>
  </si>
  <si>
    <t>NDMORTA</t>
  </si>
  <si>
    <t>GDD_BASE_TEMPERATURE</t>
  </si>
  <si>
    <t>GDD_EMERG</t>
  </si>
  <si>
    <t>GDD_MATURITY</t>
  </si>
  <si>
    <t>GDD_STEM_ELONGATION</t>
  </si>
  <si>
    <t>GDD_ROOTS_GROWN</t>
  </si>
  <si>
    <t>GDDFOLSTART</t>
  </si>
  <si>
    <t>GDDFOLEND</t>
  </si>
  <si>
    <t>NFIX_RATE</t>
  </si>
  <si>
    <t>NCFOLOPT</t>
  </si>
  <si>
    <t>NC_FINEROOTS_MAX</t>
  </si>
  <si>
    <t>NC_FINEROOTS_MIN</t>
  </si>
  <si>
    <t>NC_STRUCTURAL_TISSUE_MAX</t>
  </si>
  <si>
    <t>NC_STRUCTURAL_TISSUE_MIN</t>
  </si>
  <si>
    <t>QRF</t>
  </si>
  <si>
    <t>biomass.yield.Mg.ha.yr</t>
  </si>
  <si>
    <t>initialbiomass</t>
  </si>
  <si>
    <t>event</t>
  </si>
  <si>
    <t>heightmax</t>
  </si>
  <si>
    <t>rootingdepth</t>
  </si>
  <si>
    <t>dbh</t>
  </si>
  <si>
    <t>treenumber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</si>
</sst>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57"/>
  <sheetViews>
    <sheetView tabSelected="1" workbookViewId="0">
      <selection activeCell="H5" sqref="H5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Q1" t="s">
        <v>14</v>
      </c>
      <c r="R1" t="s">
        <v>15</v>
      </c>
    </row>
    <row r="2" spans="1:18" x14ac:dyDescent="0.25">
      <c r="A2" t="s">
        <v>16</v>
      </c>
      <c r="C2" t="b">
        <v>0</v>
      </c>
      <c r="E2">
        <v>0.115</v>
      </c>
      <c r="F2">
        <v>2.0439271763392861E-2</v>
      </c>
      <c r="G2">
        <v>0.12263563058035715</v>
      </c>
      <c r="H2">
        <v>0.48833134765624997</v>
      </c>
      <c r="I2">
        <f>SUM(F2:H2)</f>
        <v>0.63140624999999995</v>
      </c>
      <c r="K2">
        <v>0.24859375</v>
      </c>
      <c r="L2">
        <v>0</v>
      </c>
      <c r="M2">
        <f>SUM(K2:L2)</f>
        <v>0.24859375</v>
      </c>
      <c r="O2" s="2">
        <f>SUM(E2:H2,K2:L2)</f>
        <v>0.99499999999999988</v>
      </c>
      <c r="Q2" t="s">
        <v>17</v>
      </c>
    </row>
    <row r="3" spans="1:18" x14ac:dyDescent="0.25">
      <c r="A3" t="s">
        <v>73</v>
      </c>
      <c r="O3" s="2"/>
      <c r="Q3">
        <v>17.5</v>
      </c>
    </row>
    <row r="4" spans="1:18" x14ac:dyDescent="0.25">
      <c r="A4" t="s">
        <v>18</v>
      </c>
      <c r="C4" t="b">
        <v>0</v>
      </c>
      <c r="F4">
        <f>F53/$O$53</f>
        <v>2.1704945779579911E-2</v>
      </c>
      <c r="G4">
        <f>G53/$O$53</f>
        <v>0.10852472889789955</v>
      </c>
      <c r="H4">
        <f>H53/$O$53</f>
        <v>0.56178481674311753</v>
      </c>
      <c r="K4">
        <f>K53/$O$53</f>
        <v>0.30798550857940316</v>
      </c>
      <c r="L4">
        <f>L53/$O$53</f>
        <v>0</v>
      </c>
      <c r="O4">
        <f>SUM(F4:L4)</f>
        <v>1.0000000000000002</v>
      </c>
    </row>
    <row r="5" spans="1:18" x14ac:dyDescent="0.25">
      <c r="A5" t="s">
        <v>19</v>
      </c>
      <c r="C5" t="b">
        <v>0</v>
      </c>
      <c r="F5">
        <f>F53/$I$53</f>
        <v>3.1364871760160791E-2</v>
      </c>
      <c r="G5">
        <f>G53/$I$53</f>
        <v>0.15682435880080392</v>
      </c>
      <c r="H5">
        <f>H53/$I$53</f>
        <v>0.8118107694390353</v>
      </c>
      <c r="I5">
        <v>1</v>
      </c>
      <c r="K5">
        <f>K53/$M$53</f>
        <v>1</v>
      </c>
      <c r="L5">
        <f>L53/$M$53</f>
        <v>0</v>
      </c>
      <c r="M5">
        <v>1</v>
      </c>
      <c r="O5">
        <v>2</v>
      </c>
    </row>
    <row r="6" spans="1:18" x14ac:dyDescent="0.25">
      <c r="A6" t="s">
        <v>20</v>
      </c>
      <c r="B6" t="s">
        <v>21</v>
      </c>
      <c r="C6" t="b">
        <v>1</v>
      </c>
      <c r="F6">
        <v>375</v>
      </c>
      <c r="G6">
        <v>706</v>
      </c>
      <c r="H6">
        <v>375</v>
      </c>
      <c r="I6">
        <f t="shared" ref="I6:I52" si="0">F6*$F$5+G6*$G$5+H6*$H$5</f>
        <v>426.90886276306605</v>
      </c>
      <c r="K6">
        <v>255</v>
      </c>
      <c r="L6">
        <v>275</v>
      </c>
      <c r="M6">
        <f t="shared" ref="M6:M52" si="1">K6*$K$5+L6*$L$5</f>
        <v>255</v>
      </c>
      <c r="O6">
        <f t="shared" ref="O6:O52" si="2">F6*$F$4+G6*$G$4+H6*$H$4+ K6*$K$4+L6*$L$4</f>
        <v>373.96342423567643</v>
      </c>
      <c r="Q6">
        <v>278.39999999999998</v>
      </c>
      <c r="R6">
        <f t="shared" ref="R6:R44" si="3">Q6</f>
        <v>278.39999999999998</v>
      </c>
    </row>
    <row r="7" spans="1:18" x14ac:dyDescent="0.25">
      <c r="A7" t="s">
        <v>22</v>
      </c>
      <c r="B7" t="s">
        <v>21</v>
      </c>
      <c r="C7" t="b">
        <v>1</v>
      </c>
      <c r="F7">
        <v>1.2500000000000001E-2</v>
      </c>
      <c r="G7">
        <v>0.02</v>
      </c>
      <c r="H7">
        <v>0.02</v>
      </c>
      <c r="I7">
        <f t="shared" si="0"/>
        <v>1.9764763461798795E-2</v>
      </c>
      <c r="K7">
        <v>1.7500000000000002E-2</v>
      </c>
      <c r="L7">
        <v>0.61</v>
      </c>
      <c r="M7">
        <f t="shared" si="1"/>
        <v>1.7500000000000002E-2</v>
      </c>
      <c r="O7">
        <f t="shared" si="2"/>
        <v>1.9067249135204647E-2</v>
      </c>
      <c r="R7">
        <f t="shared" si="3"/>
        <v>0</v>
      </c>
    </row>
    <row r="8" spans="1:18" x14ac:dyDescent="0.25">
      <c r="A8" t="s">
        <v>23</v>
      </c>
      <c r="B8" t="s">
        <v>21</v>
      </c>
      <c r="C8" t="b">
        <v>1</v>
      </c>
      <c r="F8">
        <v>62.1</v>
      </c>
      <c r="G8">
        <v>100</v>
      </c>
      <c r="H8">
        <v>55</v>
      </c>
      <c r="I8">
        <f t="shared" si="0"/>
        <v>62.279786735533321</v>
      </c>
      <c r="K8">
        <v>110</v>
      </c>
      <c r="L8">
        <v>120</v>
      </c>
      <c r="M8">
        <f t="shared" si="1"/>
        <v>110</v>
      </c>
      <c r="O8">
        <f t="shared" si="2"/>
        <v>76.976920887307685</v>
      </c>
      <c r="Q8">
        <v>80</v>
      </c>
      <c r="R8">
        <f t="shared" si="3"/>
        <v>80</v>
      </c>
    </row>
    <row r="9" spans="1:18" x14ac:dyDescent="0.25">
      <c r="A9" t="s">
        <v>24</v>
      </c>
      <c r="B9" t="s">
        <v>21</v>
      </c>
      <c r="C9" t="b">
        <v>1</v>
      </c>
      <c r="F9">
        <v>61450</v>
      </c>
      <c r="G9">
        <v>78700</v>
      </c>
      <c r="H9">
        <v>57450</v>
      </c>
      <c r="I9">
        <f t="shared" si="0"/>
        <v>60907.977111557724</v>
      </c>
      <c r="K9">
        <v>43500</v>
      </c>
      <c r="L9">
        <v>50000</v>
      </c>
      <c r="M9">
        <f t="shared" si="1"/>
        <v>43500</v>
      </c>
      <c r="O9">
        <f t="shared" si="2"/>
        <v>55546.572427516017</v>
      </c>
      <c r="Q9">
        <v>43540</v>
      </c>
      <c r="R9">
        <f t="shared" si="3"/>
        <v>43540</v>
      </c>
    </row>
    <row r="10" spans="1:18" x14ac:dyDescent="0.25">
      <c r="A10" t="s">
        <v>25</v>
      </c>
      <c r="B10" t="s">
        <v>21</v>
      </c>
      <c r="C10" t="b">
        <v>1</v>
      </c>
      <c r="F10">
        <v>71815</v>
      </c>
      <c r="G10">
        <v>59550</v>
      </c>
      <c r="H10">
        <v>57865</v>
      </c>
      <c r="I10">
        <f t="shared" si="0"/>
        <v>58566.789005633596</v>
      </c>
      <c r="K10">
        <v>72500</v>
      </c>
      <c r="L10">
        <v>72500</v>
      </c>
      <c r="M10">
        <f t="shared" si="1"/>
        <v>72500</v>
      </c>
      <c r="O10">
        <f t="shared" si="2"/>
        <v>62858.016079877678</v>
      </c>
      <c r="Q10">
        <v>79430</v>
      </c>
      <c r="R10">
        <f t="shared" si="3"/>
        <v>79430</v>
      </c>
    </row>
    <row r="11" spans="1:18" x14ac:dyDescent="0.25">
      <c r="A11" t="s">
        <v>26</v>
      </c>
      <c r="B11" t="s">
        <v>21</v>
      </c>
      <c r="C11" t="b">
        <v>1</v>
      </c>
      <c r="F11">
        <v>23440</v>
      </c>
      <c r="G11">
        <v>23250</v>
      </c>
      <c r="H11">
        <v>45850</v>
      </c>
      <c r="I11">
        <f t="shared" si="0"/>
        <v>41602.882714956628</v>
      </c>
      <c r="K11">
        <v>37500</v>
      </c>
      <c r="L11">
        <v>37500</v>
      </c>
      <c r="M11">
        <f t="shared" si="1"/>
        <v>37500</v>
      </c>
      <c r="O11">
        <f t="shared" si="2"/>
        <v>40339.254295349077</v>
      </c>
      <c r="Q11">
        <v>36380</v>
      </c>
      <c r="R11">
        <f t="shared" si="3"/>
        <v>36380</v>
      </c>
    </row>
    <row r="12" spans="1:18" x14ac:dyDescent="0.25">
      <c r="A12" t="s">
        <v>27</v>
      </c>
      <c r="B12" t="s">
        <v>21</v>
      </c>
      <c r="C12" t="b">
        <v>1</v>
      </c>
      <c r="F12">
        <v>49845</v>
      </c>
      <c r="G12">
        <v>49695</v>
      </c>
      <c r="H12">
        <v>54900</v>
      </c>
      <c r="I12">
        <f t="shared" si="0"/>
        <v>53925.179785694199</v>
      </c>
      <c r="K12">
        <v>50000</v>
      </c>
      <c r="L12">
        <v>50000</v>
      </c>
      <c r="M12">
        <f t="shared" si="1"/>
        <v>50000</v>
      </c>
      <c r="O12">
        <f t="shared" si="2"/>
        <v>52716.281293131586</v>
      </c>
      <c r="Q12">
        <v>50000</v>
      </c>
      <c r="R12">
        <f t="shared" si="3"/>
        <v>50000</v>
      </c>
    </row>
    <row r="13" spans="1:18" x14ac:dyDescent="0.25">
      <c r="A13" t="s">
        <v>28</v>
      </c>
      <c r="B13" t="s">
        <v>21</v>
      </c>
      <c r="C13" t="b">
        <v>1</v>
      </c>
      <c r="F13">
        <v>64050</v>
      </c>
      <c r="G13">
        <v>64210</v>
      </c>
      <c r="H13">
        <v>71715</v>
      </c>
      <c r="I13">
        <f t="shared" si="0"/>
        <v>70297.621445158336</v>
      </c>
      <c r="K13">
        <v>67500</v>
      </c>
      <c r="L13">
        <v>67500</v>
      </c>
      <c r="M13">
        <f t="shared" si="1"/>
        <v>67500</v>
      </c>
      <c r="O13">
        <f t="shared" si="2"/>
        <v>69435.994581558611</v>
      </c>
      <c r="Q13">
        <v>65330</v>
      </c>
      <c r="R13">
        <f t="shared" si="3"/>
        <v>65330</v>
      </c>
    </row>
    <row r="14" spans="1:18" x14ac:dyDescent="0.25">
      <c r="A14" t="s">
        <v>29</v>
      </c>
      <c r="B14" t="s">
        <v>21</v>
      </c>
      <c r="C14" t="b">
        <v>1</v>
      </c>
      <c r="F14">
        <v>37530</v>
      </c>
      <c r="G14">
        <v>38445</v>
      </c>
      <c r="H14">
        <v>38445</v>
      </c>
      <c r="I14">
        <f t="shared" si="0"/>
        <v>38416.301142339456</v>
      </c>
      <c r="K14">
        <v>42500</v>
      </c>
      <c r="L14">
        <v>42500</v>
      </c>
      <c r="M14">
        <f t="shared" si="1"/>
        <v>42500</v>
      </c>
      <c r="O14">
        <f t="shared" si="2"/>
        <v>39674.02121190117</v>
      </c>
      <c r="Q14">
        <v>45000</v>
      </c>
      <c r="R14">
        <f t="shared" si="3"/>
        <v>45000</v>
      </c>
    </row>
    <row r="15" spans="1:18" x14ac:dyDescent="0.25">
      <c r="A15" t="s">
        <v>30</v>
      </c>
      <c r="B15" t="s">
        <v>21</v>
      </c>
      <c r="C15" t="b">
        <v>1</v>
      </c>
      <c r="F15">
        <v>918</v>
      </c>
      <c r="G15">
        <v>918</v>
      </c>
      <c r="H15">
        <v>533.79999999999995</v>
      </c>
      <c r="I15">
        <f t="shared" si="0"/>
        <v>606.10230238152258</v>
      </c>
      <c r="K15">
        <v>400</v>
      </c>
      <c r="L15">
        <v>400</v>
      </c>
      <c r="M15">
        <f t="shared" si="1"/>
        <v>400</v>
      </c>
      <c r="O15">
        <f t="shared" si="2"/>
        <v>542.62577996316361</v>
      </c>
      <c r="R15">
        <f t="shared" si="3"/>
        <v>0</v>
      </c>
    </row>
    <row r="16" spans="1:18" x14ac:dyDescent="0.25">
      <c r="A16" t="s">
        <v>31</v>
      </c>
      <c r="B16" t="s">
        <v>21</v>
      </c>
      <c r="C16" t="b">
        <v>1</v>
      </c>
      <c r="F16">
        <v>0.77500000000000002</v>
      </c>
      <c r="G16">
        <v>0.75</v>
      </c>
      <c r="H16">
        <v>0.81499999999999995</v>
      </c>
      <c r="I16">
        <f t="shared" si="0"/>
        <v>0.80355182180754126</v>
      </c>
      <c r="K16">
        <v>0.8</v>
      </c>
      <c r="L16">
        <v>0.8</v>
      </c>
      <c r="M16">
        <f t="shared" si="1"/>
        <v>0.8</v>
      </c>
      <c r="O16">
        <f t="shared" si="2"/>
        <v>0.80245791216176232</v>
      </c>
      <c r="Q16">
        <v>0.8</v>
      </c>
      <c r="R16">
        <f t="shared" si="3"/>
        <v>0.8</v>
      </c>
    </row>
    <row r="17" spans="1:18" x14ac:dyDescent="0.25">
      <c r="A17" t="s">
        <v>32</v>
      </c>
      <c r="B17" t="s">
        <v>21</v>
      </c>
      <c r="C17" t="b">
        <v>1</v>
      </c>
      <c r="F17">
        <v>3.05</v>
      </c>
      <c r="G17">
        <v>3.05</v>
      </c>
      <c r="H17">
        <v>3.4750000000000001</v>
      </c>
      <c r="I17">
        <f t="shared" si="0"/>
        <v>3.3950195770115901</v>
      </c>
      <c r="K17">
        <v>1.75</v>
      </c>
      <c r="L17">
        <v>2.27</v>
      </c>
      <c r="M17">
        <f t="shared" si="1"/>
        <v>1.75</v>
      </c>
      <c r="O17">
        <f t="shared" si="2"/>
        <v>2.8883773859626012</v>
      </c>
      <c r="R17">
        <f t="shared" si="3"/>
        <v>0</v>
      </c>
    </row>
    <row r="18" spans="1:18" x14ac:dyDescent="0.25">
      <c r="A18" t="s">
        <v>33</v>
      </c>
      <c r="B18" t="s">
        <v>21</v>
      </c>
      <c r="C18" t="b">
        <v>1</v>
      </c>
      <c r="F18">
        <v>2.4E-2</v>
      </c>
      <c r="G18">
        <v>2.5000000000000001E-2</v>
      </c>
      <c r="H18">
        <v>0.03</v>
      </c>
      <c r="I18">
        <f t="shared" si="0"/>
        <v>2.9027688975435013E-2</v>
      </c>
      <c r="K18">
        <v>1.4999999999999999E-2</v>
      </c>
      <c r="L18">
        <v>1.4999999999999999E-2</v>
      </c>
      <c r="M18">
        <f t="shared" si="1"/>
        <v>1.4999999999999999E-2</v>
      </c>
      <c r="O18">
        <f t="shared" si="2"/>
        <v>2.4707364052141977E-2</v>
      </c>
      <c r="R18">
        <f t="shared" si="3"/>
        <v>0</v>
      </c>
    </row>
    <row r="19" spans="1:18" x14ac:dyDescent="0.25">
      <c r="A19" t="s">
        <v>34</v>
      </c>
      <c r="B19" t="s">
        <v>21</v>
      </c>
      <c r="C19" t="b">
        <v>1</v>
      </c>
      <c r="F19">
        <v>5.25</v>
      </c>
      <c r="G19">
        <v>14</v>
      </c>
      <c r="H19">
        <v>8.56</v>
      </c>
      <c r="I19">
        <f t="shared" si="0"/>
        <v>9.3093067863502412</v>
      </c>
      <c r="K19">
        <v>6.5</v>
      </c>
      <c r="L19">
        <v>6.5</v>
      </c>
      <c r="M19">
        <f t="shared" si="1"/>
        <v>6.5</v>
      </c>
      <c r="O19">
        <f t="shared" si="2"/>
        <v>8.4440810070005945</v>
      </c>
      <c r="R19">
        <f t="shared" si="3"/>
        <v>0</v>
      </c>
    </row>
    <row r="20" spans="1:18" x14ac:dyDescent="0.25">
      <c r="A20" t="s">
        <v>35</v>
      </c>
      <c r="B20" t="s">
        <v>21</v>
      </c>
      <c r="C20" t="b">
        <v>1</v>
      </c>
      <c r="F20">
        <v>2</v>
      </c>
      <c r="G20">
        <v>2</v>
      </c>
      <c r="H20">
        <v>1</v>
      </c>
      <c r="I20">
        <f t="shared" si="0"/>
        <v>1.1881892305609647</v>
      </c>
      <c r="K20">
        <v>1</v>
      </c>
      <c r="L20">
        <v>1</v>
      </c>
      <c r="M20">
        <f t="shared" si="1"/>
        <v>1</v>
      </c>
      <c r="O20">
        <f t="shared" si="2"/>
        <v>1.1302296746774796</v>
      </c>
      <c r="R20">
        <f t="shared" si="3"/>
        <v>0</v>
      </c>
    </row>
    <row r="21" spans="1:18" x14ac:dyDescent="0.25">
      <c r="A21" t="s">
        <v>36</v>
      </c>
      <c r="B21" t="s">
        <v>21</v>
      </c>
      <c r="C21" t="b">
        <v>1</v>
      </c>
      <c r="F21">
        <v>0.5</v>
      </c>
      <c r="G21">
        <v>0.35</v>
      </c>
      <c r="H21">
        <v>0.45</v>
      </c>
      <c r="I21">
        <f t="shared" si="0"/>
        <v>0.43588580770792762</v>
      </c>
      <c r="K21">
        <v>0.375</v>
      </c>
      <c r="L21">
        <v>0.35</v>
      </c>
      <c r="M21">
        <f t="shared" si="1"/>
        <v>0.375</v>
      </c>
      <c r="O21">
        <f t="shared" si="2"/>
        <v>0.41713386125573387</v>
      </c>
      <c r="Q21">
        <v>0.4</v>
      </c>
      <c r="R21">
        <f t="shared" si="3"/>
        <v>0.4</v>
      </c>
    </row>
    <row r="22" spans="1:18" x14ac:dyDescent="0.25">
      <c r="A22" t="s">
        <v>37</v>
      </c>
      <c r="B22" t="s">
        <v>21</v>
      </c>
      <c r="C22" t="b">
        <v>1</v>
      </c>
      <c r="F22">
        <v>0.1</v>
      </c>
      <c r="G22">
        <v>0.17499999999999999</v>
      </c>
      <c r="H22">
        <v>0.22750000000000001</v>
      </c>
      <c r="I22">
        <f t="shared" si="0"/>
        <v>0.21526770001353729</v>
      </c>
      <c r="K22">
        <v>0.15</v>
      </c>
      <c r="L22">
        <v>0</v>
      </c>
      <c r="M22">
        <f t="shared" si="1"/>
        <v>0.15</v>
      </c>
      <c r="O22">
        <f t="shared" si="2"/>
        <v>0.19516619423106013</v>
      </c>
      <c r="R22">
        <f t="shared" si="3"/>
        <v>0</v>
      </c>
    </row>
    <row r="23" spans="1:18" x14ac:dyDescent="0.25">
      <c r="A23" t="s">
        <v>38</v>
      </c>
      <c r="B23" t="s">
        <v>21</v>
      </c>
      <c r="C23" t="b">
        <v>1</v>
      </c>
      <c r="F23">
        <v>0.36499999999999999</v>
      </c>
      <c r="G23">
        <v>0.35</v>
      </c>
      <c r="H23">
        <v>0.24</v>
      </c>
      <c r="I23">
        <f t="shared" si="0"/>
        <v>0.2611712884381085</v>
      </c>
      <c r="K23">
        <v>0.3</v>
      </c>
      <c r="L23">
        <v>0.33</v>
      </c>
      <c r="M23">
        <f t="shared" si="1"/>
        <v>0.3</v>
      </c>
      <c r="O23">
        <f t="shared" si="2"/>
        <v>0.27312996891598063</v>
      </c>
      <c r="Q23">
        <v>0.5</v>
      </c>
      <c r="R23">
        <f t="shared" si="3"/>
        <v>0.5</v>
      </c>
    </row>
    <row r="24" spans="1:18" x14ac:dyDescent="0.25">
      <c r="A24" t="s">
        <v>39</v>
      </c>
      <c r="B24" t="s">
        <v>21</v>
      </c>
      <c r="C24" t="b">
        <v>1</v>
      </c>
      <c r="F24">
        <v>0.2</v>
      </c>
      <c r="G24">
        <v>0.2</v>
      </c>
      <c r="H24">
        <v>0.2</v>
      </c>
      <c r="I24">
        <f t="shared" si="0"/>
        <v>0.2</v>
      </c>
      <c r="K24">
        <v>0.45</v>
      </c>
      <c r="L24">
        <v>0</v>
      </c>
      <c r="M24">
        <f t="shared" si="1"/>
        <v>0.45</v>
      </c>
      <c r="O24">
        <f t="shared" si="2"/>
        <v>0.27699637714485081</v>
      </c>
      <c r="Q24">
        <v>0.25</v>
      </c>
      <c r="R24">
        <f t="shared" si="3"/>
        <v>0.25</v>
      </c>
    </row>
    <row r="25" spans="1:18" x14ac:dyDescent="0.25">
      <c r="A25" t="s">
        <v>40</v>
      </c>
      <c r="B25" t="s">
        <v>21</v>
      </c>
      <c r="C25" t="b">
        <v>1</v>
      </c>
      <c r="F25">
        <v>0.4</v>
      </c>
      <c r="G25">
        <v>0.45</v>
      </c>
      <c r="H25">
        <v>0.45</v>
      </c>
      <c r="I25">
        <f t="shared" si="0"/>
        <v>0.44843175641199196</v>
      </c>
      <c r="K25">
        <v>0.4</v>
      </c>
      <c r="L25">
        <v>0.4</v>
      </c>
      <c r="M25">
        <f t="shared" si="1"/>
        <v>0.4</v>
      </c>
      <c r="O25">
        <f t="shared" si="2"/>
        <v>0.43351547728205098</v>
      </c>
      <c r="Q25">
        <v>0.35</v>
      </c>
      <c r="R25">
        <f t="shared" si="3"/>
        <v>0.35</v>
      </c>
    </row>
    <row r="26" spans="1:18" x14ac:dyDescent="0.25">
      <c r="A26" t="s">
        <v>41</v>
      </c>
      <c r="B26" t="s">
        <v>21</v>
      </c>
      <c r="C26" t="b">
        <v>0</v>
      </c>
      <c r="F26">
        <v>620</v>
      </c>
      <c r="G26">
        <v>800</v>
      </c>
      <c r="H26">
        <v>661</v>
      </c>
      <c r="I26">
        <f t="shared" si="0"/>
        <v>681.51262613114523</v>
      </c>
      <c r="K26">
        <v>800</v>
      </c>
      <c r="L26">
        <v>400</v>
      </c>
      <c r="M26">
        <f t="shared" si="1"/>
        <v>800</v>
      </c>
      <c r="O26">
        <f t="shared" si="2"/>
        <v>718.00502023238244</v>
      </c>
      <c r="Q26">
        <v>420</v>
      </c>
      <c r="R26">
        <f t="shared" si="3"/>
        <v>420</v>
      </c>
    </row>
    <row r="27" spans="1:18" x14ac:dyDescent="0.25">
      <c r="A27" t="s">
        <v>42</v>
      </c>
      <c r="B27" t="s">
        <v>21</v>
      </c>
      <c r="C27" t="b">
        <v>1</v>
      </c>
      <c r="F27">
        <v>2</v>
      </c>
      <c r="G27">
        <v>5</v>
      </c>
      <c r="H27">
        <v>5</v>
      </c>
      <c r="I27">
        <f t="shared" si="0"/>
        <v>4.9059053847195182</v>
      </c>
      <c r="K27">
        <v>10</v>
      </c>
      <c r="L27">
        <v>2</v>
      </c>
      <c r="M27">
        <f t="shared" si="1"/>
        <v>10</v>
      </c>
      <c r="O27">
        <f t="shared" si="2"/>
        <v>6.4748127055582767</v>
      </c>
      <c r="Q27">
        <v>1</v>
      </c>
      <c r="R27">
        <f t="shared" si="3"/>
        <v>1</v>
      </c>
    </row>
    <row r="28" spans="1:18" x14ac:dyDescent="0.25">
      <c r="A28" t="s">
        <v>43</v>
      </c>
      <c r="B28" t="s">
        <v>21</v>
      </c>
      <c r="C28" t="b">
        <v>1</v>
      </c>
      <c r="F28">
        <v>0.32500000000000001</v>
      </c>
      <c r="G28">
        <v>0.3</v>
      </c>
      <c r="H28">
        <v>0.27500000000000002</v>
      </c>
      <c r="I28">
        <f t="shared" si="0"/>
        <v>0.28048885255802819</v>
      </c>
      <c r="K28">
        <v>0.35</v>
      </c>
      <c r="L28">
        <v>0.45</v>
      </c>
      <c r="M28">
        <f t="shared" si="1"/>
        <v>0.35</v>
      </c>
      <c r="O28">
        <f t="shared" si="2"/>
        <v>0.30189727865488175</v>
      </c>
      <c r="Q28">
        <v>0.125</v>
      </c>
      <c r="R28">
        <f t="shared" si="3"/>
        <v>0.125</v>
      </c>
    </row>
    <row r="29" spans="1:18" x14ac:dyDescent="0.25">
      <c r="A29" t="s">
        <v>44</v>
      </c>
      <c r="B29" t="s">
        <v>21</v>
      </c>
      <c r="C29" t="b">
        <v>1</v>
      </c>
      <c r="F29">
        <v>0.52500000000000002</v>
      </c>
      <c r="G29">
        <v>0.67500000000000004</v>
      </c>
      <c r="H29">
        <v>0.67500000000000004</v>
      </c>
      <c r="I29">
        <f t="shared" si="0"/>
        <v>0.67029526923597604</v>
      </c>
      <c r="K29">
        <v>0.55000000000000004</v>
      </c>
      <c r="L29">
        <v>0.27500000000000002</v>
      </c>
      <c r="M29">
        <f t="shared" si="1"/>
        <v>0.55000000000000004</v>
      </c>
      <c r="O29">
        <f t="shared" si="2"/>
        <v>0.63324606956063778</v>
      </c>
      <c r="Q29">
        <v>0.47499999999999998</v>
      </c>
      <c r="R29">
        <f t="shared" si="3"/>
        <v>0.47499999999999998</v>
      </c>
    </row>
    <row r="30" spans="1:18" x14ac:dyDescent="0.25">
      <c r="A30" t="s">
        <v>45</v>
      </c>
      <c r="B30" t="s">
        <v>21</v>
      </c>
      <c r="C30" t="b">
        <v>0</v>
      </c>
      <c r="F30">
        <v>0.03</v>
      </c>
      <c r="G30">
        <v>0.03</v>
      </c>
      <c r="H30">
        <v>0.05</v>
      </c>
      <c r="I30">
        <f t="shared" si="0"/>
        <v>4.6236215388780706E-2</v>
      </c>
      <c r="K30">
        <v>0.1</v>
      </c>
      <c r="L30">
        <v>0.42499999999999999</v>
      </c>
      <c r="M30">
        <f t="shared" si="1"/>
        <v>0.1</v>
      </c>
      <c r="O30">
        <f t="shared" si="2"/>
        <v>6.2794681935420579E-2</v>
      </c>
      <c r="R30">
        <f t="shared" si="3"/>
        <v>0</v>
      </c>
    </row>
    <row r="31" spans="1:18" x14ac:dyDescent="0.25">
      <c r="A31" t="s">
        <v>46</v>
      </c>
      <c r="B31" t="s">
        <v>21</v>
      </c>
      <c r="C31" t="b">
        <v>1</v>
      </c>
      <c r="F31">
        <v>0.15</v>
      </c>
      <c r="G31">
        <v>0.15</v>
      </c>
      <c r="H31">
        <v>0.15</v>
      </c>
      <c r="I31">
        <f t="shared" si="0"/>
        <v>0.15</v>
      </c>
      <c r="K31">
        <v>0.2</v>
      </c>
      <c r="L31">
        <v>0.05</v>
      </c>
      <c r="M31">
        <f t="shared" si="1"/>
        <v>0.2</v>
      </c>
      <c r="O31">
        <f t="shared" si="2"/>
        <v>0.16539927542897018</v>
      </c>
      <c r="R31">
        <f t="shared" si="3"/>
        <v>0</v>
      </c>
    </row>
    <row r="32" spans="1:18" x14ac:dyDescent="0.25">
      <c r="A32" t="s">
        <v>47</v>
      </c>
      <c r="B32" t="s">
        <v>21</v>
      </c>
      <c r="C32" t="b">
        <v>1</v>
      </c>
      <c r="F32">
        <v>0.4</v>
      </c>
      <c r="G32">
        <v>0.215</v>
      </c>
      <c r="H32">
        <v>0.27500000000000002</v>
      </c>
      <c r="I32">
        <f t="shared" si="0"/>
        <v>0.26951114744197191</v>
      </c>
      <c r="K32">
        <v>0.35</v>
      </c>
      <c r="L32">
        <v>0.2</v>
      </c>
      <c r="M32">
        <f t="shared" si="1"/>
        <v>0.35</v>
      </c>
      <c r="O32">
        <f t="shared" si="2"/>
        <v>0.29430054763202879</v>
      </c>
      <c r="Q32">
        <v>0.30499999999999999</v>
      </c>
      <c r="R32">
        <f t="shared" si="3"/>
        <v>0.30499999999999999</v>
      </c>
    </row>
    <row r="33" spans="1:18" x14ac:dyDescent="0.25">
      <c r="A33" t="s">
        <v>48</v>
      </c>
      <c r="B33" t="s">
        <v>21</v>
      </c>
      <c r="C33" t="b">
        <v>1</v>
      </c>
      <c r="F33">
        <v>1.4999999999999999E-4</v>
      </c>
      <c r="G33">
        <v>2.0000000000000001E-4</v>
      </c>
      <c r="H33">
        <v>2.7500000000000002E-4</v>
      </c>
      <c r="I33">
        <f t="shared" si="0"/>
        <v>2.5931756411991962E-4</v>
      </c>
      <c r="K33">
        <v>2.0000000000000001E-4</v>
      </c>
      <c r="L33">
        <v>2.0000000000000001E-4</v>
      </c>
      <c r="M33">
        <f t="shared" si="1"/>
        <v>2.0000000000000001E-4</v>
      </c>
      <c r="O33">
        <f t="shared" si="2"/>
        <v>2.4104861396675488E-4</v>
      </c>
      <c r="R33">
        <f t="shared" si="3"/>
        <v>0</v>
      </c>
    </row>
    <row r="34" spans="1:18" x14ac:dyDescent="0.25">
      <c r="A34" t="s">
        <v>49</v>
      </c>
      <c r="B34" t="s">
        <v>21</v>
      </c>
      <c r="C34" t="b">
        <v>1</v>
      </c>
      <c r="F34">
        <v>35.799999999999997</v>
      </c>
      <c r="G34">
        <v>35</v>
      </c>
      <c r="H34">
        <v>30</v>
      </c>
      <c r="I34">
        <f t="shared" si="0"/>
        <v>30.966038050212951</v>
      </c>
      <c r="K34">
        <v>45</v>
      </c>
      <c r="L34">
        <v>25</v>
      </c>
      <c r="M34">
        <f t="shared" si="1"/>
        <v>45</v>
      </c>
      <c r="O34">
        <f t="shared" si="2"/>
        <v>35.28829495870211</v>
      </c>
      <c r="Q34">
        <v>11.2</v>
      </c>
      <c r="R34">
        <f t="shared" si="3"/>
        <v>11.2</v>
      </c>
    </row>
    <row r="35" spans="1:18" x14ac:dyDescent="0.25">
      <c r="A35" t="s">
        <v>50</v>
      </c>
      <c r="B35" t="s">
        <v>21</v>
      </c>
      <c r="C35" t="b">
        <v>1</v>
      </c>
      <c r="F35">
        <v>13</v>
      </c>
      <c r="G35">
        <v>13</v>
      </c>
      <c r="H35">
        <v>2.0299999999999998</v>
      </c>
      <c r="I35">
        <f t="shared" si="0"/>
        <v>4.0944358592537826</v>
      </c>
      <c r="K35">
        <v>10</v>
      </c>
      <c r="L35">
        <v>10</v>
      </c>
      <c r="M35">
        <f t="shared" si="1"/>
        <v>10</v>
      </c>
      <c r="O35">
        <f t="shared" si="2"/>
        <v>5.9132640345897931</v>
      </c>
      <c r="Q35">
        <v>8.9</v>
      </c>
      <c r="R35">
        <f t="shared" si="3"/>
        <v>8.9</v>
      </c>
    </row>
    <row r="36" spans="1:18" x14ac:dyDescent="0.25">
      <c r="A36" t="s">
        <v>51</v>
      </c>
      <c r="B36" t="s">
        <v>21</v>
      </c>
      <c r="C36" t="b">
        <v>1</v>
      </c>
      <c r="F36">
        <v>30</v>
      </c>
      <c r="G36">
        <v>36.5</v>
      </c>
      <c r="H36">
        <v>13.5</v>
      </c>
      <c r="I36">
        <f t="shared" si="0"/>
        <v>17.624480636461143</v>
      </c>
      <c r="K36">
        <v>12.5</v>
      </c>
      <c r="L36">
        <v>15</v>
      </c>
      <c r="M36">
        <f t="shared" si="1"/>
        <v>12.5</v>
      </c>
      <c r="O36">
        <f t="shared" si="2"/>
        <v>16.046214861435356</v>
      </c>
      <c r="Q36">
        <v>10</v>
      </c>
      <c r="R36">
        <f t="shared" si="3"/>
        <v>10</v>
      </c>
    </row>
    <row r="37" spans="1:18" x14ac:dyDescent="0.25">
      <c r="A37" t="s">
        <v>52</v>
      </c>
      <c r="B37" t="s">
        <v>21</v>
      </c>
      <c r="C37" t="b">
        <v>1</v>
      </c>
      <c r="F37">
        <v>100</v>
      </c>
      <c r="G37">
        <v>130</v>
      </c>
      <c r="H37">
        <v>110</v>
      </c>
      <c r="I37">
        <f t="shared" si="0"/>
        <v>112.82283845841447</v>
      </c>
      <c r="K37">
        <v>105</v>
      </c>
      <c r="L37">
        <v>105</v>
      </c>
      <c r="M37">
        <f t="shared" si="1"/>
        <v>105</v>
      </c>
      <c r="O37">
        <f t="shared" si="2"/>
        <v>110.4135175772652</v>
      </c>
      <c r="Q37">
        <v>105</v>
      </c>
      <c r="R37">
        <f t="shared" si="3"/>
        <v>105</v>
      </c>
    </row>
    <row r="38" spans="1:18" x14ac:dyDescent="0.25">
      <c r="A38" t="s">
        <v>53</v>
      </c>
      <c r="B38" t="s">
        <v>21</v>
      </c>
      <c r="C38" t="b">
        <v>0</v>
      </c>
      <c r="F38">
        <v>11.35</v>
      </c>
      <c r="G38">
        <v>12.5</v>
      </c>
      <c r="H38">
        <v>12.5</v>
      </c>
      <c r="I38">
        <f t="shared" si="0"/>
        <v>12.463930397475815</v>
      </c>
      <c r="K38">
        <v>10</v>
      </c>
      <c r="L38">
        <v>10</v>
      </c>
      <c r="M38">
        <f t="shared" si="1"/>
        <v>10</v>
      </c>
      <c r="O38">
        <f t="shared" si="2"/>
        <v>11.705075540904977</v>
      </c>
      <c r="Q38">
        <v>10</v>
      </c>
      <c r="R38">
        <f t="shared" si="3"/>
        <v>10</v>
      </c>
    </row>
    <row r="39" spans="1:18" x14ac:dyDescent="0.25">
      <c r="A39" t="s">
        <v>54</v>
      </c>
      <c r="B39" t="s">
        <v>21</v>
      </c>
      <c r="C39" t="b">
        <v>0</v>
      </c>
      <c r="F39">
        <v>165</v>
      </c>
      <c r="G39">
        <v>75</v>
      </c>
      <c r="H39">
        <v>80</v>
      </c>
      <c r="I39">
        <f t="shared" si="0"/>
        <v>81.881892305609654</v>
      </c>
      <c r="K39">
        <v>100</v>
      </c>
      <c r="L39">
        <v>75</v>
      </c>
      <c r="M39">
        <f t="shared" si="1"/>
        <v>100</v>
      </c>
      <c r="O39">
        <f t="shared" si="2"/>
        <v>87.462006918362874</v>
      </c>
      <c r="R39">
        <f t="shared" si="3"/>
        <v>0</v>
      </c>
    </row>
    <row r="40" spans="1:18" x14ac:dyDescent="0.25">
      <c r="A40" t="s">
        <v>55</v>
      </c>
      <c r="B40" t="s">
        <v>21</v>
      </c>
      <c r="C40" t="b">
        <v>0</v>
      </c>
      <c r="F40">
        <v>1300</v>
      </c>
      <c r="G40">
        <v>1400</v>
      </c>
      <c r="H40">
        <v>1750</v>
      </c>
      <c r="I40">
        <f t="shared" si="0"/>
        <v>1680.9972821276463</v>
      </c>
      <c r="K40">
        <v>2300</v>
      </c>
      <c r="L40">
        <v>2025</v>
      </c>
      <c r="M40">
        <f t="shared" si="1"/>
        <v>2300</v>
      </c>
      <c r="O40">
        <f t="shared" si="2"/>
        <v>1871.6411490035962</v>
      </c>
      <c r="R40">
        <f t="shared" si="3"/>
        <v>0</v>
      </c>
    </row>
    <row r="41" spans="1:18" x14ac:dyDescent="0.25">
      <c r="A41" t="s">
        <v>56</v>
      </c>
      <c r="B41" t="s">
        <v>21</v>
      </c>
      <c r="C41" t="b">
        <v>0</v>
      </c>
      <c r="F41">
        <v>350</v>
      </c>
      <c r="G41">
        <v>400</v>
      </c>
      <c r="H41">
        <v>900</v>
      </c>
      <c r="I41">
        <f t="shared" si="0"/>
        <v>804.33714113150961</v>
      </c>
      <c r="K41">
        <v>450</v>
      </c>
      <c r="L41">
        <v>450</v>
      </c>
      <c r="M41">
        <f t="shared" si="1"/>
        <v>450</v>
      </c>
      <c r="O41">
        <f t="shared" si="2"/>
        <v>695.20643651155001</v>
      </c>
      <c r="R41">
        <f t="shared" si="3"/>
        <v>0</v>
      </c>
    </row>
    <row r="42" spans="1:18" x14ac:dyDescent="0.25">
      <c r="A42" t="s">
        <v>57</v>
      </c>
      <c r="B42" t="s">
        <v>21</v>
      </c>
      <c r="C42" t="b">
        <v>0</v>
      </c>
      <c r="F42">
        <v>750</v>
      </c>
      <c r="G42">
        <v>650</v>
      </c>
      <c r="H42">
        <v>1500</v>
      </c>
      <c r="I42">
        <f t="shared" si="0"/>
        <v>1343.175641199196</v>
      </c>
      <c r="K42">
        <v>2500</v>
      </c>
      <c r="L42">
        <v>1400</v>
      </c>
      <c r="M42">
        <f t="shared" si="1"/>
        <v>2500</v>
      </c>
      <c r="O42">
        <f t="shared" si="2"/>
        <v>1699.4607796815039</v>
      </c>
      <c r="Q42">
        <v>1400</v>
      </c>
      <c r="R42">
        <f t="shared" si="3"/>
        <v>1400</v>
      </c>
    </row>
    <row r="43" spans="1:18" x14ac:dyDescent="0.25">
      <c r="A43" t="s">
        <v>58</v>
      </c>
      <c r="B43" t="s">
        <v>21</v>
      </c>
      <c r="C43" t="b">
        <v>0</v>
      </c>
      <c r="F43">
        <v>325</v>
      </c>
      <c r="G43">
        <v>175</v>
      </c>
      <c r="H43">
        <v>175</v>
      </c>
      <c r="I43">
        <f t="shared" si="0"/>
        <v>179.70473076402413</v>
      </c>
      <c r="K43">
        <v>225</v>
      </c>
      <c r="L43">
        <v>225</v>
      </c>
      <c r="M43">
        <f t="shared" si="1"/>
        <v>225</v>
      </c>
      <c r="O43">
        <f t="shared" si="2"/>
        <v>193.65501729590716</v>
      </c>
      <c r="R43">
        <f t="shared" si="3"/>
        <v>0</v>
      </c>
    </row>
    <row r="44" spans="1:18" x14ac:dyDescent="0.25">
      <c r="A44" t="s">
        <v>59</v>
      </c>
      <c r="B44" t="s">
        <v>21</v>
      </c>
      <c r="C44" t="b">
        <v>0</v>
      </c>
      <c r="F44">
        <v>1250</v>
      </c>
      <c r="G44">
        <v>1000</v>
      </c>
      <c r="H44">
        <v>1100</v>
      </c>
      <c r="I44">
        <f t="shared" si="0"/>
        <v>1089.0222948839437</v>
      </c>
      <c r="K44">
        <v>1250</v>
      </c>
      <c r="L44">
        <v>1250</v>
      </c>
      <c r="M44">
        <f t="shared" si="1"/>
        <v>1250</v>
      </c>
      <c r="O44">
        <f t="shared" si="2"/>
        <v>1138.6010952640577</v>
      </c>
      <c r="R44">
        <f t="shared" si="3"/>
        <v>0</v>
      </c>
    </row>
    <row r="45" spans="1:18" x14ac:dyDescent="0.25">
      <c r="A45" t="s">
        <v>60</v>
      </c>
      <c r="B45" t="s">
        <v>21</v>
      </c>
      <c r="C45" t="b">
        <v>1</v>
      </c>
      <c r="F45">
        <v>0</v>
      </c>
      <c r="G45">
        <v>0</v>
      </c>
      <c r="H45">
        <v>0</v>
      </c>
      <c r="I45">
        <f t="shared" si="0"/>
        <v>0</v>
      </c>
      <c r="K45">
        <v>0.03</v>
      </c>
      <c r="L45">
        <v>1.0999999999999999E-2</v>
      </c>
      <c r="M45">
        <f t="shared" si="1"/>
        <v>0.03</v>
      </c>
      <c r="O45">
        <f t="shared" si="2"/>
        <v>9.2395652573820947E-3</v>
      </c>
      <c r="Q45">
        <v>7.4000000000000003E-3</v>
      </c>
    </row>
    <row r="46" spans="1:18" x14ac:dyDescent="0.25">
      <c r="A46" t="s">
        <v>61</v>
      </c>
      <c r="B46" t="s">
        <v>21</v>
      </c>
      <c r="C46" t="b">
        <v>1</v>
      </c>
      <c r="F46">
        <v>2.5000000000000001E-2</v>
      </c>
      <c r="G46">
        <v>0.02</v>
      </c>
      <c r="H46">
        <v>1.4E-2</v>
      </c>
      <c r="I46">
        <f t="shared" si="0"/>
        <v>1.5285959742166592E-2</v>
      </c>
      <c r="K46">
        <v>3.85E-2</v>
      </c>
      <c r="L46">
        <v>2.8000000000000001E-2</v>
      </c>
      <c r="M46">
        <f t="shared" si="1"/>
        <v>3.85E-2</v>
      </c>
      <c r="O46">
        <f t="shared" si="2"/>
        <v>2.2435547737158154E-2</v>
      </c>
      <c r="Q46">
        <v>2.8000000000000001E-2</v>
      </c>
    </row>
    <row r="47" spans="1:18" x14ac:dyDescent="0.25">
      <c r="A47" t="s">
        <v>62</v>
      </c>
      <c r="B47" t="s">
        <v>21</v>
      </c>
      <c r="C47" t="b">
        <v>1</v>
      </c>
      <c r="F47">
        <v>1.2E-2</v>
      </c>
      <c r="G47">
        <v>1.2999999999999999E-2</v>
      </c>
      <c r="H47">
        <v>1.0999999999999999E-2</v>
      </c>
      <c r="I47">
        <f t="shared" si="0"/>
        <v>1.1345013589361769E-2</v>
      </c>
      <c r="K47">
        <v>3.5000000000000003E-2</v>
      </c>
      <c r="L47">
        <v>3.6999999999999998E-2</v>
      </c>
      <c r="M47">
        <f t="shared" si="1"/>
        <v>3.5000000000000003E-2</v>
      </c>
      <c r="O47">
        <f t="shared" si="2"/>
        <v>1.8630406609481058E-2</v>
      </c>
      <c r="Q47">
        <v>0.03</v>
      </c>
    </row>
    <row r="48" spans="1:18" x14ac:dyDescent="0.25">
      <c r="A48" t="s">
        <v>63</v>
      </c>
      <c r="B48" t="s">
        <v>21</v>
      </c>
      <c r="C48" t="b">
        <v>1</v>
      </c>
      <c r="F48">
        <v>6.0000000000000001E-3</v>
      </c>
      <c r="G48">
        <v>6.0000000000000001E-3</v>
      </c>
      <c r="H48">
        <v>3.0000000000000001E-3</v>
      </c>
      <c r="I48">
        <f t="shared" si="0"/>
        <v>3.5645676916828939E-3</v>
      </c>
      <c r="K48">
        <v>1.4999999999999999E-2</v>
      </c>
      <c r="L48">
        <v>1.2E-2</v>
      </c>
      <c r="M48">
        <f t="shared" si="1"/>
        <v>1.4999999999999999E-2</v>
      </c>
      <c r="O48">
        <f t="shared" si="2"/>
        <v>7.0865151269852772E-3</v>
      </c>
      <c r="Q48">
        <v>0.01</v>
      </c>
    </row>
    <row r="49" spans="1:18" x14ac:dyDescent="0.25">
      <c r="A49" t="s">
        <v>64</v>
      </c>
      <c r="B49" t="s">
        <v>21</v>
      </c>
      <c r="C49" t="b">
        <v>1</v>
      </c>
      <c r="F49">
        <v>1.4999999999999999E-2</v>
      </c>
      <c r="G49">
        <v>1.4999999999999999E-2</v>
      </c>
      <c r="H49">
        <v>1.0999999999999999E-2</v>
      </c>
      <c r="I49">
        <f t="shared" si="0"/>
        <v>1.1752756922243859E-2</v>
      </c>
      <c r="K49">
        <v>1.6E-2</v>
      </c>
      <c r="L49">
        <v>1.2E-2</v>
      </c>
      <c r="M49">
        <f t="shared" si="1"/>
        <v>1.6E-2</v>
      </c>
      <c r="O49">
        <f t="shared" si="2"/>
        <v>1.3060846241606935E-2</v>
      </c>
    </row>
    <row r="50" spans="1:18" x14ac:dyDescent="0.25">
      <c r="A50" t="s">
        <v>65</v>
      </c>
      <c r="B50" t="s">
        <v>21</v>
      </c>
      <c r="C50" t="b">
        <v>1</v>
      </c>
      <c r="F50">
        <v>4.0000000000000001E-3</v>
      </c>
      <c r="G50">
        <v>5.4999999999999997E-3</v>
      </c>
      <c r="H50">
        <v>3.0000000000000001E-3</v>
      </c>
      <c r="I50">
        <f t="shared" si="0"/>
        <v>3.4234257687621701E-3</v>
      </c>
      <c r="K50">
        <v>5.0000000000000001E-3</v>
      </c>
      <c r="L50">
        <v>4.0000000000000001E-3</v>
      </c>
      <c r="M50">
        <f t="shared" si="1"/>
        <v>5.0000000000000001E-3</v>
      </c>
      <c r="O50">
        <f t="shared" si="2"/>
        <v>3.9089877851831356E-3</v>
      </c>
    </row>
    <row r="51" spans="1:18" x14ac:dyDescent="0.25">
      <c r="A51" t="s">
        <v>66</v>
      </c>
      <c r="B51" t="s">
        <v>21</v>
      </c>
      <c r="C51" t="b">
        <v>1</v>
      </c>
      <c r="F51">
        <v>1.25</v>
      </c>
      <c r="G51">
        <v>1.25</v>
      </c>
      <c r="H51">
        <v>1.25</v>
      </c>
      <c r="I51">
        <f t="shared" si="0"/>
        <v>1.25</v>
      </c>
      <c r="K51">
        <v>0.85</v>
      </c>
      <c r="L51">
        <v>0.45</v>
      </c>
      <c r="M51">
        <f t="shared" si="1"/>
        <v>0.85</v>
      </c>
      <c r="O51">
        <f t="shared" si="2"/>
        <v>1.126805796568239</v>
      </c>
      <c r="Q51">
        <v>0.3</v>
      </c>
    </row>
    <row r="52" spans="1:18" x14ac:dyDescent="0.25">
      <c r="A52" t="s">
        <v>67</v>
      </c>
      <c r="B52" t="s">
        <v>21</v>
      </c>
      <c r="C52" t="b">
        <v>0</v>
      </c>
      <c r="F52">
        <v>1200</v>
      </c>
      <c r="G52">
        <v>1000</v>
      </c>
      <c r="H52">
        <v>1300</v>
      </c>
      <c r="I52">
        <f t="shared" si="0"/>
        <v>1249.8162051837428</v>
      </c>
      <c r="K52">
        <v>1400</v>
      </c>
      <c r="L52">
        <v>1400</v>
      </c>
      <c r="M52">
        <f t="shared" si="1"/>
        <v>1400</v>
      </c>
      <c r="O52">
        <f t="shared" si="2"/>
        <v>1296.0706376106127</v>
      </c>
    </row>
    <row r="53" spans="1:18" x14ac:dyDescent="0.25">
      <c r="A53" t="s">
        <v>68</v>
      </c>
      <c r="B53" t="s">
        <v>69</v>
      </c>
      <c r="C53" t="b">
        <v>1</v>
      </c>
      <c r="F53">
        <f>F52*F2</f>
        <v>24.527126116071432</v>
      </c>
      <c r="G53">
        <f>G52*G2</f>
        <v>122.63563058035714</v>
      </c>
      <c r="H53">
        <f>H52*H2</f>
        <v>634.83075195312495</v>
      </c>
      <c r="I53" s="1">
        <f>SUM(F53:H53)</f>
        <v>781.99350864955352</v>
      </c>
      <c r="K53">
        <f>K2*K52</f>
        <v>348.03125</v>
      </c>
      <c r="L53">
        <f>L2*L52</f>
        <v>0</v>
      </c>
      <c r="M53" s="1">
        <f>SUM(K53:L53)</f>
        <v>348.03125</v>
      </c>
      <c r="O53">
        <f>SUM(M53,I53)</f>
        <v>1130.0247586495534</v>
      </c>
      <c r="Q53" t="s">
        <v>17</v>
      </c>
      <c r="R53" t="s">
        <v>17</v>
      </c>
    </row>
    <row r="54" spans="1:18" x14ac:dyDescent="0.25">
      <c r="A54" t="s">
        <v>70</v>
      </c>
      <c r="B54" t="s">
        <v>69</v>
      </c>
      <c r="C54" t="b">
        <v>1</v>
      </c>
      <c r="F54">
        <v>0.4</v>
      </c>
      <c r="G54">
        <v>0.7</v>
      </c>
      <c r="H54">
        <v>1.5</v>
      </c>
      <c r="I54">
        <f>F54*$F$5+G54*$G$5+H54*$H$5</f>
        <v>1.34003915402318</v>
      </c>
      <c r="K54">
        <v>0.4</v>
      </c>
      <c r="L54">
        <v>0.4</v>
      </c>
      <c r="M54">
        <f>K54*$K$5+L54*$L$5</f>
        <v>0.4</v>
      </c>
      <c r="O54">
        <f>F54*$F$4+G54*$G$4+H54*$H$4+ K54*$K$4+L54*$L$4</f>
        <v>1.0505207170867994</v>
      </c>
      <c r="Q54">
        <v>3.25</v>
      </c>
      <c r="R54" t="s">
        <v>17</v>
      </c>
    </row>
    <row r="55" spans="1:18" x14ac:dyDescent="0.25">
      <c r="A55" t="s">
        <v>71</v>
      </c>
      <c r="B55" t="s">
        <v>69</v>
      </c>
      <c r="C55" t="b">
        <v>1</v>
      </c>
      <c r="F55">
        <v>0.8</v>
      </c>
      <c r="G55">
        <v>2</v>
      </c>
      <c r="H55">
        <v>2</v>
      </c>
      <c r="I55">
        <f>F55*$F$5+G55*$G$5+H55*$H$5</f>
        <v>1.9623621538878071</v>
      </c>
      <c r="K55">
        <v>0.6</v>
      </c>
      <c r="L55">
        <v>0.6</v>
      </c>
      <c r="M55">
        <f>K55*$K$5+L55*$L$5</f>
        <v>0.6</v>
      </c>
      <c r="O55">
        <f>F55*$F$4+G55*$G$4+H55*$H$4+ K55*$K$4+L55*$L$4</f>
        <v>1.54277435305334</v>
      </c>
      <c r="Q55" t="s">
        <v>17</v>
      </c>
      <c r="R55" t="s">
        <v>17</v>
      </c>
    </row>
    <row r="56" spans="1:18" x14ac:dyDescent="0.25">
      <c r="A56" t="s">
        <v>72</v>
      </c>
      <c r="Q56">
        <v>0.15</v>
      </c>
      <c r="R56">
        <f>Q56</f>
        <v>0.15</v>
      </c>
    </row>
    <row r="57" spans="1:18" x14ac:dyDescent="0.25">
      <c r="A57" t="s">
        <v>73</v>
      </c>
      <c r="Q57">
        <f>Q3</f>
        <v>17.5</v>
      </c>
      <c r="R57">
        <f>Q57</f>
        <v>17.5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Hawkins, James (ILRI)</cp:lastModifiedBy>
  <dcterms:created xsi:type="dcterms:W3CDTF">2026-06-04T08:12:37Z</dcterms:created>
  <dcterms:modified xsi:type="dcterms:W3CDTF">2026-07-25T09:47:45Z</dcterms:modified>
</cp:coreProperties>
</file>