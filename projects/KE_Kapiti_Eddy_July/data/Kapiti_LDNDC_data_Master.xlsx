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JHawkins\Documents\Github\Soil.C.modelling\Kapiti.soil.C\projects\KE_Kapiti_Eddy_July\data\"/>
    </mc:Choice>
  </mc:AlternateContent>
  <xr:revisionPtr revIDLastSave="0" documentId="13_ncr:1_{04C3EBE6-D150-429C-8FB9-624278E50B08}" xr6:coauthVersionLast="47" xr6:coauthVersionMax="47" xr10:uidLastSave="{00000000-0000-0000-0000-000000000000}"/>
  <bookViews>
    <workbookView xWindow="-120" yWindow="-120" windowWidth="24240" windowHeight="13020" firstSheet="15" activeTab="19" xr2:uid="{16AF8F28-4DD2-434A-81EB-0C358C23984E}"/>
  </bookViews>
  <sheets>
    <sheet name="Weighted_avg_p1_p9" sheetId="25" r:id="rId1"/>
    <sheet name="Soils_Vertis_p9" sheetId="24" r:id="rId2"/>
    <sheet name="Soils_Plonos_p1" sheetId="19" r:id="rId3"/>
    <sheet name="Soil_parameters_Ferral_P8" sheetId="5" r:id="rId4"/>
    <sheet name="Soils_Vertis_p4" sheetId="16" r:id="rId5"/>
    <sheet name="Soils_Vertis_p7" sheetId="17" r:id="rId6"/>
    <sheet name="Soils_Vertis_p12" sheetId="20" r:id="rId7"/>
    <sheet name="Soils_wgt_avg" sheetId="15" r:id="rId8"/>
    <sheet name="Soil_Ferral_ISRIC_KE007 (2)" sheetId="13" r:id="rId9"/>
    <sheet name="ISRIC Reference soils" sheetId="9" r:id="rId10"/>
    <sheet name="Soil_Ferral_ISRIC_KE007" sheetId="12" r:id="rId11"/>
    <sheet name="Soil_parameters_Ferral_ISRIC" sheetId="8" r:id="rId12"/>
    <sheet name="Soil_parameters_Ferral_Mean" sheetId="7" r:id="rId13"/>
    <sheet name="Soil_Ferral_ISRIC_KE009" sheetId="10" r:id="rId14"/>
    <sheet name="Soil_parameters_Ferral_P14" sheetId="6" r:id="rId15"/>
    <sheet name="Soil_parameters (2)" sheetId="4" r:id="rId16"/>
    <sheet name="Cattle density" sheetId="21" r:id="rId17"/>
    <sheet name="Tree density" sheetId="29" r:id="rId18"/>
    <sheet name="Soil_references" sheetId="28" r:id="rId19"/>
    <sheet name="Wild_herbivores" sheetId="23" r:id="rId20"/>
    <sheet name="Graze_density_all" sheetId="41" r:id="rId21"/>
    <sheet name="Calibratin parameters" sheetId="3" r:id="rId22"/>
    <sheet name="Species_parameters" sheetId="1" r:id="rId23"/>
    <sheet name="Site params" sheetId="43" r:id="rId24"/>
    <sheet name="Lresources_WAVG" sheetId="42" r:id="rId25"/>
    <sheet name="Params_specs_ALL" sheetId="36" r:id="rId26"/>
    <sheet name="Lresources_ALL" sheetId="31" r:id="rId27"/>
    <sheet name="Lresources_CEBI" sheetId="30" r:id="rId28"/>
    <sheet name="Lresources_PERG" sheetId="22" r:id="rId29"/>
    <sheet name="Lresources_ANGA" sheetId="26" r:id="rId30"/>
    <sheet name="Lresources_PECL" sheetId="27" r:id="rId31"/>
    <sheet name="Lresources_ACTO" sheetId="39" r:id="rId32"/>
    <sheet name="Growing_periods_compare" sheetId="40" r:id="rId33"/>
  </sheets>
  <externalReferences>
    <externalReference r:id="rId3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6" i="23" l="1"/>
  <c r="D26" i="23"/>
  <c r="E22" i="23"/>
  <c r="F22" i="23"/>
  <c r="G22" i="23"/>
  <c r="H22" i="23"/>
  <c r="I22" i="23"/>
  <c r="D22" i="23"/>
  <c r="D18" i="23"/>
  <c r="D19" i="23"/>
  <c r="E19" i="23"/>
  <c r="F19" i="23"/>
  <c r="G19" i="23"/>
  <c r="H19" i="23"/>
  <c r="I19" i="23"/>
  <c r="E7" i="43"/>
  <c r="E6" i="43"/>
  <c r="H13" i="43"/>
  <c r="E3" i="43"/>
  <c r="E5" i="43"/>
  <c r="E2" i="43"/>
  <c r="E4" i="43"/>
  <c r="BC3" i="36" l="1"/>
  <c r="BC4" i="36"/>
  <c r="BC5" i="36"/>
  <c r="BC6" i="36"/>
  <c r="BC7" i="36"/>
  <c r="BC8" i="36"/>
  <c r="BC9" i="36"/>
  <c r="BC10" i="36"/>
  <c r="BC11" i="36"/>
  <c r="BC12" i="36"/>
  <c r="BC13" i="36"/>
  <c r="BC14" i="36"/>
  <c r="BC15" i="36"/>
  <c r="BC16" i="36"/>
  <c r="AE15" i="36"/>
  <c r="AP4" i="36"/>
  <c r="AK13" i="36" s="1"/>
  <c r="AQ4" i="36"/>
  <c r="AL44" i="36" s="1"/>
  <c r="AR4" i="36"/>
  <c r="AM13" i="36" s="1"/>
  <c r="AO4" i="36"/>
  <c r="AJ13" i="36" s="1"/>
  <c r="AF3" i="36"/>
  <c r="AF4" i="36"/>
  <c r="AF5" i="36"/>
  <c r="AF6" i="36"/>
  <c r="AF7" i="36"/>
  <c r="AF8" i="36"/>
  <c r="AF9" i="36"/>
  <c r="AF10" i="36"/>
  <c r="AF11" i="36"/>
  <c r="AF12" i="36"/>
  <c r="AF13" i="36"/>
  <c r="AF14" i="36"/>
  <c r="AF15" i="36"/>
  <c r="AF16" i="36"/>
  <c r="AF17" i="36"/>
  <c r="AF18" i="36"/>
  <c r="AF19" i="36"/>
  <c r="AF20" i="36"/>
  <c r="AF21" i="36"/>
  <c r="AF22" i="36"/>
  <c r="AF23" i="36"/>
  <c r="AF24" i="36"/>
  <c r="AF25" i="36"/>
  <c r="AF26" i="36"/>
  <c r="AF27" i="36"/>
  <c r="AF28" i="36"/>
  <c r="AF29" i="36"/>
  <c r="AF30" i="36"/>
  <c r="AF31" i="36"/>
  <c r="AF32" i="36"/>
  <c r="AF33" i="36"/>
  <c r="AF34" i="36"/>
  <c r="AF35" i="36"/>
  <c r="AF36" i="36"/>
  <c r="AF37" i="36"/>
  <c r="AF38" i="36"/>
  <c r="AF39" i="36"/>
  <c r="AF40" i="36"/>
  <c r="AF41" i="36"/>
  <c r="AF42" i="36"/>
  <c r="AF43" i="36"/>
  <c r="AF44" i="36"/>
  <c r="AF2" i="36"/>
  <c r="AG1" i="36"/>
  <c r="AH1" i="36"/>
  <c r="AD1" i="36"/>
  <c r="AE1" i="36"/>
  <c r="AF1" i="36"/>
  <c r="AC1" i="36"/>
  <c r="BW29" i="36"/>
  <c r="BL29" i="36"/>
  <c r="CB3" i="36"/>
  <c r="CC3" i="36"/>
  <c r="CD3" i="36"/>
  <c r="CE3" i="36"/>
  <c r="CB4" i="36"/>
  <c r="CC4" i="36"/>
  <c r="CD4" i="36"/>
  <c r="CE4" i="36"/>
  <c r="CB5" i="36"/>
  <c r="CC5" i="36"/>
  <c r="CD5" i="36"/>
  <c r="CE5" i="36"/>
  <c r="CB6" i="36"/>
  <c r="CC6" i="36"/>
  <c r="CD6" i="36"/>
  <c r="CE6" i="36"/>
  <c r="CB7" i="36"/>
  <c r="CC7" i="36"/>
  <c r="CD7" i="36"/>
  <c r="CE7" i="36"/>
  <c r="CB8" i="36"/>
  <c r="CC8" i="36"/>
  <c r="CD8" i="36"/>
  <c r="CE8" i="36"/>
  <c r="CB9" i="36"/>
  <c r="CC9" i="36"/>
  <c r="CD9" i="36"/>
  <c r="CE9" i="36"/>
  <c r="CB10" i="36"/>
  <c r="CC10" i="36"/>
  <c r="CD10" i="36"/>
  <c r="CE10" i="36"/>
  <c r="CB11" i="36"/>
  <c r="CC11" i="36"/>
  <c r="CD11" i="36"/>
  <c r="CE11" i="36"/>
  <c r="CB12" i="36"/>
  <c r="CC12" i="36"/>
  <c r="CD12" i="36"/>
  <c r="CE12" i="36"/>
  <c r="CB13" i="36"/>
  <c r="CC13" i="36"/>
  <c r="CD13" i="36"/>
  <c r="CE13" i="36"/>
  <c r="CB14" i="36"/>
  <c r="CC14" i="36"/>
  <c r="CD14" i="36"/>
  <c r="CE14" i="36"/>
  <c r="CB15" i="36"/>
  <c r="CC15" i="36"/>
  <c r="CD15" i="36"/>
  <c r="CE15" i="36"/>
  <c r="CB16" i="36"/>
  <c r="CC16" i="36"/>
  <c r="CD16" i="36"/>
  <c r="CE16" i="36"/>
  <c r="CB17" i="36"/>
  <c r="CC17" i="36"/>
  <c r="CD17" i="36"/>
  <c r="CE17" i="36"/>
  <c r="CB18" i="36"/>
  <c r="CC18" i="36"/>
  <c r="CD18" i="36"/>
  <c r="CE18" i="36"/>
  <c r="CB19" i="36"/>
  <c r="CC19" i="36"/>
  <c r="CD19" i="36"/>
  <c r="CE19" i="36"/>
  <c r="CB20" i="36"/>
  <c r="CC20" i="36"/>
  <c r="CD20" i="36"/>
  <c r="CE20" i="36"/>
  <c r="CB21" i="36"/>
  <c r="CC21" i="36"/>
  <c r="CD21" i="36"/>
  <c r="CE21" i="36"/>
  <c r="CB22" i="36"/>
  <c r="CC22" i="36"/>
  <c r="CD22" i="36"/>
  <c r="CE22" i="36"/>
  <c r="CB23" i="36"/>
  <c r="CC23" i="36"/>
  <c r="CD23" i="36"/>
  <c r="CE23" i="36"/>
  <c r="CB24" i="36"/>
  <c r="CC24" i="36"/>
  <c r="CD24" i="36"/>
  <c r="CE24" i="36"/>
  <c r="CB25" i="36"/>
  <c r="CC25" i="36"/>
  <c r="CD25" i="36"/>
  <c r="CE25" i="36"/>
  <c r="CB26" i="36"/>
  <c r="CC26" i="36"/>
  <c r="CD26" i="36"/>
  <c r="CE26" i="36"/>
  <c r="CB27" i="36"/>
  <c r="CC27" i="36"/>
  <c r="CD27" i="36"/>
  <c r="CE27" i="36"/>
  <c r="CB28" i="36"/>
  <c r="CC28" i="36"/>
  <c r="CD28" i="36"/>
  <c r="CE28" i="36"/>
  <c r="CB30" i="36"/>
  <c r="CC30" i="36"/>
  <c r="CD30" i="36"/>
  <c r="CE30" i="36"/>
  <c r="CB31" i="36"/>
  <c r="CC31" i="36"/>
  <c r="CD31" i="36"/>
  <c r="CE31" i="36"/>
  <c r="CB32" i="36"/>
  <c r="CC32" i="36"/>
  <c r="CD32" i="36"/>
  <c r="CE32" i="36"/>
  <c r="CB33" i="36"/>
  <c r="CC33" i="36"/>
  <c r="CD33" i="36"/>
  <c r="CE33" i="36"/>
  <c r="CB34" i="36"/>
  <c r="CC34" i="36"/>
  <c r="CD34" i="36"/>
  <c r="CE34" i="36"/>
  <c r="CB35" i="36"/>
  <c r="CC35" i="36"/>
  <c r="CD35" i="36"/>
  <c r="CE35" i="36"/>
  <c r="CB36" i="36"/>
  <c r="CC36" i="36"/>
  <c r="CD36" i="36"/>
  <c r="CE36" i="36"/>
  <c r="CB37" i="36"/>
  <c r="CC37" i="36"/>
  <c r="CD37" i="36"/>
  <c r="CE37" i="36"/>
  <c r="CB38" i="36"/>
  <c r="CC38" i="36"/>
  <c r="CD38" i="36"/>
  <c r="CE38" i="36"/>
  <c r="CB39" i="36"/>
  <c r="CC39" i="36"/>
  <c r="CD39" i="36"/>
  <c r="CE39" i="36"/>
  <c r="CB40" i="36"/>
  <c r="CC40" i="36"/>
  <c r="CD40" i="36"/>
  <c r="CE40" i="36"/>
  <c r="CB41" i="36"/>
  <c r="CC41" i="36"/>
  <c r="CD41" i="36"/>
  <c r="CE41" i="36"/>
  <c r="CB42" i="36"/>
  <c r="CC42" i="36"/>
  <c r="CD42" i="36"/>
  <c r="CE42" i="36"/>
  <c r="CB43" i="36"/>
  <c r="CC43" i="36"/>
  <c r="CD43" i="36"/>
  <c r="CE43" i="36"/>
  <c r="CB44" i="36"/>
  <c r="CC44" i="36"/>
  <c r="CD44" i="36"/>
  <c r="CE44" i="36"/>
  <c r="CC2" i="36"/>
  <c r="CD2" i="36"/>
  <c r="CE2" i="36"/>
  <c r="CB2" i="36"/>
  <c r="BX3" i="36"/>
  <c r="BX4" i="36"/>
  <c r="BX5" i="36"/>
  <c r="BX6" i="36"/>
  <c r="BX7" i="36"/>
  <c r="BX8" i="36"/>
  <c r="BX9" i="36"/>
  <c r="BX10" i="36"/>
  <c r="BX11" i="36"/>
  <c r="BX12" i="36"/>
  <c r="BX13" i="36"/>
  <c r="BX14" i="36"/>
  <c r="BX15" i="36"/>
  <c r="BX16" i="36"/>
  <c r="BX17" i="36"/>
  <c r="BX18" i="36"/>
  <c r="BX19" i="36"/>
  <c r="BX20" i="36"/>
  <c r="BX21" i="36"/>
  <c r="BX22" i="36"/>
  <c r="BX23" i="36"/>
  <c r="BX24" i="36"/>
  <c r="BX25" i="36"/>
  <c r="BX26" i="36"/>
  <c r="BX27" i="36"/>
  <c r="BX28" i="36"/>
  <c r="BX29" i="36"/>
  <c r="BX30" i="36"/>
  <c r="BX31" i="36"/>
  <c r="BX32" i="36"/>
  <c r="BX33" i="36"/>
  <c r="BX34" i="36"/>
  <c r="BX35" i="36"/>
  <c r="BX36" i="36"/>
  <c r="BX37" i="36"/>
  <c r="BX38" i="36"/>
  <c r="BX39" i="36"/>
  <c r="BX40" i="36"/>
  <c r="BX41" i="36"/>
  <c r="BX42" i="36"/>
  <c r="BX43" i="36"/>
  <c r="BX44" i="36"/>
  <c r="BM3" i="36"/>
  <c r="BM4" i="36"/>
  <c r="BM5" i="36"/>
  <c r="BM6" i="36"/>
  <c r="BM7" i="36"/>
  <c r="BM8" i="36"/>
  <c r="BM9" i="36"/>
  <c r="BM10" i="36"/>
  <c r="BM11" i="36"/>
  <c r="BM12" i="36"/>
  <c r="BM13" i="36"/>
  <c r="BM14" i="36"/>
  <c r="BM15" i="36"/>
  <c r="BM16" i="36"/>
  <c r="BM17" i="36"/>
  <c r="BM18" i="36"/>
  <c r="BM19" i="36"/>
  <c r="BM20" i="36"/>
  <c r="BM21" i="36"/>
  <c r="BM22" i="36"/>
  <c r="BM23" i="36"/>
  <c r="BM24" i="36"/>
  <c r="BM25" i="36"/>
  <c r="BM26" i="36"/>
  <c r="BM27" i="36"/>
  <c r="BM28" i="36"/>
  <c r="BM29" i="36"/>
  <c r="BM30" i="36"/>
  <c r="BM31" i="36"/>
  <c r="BM32" i="36"/>
  <c r="BM33" i="36"/>
  <c r="BM34" i="36"/>
  <c r="BM35" i="36"/>
  <c r="BM36" i="36"/>
  <c r="BM37" i="36"/>
  <c r="BM38" i="36"/>
  <c r="BM39" i="36"/>
  <c r="BM40" i="36"/>
  <c r="BM41" i="36"/>
  <c r="BM42" i="36"/>
  <c r="BM43" i="36"/>
  <c r="BM44" i="36"/>
  <c r="BM2" i="36"/>
  <c r="BX2" i="36"/>
  <c r="BU1" i="36"/>
  <c r="BT1" i="36"/>
  <c r="L26" i="36"/>
  <c r="AI26" i="36" s="1"/>
  <c r="L23" i="36"/>
  <c r="AK23" i="36" s="1"/>
  <c r="L12" i="36"/>
  <c r="AJ12" i="36" s="1"/>
  <c r="L16" i="36"/>
  <c r="AI16" i="36" s="1"/>
  <c r="AI13" i="36"/>
  <c r="AI14" i="36"/>
  <c r="AI30" i="36"/>
  <c r="AI41" i="36"/>
  <c r="AI43" i="36"/>
  <c r="AI44" i="36"/>
  <c r="X23" i="36"/>
  <c r="X26" i="36"/>
  <c r="W12" i="36"/>
  <c r="X43" i="36"/>
  <c r="X44" i="36"/>
  <c r="X30" i="36"/>
  <c r="X14" i="36"/>
  <c r="X13" i="36"/>
  <c r="X12" i="36"/>
  <c r="I14" i="42"/>
  <c r="I15" i="42"/>
  <c r="I16" i="42"/>
  <c r="I17" i="42"/>
  <c r="I18" i="42"/>
  <c r="I19" i="42"/>
  <c r="I20" i="42"/>
  <c r="I21" i="42"/>
  <c r="I22" i="42"/>
  <c r="I23" i="42"/>
  <c r="I24" i="42"/>
  <c r="I25" i="42"/>
  <c r="I26" i="42"/>
  <c r="I27" i="42"/>
  <c r="I28" i="42"/>
  <c r="I29" i="42"/>
  <c r="I30" i="42"/>
  <c r="I31" i="42"/>
  <c r="I32" i="42"/>
  <c r="I33" i="42"/>
  <c r="I34" i="42"/>
  <c r="I35" i="42"/>
  <c r="I36" i="42"/>
  <c r="I37" i="42"/>
  <c r="I38" i="42"/>
  <c r="I39" i="42"/>
  <c r="I40" i="42"/>
  <c r="I41" i="42"/>
  <c r="I42" i="42"/>
  <c r="I43" i="42"/>
  <c r="I44" i="42"/>
  <c r="I45" i="42"/>
  <c r="I46" i="42"/>
  <c r="I47" i="42"/>
  <c r="I48" i="42"/>
  <c r="I49" i="42"/>
  <c r="I50" i="42"/>
  <c r="I51" i="42"/>
  <c r="I52" i="42"/>
  <c r="I53" i="42"/>
  <c r="I54" i="42"/>
  <c r="I55" i="42"/>
  <c r="I56" i="42"/>
  <c r="I57" i="42"/>
  <c r="I58" i="42"/>
  <c r="I59" i="42"/>
  <c r="I60" i="42"/>
  <c r="I61" i="42"/>
  <c r="I62" i="42"/>
  <c r="I63" i="42"/>
  <c r="I64" i="42"/>
  <c r="I65" i="42"/>
  <c r="I66" i="42"/>
  <c r="I67" i="42"/>
  <c r="I68" i="42"/>
  <c r="I69" i="42"/>
  <c r="I70" i="42"/>
  <c r="I71" i="42"/>
  <c r="I72" i="42"/>
  <c r="I73" i="42"/>
  <c r="I74" i="42"/>
  <c r="I75" i="42"/>
  <c r="I76" i="42"/>
  <c r="I77" i="42"/>
  <c r="I78" i="42"/>
  <c r="I79" i="42"/>
  <c r="I80" i="42"/>
  <c r="I81" i="42"/>
  <c r="I82" i="42"/>
  <c r="I83" i="42"/>
  <c r="I84" i="42"/>
  <c r="I85" i="42"/>
  <c r="I86" i="42"/>
  <c r="I87" i="42"/>
  <c r="I88" i="42"/>
  <c r="I89" i="42"/>
  <c r="I90" i="42"/>
  <c r="I91" i="42"/>
  <c r="I92" i="42"/>
  <c r="I93" i="42"/>
  <c r="I94" i="42"/>
  <c r="I95" i="42"/>
  <c r="I96" i="42"/>
  <c r="I97" i="42"/>
  <c r="I98" i="42"/>
  <c r="I99" i="42"/>
  <c r="I100" i="42"/>
  <c r="I101" i="42"/>
  <c r="I102" i="42"/>
  <c r="I103" i="42"/>
  <c r="I104" i="42"/>
  <c r="I105" i="42"/>
  <c r="I106" i="42"/>
  <c r="I107" i="42"/>
  <c r="I108" i="42"/>
  <c r="I109" i="42"/>
  <c r="I110" i="42"/>
  <c r="I111" i="42"/>
  <c r="I112" i="42"/>
  <c r="I113" i="42"/>
  <c r="I114" i="42"/>
  <c r="I115" i="42"/>
  <c r="I116" i="42"/>
  <c r="I117" i="42"/>
  <c r="I118" i="42"/>
  <c r="I119" i="42"/>
  <c r="I120" i="42"/>
  <c r="I121" i="42"/>
  <c r="I122" i="42"/>
  <c r="I123" i="42"/>
  <c r="I124" i="42"/>
  <c r="I125" i="42"/>
  <c r="I126" i="42"/>
  <c r="I127" i="42"/>
  <c r="I128" i="42"/>
  <c r="I129" i="42"/>
  <c r="I130" i="42"/>
  <c r="I131" i="42"/>
  <c r="I132" i="42"/>
  <c r="I133" i="42"/>
  <c r="I134" i="42"/>
  <c r="I135" i="42"/>
  <c r="I136" i="42"/>
  <c r="I137" i="42"/>
  <c r="I138" i="42"/>
  <c r="I139" i="42"/>
  <c r="I140" i="42"/>
  <c r="I141" i="42"/>
  <c r="I142" i="42"/>
  <c r="I143" i="42"/>
  <c r="I144" i="42"/>
  <c r="I145" i="42"/>
  <c r="I146" i="42"/>
  <c r="I147" i="42"/>
  <c r="I148" i="42"/>
  <c r="I149" i="42"/>
  <c r="I150" i="42"/>
  <c r="I151" i="42"/>
  <c r="I152" i="42"/>
  <c r="I153" i="42"/>
  <c r="I154" i="42"/>
  <c r="I155" i="42"/>
  <c r="I156" i="42"/>
  <c r="I157" i="42"/>
  <c r="I158" i="42"/>
  <c r="I159" i="42"/>
  <c r="I160" i="42"/>
  <c r="I161" i="42"/>
  <c r="I162" i="42"/>
  <c r="I163" i="42"/>
  <c r="I164" i="42"/>
  <c r="I165" i="42"/>
  <c r="I166" i="42"/>
  <c r="I167" i="42"/>
  <c r="I168" i="42"/>
  <c r="I169" i="42"/>
  <c r="I170" i="42"/>
  <c r="I171" i="42"/>
  <c r="I172" i="42"/>
  <c r="I173" i="42"/>
  <c r="I174" i="42"/>
  <c r="I175" i="42"/>
  <c r="I176" i="42"/>
  <c r="I177" i="42"/>
  <c r="I178" i="42"/>
  <c r="I179" i="42"/>
  <c r="I180" i="42"/>
  <c r="I181" i="42"/>
  <c r="I182" i="42"/>
  <c r="I183" i="42"/>
  <c r="I184" i="42"/>
  <c r="I185" i="42"/>
  <c r="I186" i="42"/>
  <c r="I187" i="42"/>
  <c r="I188" i="42"/>
  <c r="I189" i="42"/>
  <c r="I190" i="42"/>
  <c r="I191" i="42"/>
  <c r="I192" i="42"/>
  <c r="I193" i="42"/>
  <c r="I194" i="42"/>
  <c r="I195" i="42"/>
  <c r="I196" i="42"/>
  <c r="I197" i="42"/>
  <c r="I198" i="42"/>
  <c r="I199" i="42"/>
  <c r="I200" i="42"/>
  <c r="I201" i="42"/>
  <c r="I202" i="42"/>
  <c r="I203" i="42"/>
  <c r="I204" i="42"/>
  <c r="I205" i="42"/>
  <c r="I206" i="42"/>
  <c r="I207" i="42"/>
  <c r="I208" i="42"/>
  <c r="I209" i="42"/>
  <c r="I210" i="42"/>
  <c r="I211" i="42"/>
  <c r="I212" i="42"/>
  <c r="I213" i="42"/>
  <c r="I214" i="42"/>
  <c r="I215" i="42"/>
  <c r="I216" i="42"/>
  <c r="I217" i="42"/>
  <c r="I218" i="42"/>
  <c r="I219" i="42"/>
  <c r="I220" i="42"/>
  <c r="I221" i="42"/>
  <c r="I222" i="42"/>
  <c r="I223" i="42"/>
  <c r="I224" i="42"/>
  <c r="I225" i="42"/>
  <c r="I226" i="42"/>
  <c r="I227" i="42"/>
  <c r="I228" i="42"/>
  <c r="I229" i="42"/>
  <c r="I230" i="42"/>
  <c r="I231" i="42"/>
  <c r="I232" i="42"/>
  <c r="I233" i="42"/>
  <c r="I234" i="42"/>
  <c r="I235" i="42"/>
  <c r="I236" i="42"/>
  <c r="I237" i="42"/>
  <c r="I238" i="42"/>
  <c r="I239" i="42"/>
  <c r="I240" i="42"/>
  <c r="I241" i="42"/>
  <c r="I242" i="42"/>
  <c r="I243" i="42"/>
  <c r="I244" i="42"/>
  <c r="I245" i="42"/>
  <c r="I246" i="42"/>
  <c r="I247" i="42"/>
  <c r="I13" i="42"/>
  <c r="BC2" i="36"/>
  <c r="BC17" i="36"/>
  <c r="BC18" i="36"/>
  <c r="BC19" i="36"/>
  <c r="BC20" i="36"/>
  <c r="BC21" i="36"/>
  <c r="BC22" i="36"/>
  <c r="BC24" i="36"/>
  <c r="BC25" i="36"/>
  <c r="BC27" i="36"/>
  <c r="BC28" i="36"/>
  <c r="BC29" i="36"/>
  <c r="BC31" i="36"/>
  <c r="BC32" i="36"/>
  <c r="BC33" i="36"/>
  <c r="BC34" i="36"/>
  <c r="BC35" i="36"/>
  <c r="BC36" i="36"/>
  <c r="BC37" i="36"/>
  <c r="BC38" i="36"/>
  <c r="BC39" i="36"/>
  <c r="BC40" i="36"/>
  <c r="BC41" i="36"/>
  <c r="BC42" i="36"/>
  <c r="X2" i="36"/>
  <c r="BD1" i="36"/>
  <c r="BO1" i="36" s="1"/>
  <c r="BZ1" i="36" s="1"/>
  <c r="BE1" i="36"/>
  <c r="BP1" i="36" s="1"/>
  <c r="BF1" i="36"/>
  <c r="O2" i="36"/>
  <c r="BC1" i="36"/>
  <c r="BN1" i="36" s="1"/>
  <c r="BY1" i="36" s="1"/>
  <c r="BM1" i="36"/>
  <c r="BX1" i="36" s="1"/>
  <c r="AY1" i="36"/>
  <c r="BJ1" i="36" s="1"/>
  <c r="AZ1" i="36"/>
  <c r="BK1" i="36" s="1"/>
  <c r="BV1" i="36" s="1"/>
  <c r="BA1" i="36"/>
  <c r="BL1" i="36" s="1"/>
  <c r="BW1" i="36" s="1"/>
  <c r="AV1" i="36"/>
  <c r="W3" i="36"/>
  <c r="W4" i="36"/>
  <c r="W5" i="36"/>
  <c r="W8" i="36"/>
  <c r="W9" i="36"/>
  <c r="W10" i="36"/>
  <c r="W11" i="36"/>
  <c r="W17" i="36"/>
  <c r="W18" i="36"/>
  <c r="W19" i="36"/>
  <c r="W27" i="36"/>
  <c r="W31" i="36"/>
  <c r="W32" i="36"/>
  <c r="W34" i="36"/>
  <c r="W35" i="36"/>
  <c r="W36" i="36"/>
  <c r="W37" i="36"/>
  <c r="AI37" i="36" s="1"/>
  <c r="W38" i="36"/>
  <c r="AM38" i="36" s="1"/>
  <c r="W39" i="36"/>
  <c r="X41" i="36"/>
  <c r="X3" i="36"/>
  <c r="X4" i="36"/>
  <c r="X5" i="36"/>
  <c r="X6" i="36"/>
  <c r="X7" i="36"/>
  <c r="X8" i="36"/>
  <c r="X9" i="36"/>
  <c r="X10" i="36"/>
  <c r="X11" i="36"/>
  <c r="X15" i="36"/>
  <c r="X16" i="36"/>
  <c r="X17" i="36"/>
  <c r="X18" i="36"/>
  <c r="X19" i="36"/>
  <c r="X20" i="36"/>
  <c r="X21" i="36"/>
  <c r="X22" i="36"/>
  <c r="X24" i="36"/>
  <c r="X25" i="36"/>
  <c r="X27" i="36"/>
  <c r="X28" i="36"/>
  <c r="X29" i="36"/>
  <c r="X31" i="36"/>
  <c r="X32" i="36"/>
  <c r="X33" i="36"/>
  <c r="X34" i="36"/>
  <c r="X35" i="36"/>
  <c r="X36" i="36"/>
  <c r="X37" i="36"/>
  <c r="X38" i="36"/>
  <c r="X39" i="36"/>
  <c r="X40" i="36"/>
  <c r="X42" i="36"/>
  <c r="L10" i="36"/>
  <c r="L9" i="36"/>
  <c r="L7" i="36"/>
  <c r="AL7" i="36" s="1"/>
  <c r="L8" i="36"/>
  <c r="L25" i="36"/>
  <c r="AI25" i="36" s="1"/>
  <c r="L32" i="36"/>
  <c r="AK32" i="36" s="1"/>
  <c r="L33" i="36"/>
  <c r="AI33" i="36" s="1"/>
  <c r="L34" i="36"/>
  <c r="AJ34" i="36" s="1"/>
  <c r="L35" i="36"/>
  <c r="AL35" i="36" s="1"/>
  <c r="L36" i="36"/>
  <c r="AJ36" i="36" s="1"/>
  <c r="K19" i="36"/>
  <c r="J19" i="36"/>
  <c r="L21" i="36"/>
  <c r="AI21" i="36" s="1"/>
  <c r="L20" i="36"/>
  <c r="AI20" i="36" s="1"/>
  <c r="L28" i="36"/>
  <c r="L27" i="36"/>
  <c r="L2" i="36"/>
  <c r="L3" i="36"/>
  <c r="L4" i="36"/>
  <c r="L5" i="36"/>
  <c r="L6" i="36"/>
  <c r="AI6" i="36" s="1"/>
  <c r="L11" i="36"/>
  <c r="L15" i="36"/>
  <c r="L17" i="36"/>
  <c r="L18" i="36"/>
  <c r="L22" i="36"/>
  <c r="AI22" i="36" s="1"/>
  <c r="L31" i="36"/>
  <c r="AK31" i="36" s="1"/>
  <c r="L42" i="36"/>
  <c r="AI42" i="36" s="1"/>
  <c r="L40" i="36"/>
  <c r="L39" i="36"/>
  <c r="L38" i="36"/>
  <c r="L29" i="36"/>
  <c r="AI29" i="36" s="1"/>
  <c r="L24" i="36"/>
  <c r="AI24" i="36" s="1"/>
  <c r="I19" i="36"/>
  <c r="N3" i="36"/>
  <c r="N4" i="36" s="1"/>
  <c r="N5" i="36" s="1"/>
  <c r="N6" i="36" s="1"/>
  <c r="N11" i="36" s="1"/>
  <c r="N15" i="36" s="1"/>
  <c r="N16" i="36" s="1"/>
  <c r="N17" i="36" s="1"/>
  <c r="N18" i="36" s="1"/>
  <c r="N19" i="36" s="1"/>
  <c r="N20" i="36" s="1"/>
  <c r="N21" i="36" s="1"/>
  <c r="M3" i="36"/>
  <c r="N5" i="31"/>
  <c r="N6" i="31"/>
  <c r="N7" i="31"/>
  <c r="N8" i="31"/>
  <c r="N9" i="31"/>
  <c r="N10" i="31"/>
  <c r="N11" i="31"/>
  <c r="N12" i="31"/>
  <c r="N13" i="31"/>
  <c r="N14" i="31"/>
  <c r="N15" i="31"/>
  <c r="N16" i="31"/>
  <c r="N17" i="31"/>
  <c r="N18" i="31"/>
  <c r="N19" i="31"/>
  <c r="N20" i="31"/>
  <c r="N21" i="31"/>
  <c r="N22" i="31"/>
  <c r="N23" i="31"/>
  <c r="N24" i="31"/>
  <c r="N25" i="31"/>
  <c r="N26" i="31"/>
  <c r="N27" i="31"/>
  <c r="N28" i="31"/>
  <c r="N29" i="31"/>
  <c r="N30" i="31"/>
  <c r="N31" i="31"/>
  <c r="N32" i="31"/>
  <c r="N33" i="31"/>
  <c r="N34" i="31"/>
  <c r="N35" i="31"/>
  <c r="N36" i="31"/>
  <c r="N37" i="31"/>
  <c r="N38" i="31"/>
  <c r="N39" i="31"/>
  <c r="N40" i="31"/>
  <c r="N41" i="31"/>
  <c r="N42" i="31"/>
  <c r="N43" i="31"/>
  <c r="N44" i="31"/>
  <c r="N45" i="31"/>
  <c r="N46" i="31"/>
  <c r="N47" i="31"/>
  <c r="N48" i="31"/>
  <c r="N49" i="31"/>
  <c r="N50" i="31"/>
  <c r="N51" i="31"/>
  <c r="N52" i="31"/>
  <c r="N53" i="31"/>
  <c r="N54" i="31"/>
  <c r="N55" i="31"/>
  <c r="N56" i="31"/>
  <c r="N57" i="31"/>
  <c r="N58" i="31"/>
  <c r="N59" i="31"/>
  <c r="N60" i="31"/>
  <c r="N61" i="31"/>
  <c r="N62" i="31"/>
  <c r="N63" i="31"/>
  <c r="N64" i="31"/>
  <c r="N65" i="31"/>
  <c r="N66" i="31"/>
  <c r="N67" i="31"/>
  <c r="N68" i="31"/>
  <c r="N69" i="31"/>
  <c r="N70" i="31"/>
  <c r="N71" i="31"/>
  <c r="N72" i="31"/>
  <c r="N73" i="31"/>
  <c r="N74" i="31"/>
  <c r="N75" i="31"/>
  <c r="N76" i="31"/>
  <c r="N77" i="31"/>
  <c r="N78" i="31"/>
  <c r="N79" i="31"/>
  <c r="N80" i="31"/>
  <c r="N81" i="31"/>
  <c r="N82" i="31"/>
  <c r="N83" i="31"/>
  <c r="N84" i="31"/>
  <c r="N85" i="31"/>
  <c r="N86" i="31"/>
  <c r="N87" i="31"/>
  <c r="N88" i="31"/>
  <c r="N89" i="31"/>
  <c r="N90" i="31"/>
  <c r="N91" i="31"/>
  <c r="N92" i="31"/>
  <c r="N93" i="31"/>
  <c r="N94" i="31"/>
  <c r="N95" i="31"/>
  <c r="N96" i="31"/>
  <c r="N97" i="31"/>
  <c r="N98" i="31"/>
  <c r="N99" i="31"/>
  <c r="N100" i="31"/>
  <c r="N101" i="31"/>
  <c r="N102" i="31"/>
  <c r="N103" i="31"/>
  <c r="N104" i="31"/>
  <c r="N105" i="31"/>
  <c r="N106" i="31"/>
  <c r="N107" i="31"/>
  <c r="N108" i="31"/>
  <c r="N109" i="31"/>
  <c r="N110" i="31"/>
  <c r="N111" i="31"/>
  <c r="N112" i="31"/>
  <c r="N113" i="31"/>
  <c r="N114" i="31"/>
  <c r="N115" i="31"/>
  <c r="N116" i="31"/>
  <c r="N117" i="31"/>
  <c r="N118" i="31"/>
  <c r="N119" i="31"/>
  <c r="N120" i="31"/>
  <c r="N121" i="31"/>
  <c r="N122" i="31"/>
  <c r="N123" i="31"/>
  <c r="N124" i="31"/>
  <c r="N125" i="31"/>
  <c r="N126" i="31"/>
  <c r="N127" i="31"/>
  <c r="N128" i="31"/>
  <c r="N129" i="31"/>
  <c r="N130" i="31"/>
  <c r="N131" i="31"/>
  <c r="N132" i="31"/>
  <c r="N133" i="31"/>
  <c r="N134" i="31"/>
  <c r="N135" i="31"/>
  <c r="N136" i="31"/>
  <c r="N137" i="31"/>
  <c r="N138" i="31"/>
  <c r="N139" i="31"/>
  <c r="N140" i="31"/>
  <c r="N141" i="31"/>
  <c r="N142" i="31"/>
  <c r="N143" i="31"/>
  <c r="N144" i="31"/>
  <c r="N145" i="31"/>
  <c r="N146" i="31"/>
  <c r="N147" i="31"/>
  <c r="N148" i="31"/>
  <c r="N149" i="31"/>
  <c r="N150" i="31"/>
  <c r="N151" i="31"/>
  <c r="N152" i="31"/>
  <c r="N153" i="31"/>
  <c r="N154" i="31"/>
  <c r="N155" i="31"/>
  <c r="N156" i="31"/>
  <c r="N157" i="31"/>
  <c r="N158" i="31"/>
  <c r="N159" i="31"/>
  <c r="N160" i="31"/>
  <c r="N161" i="31"/>
  <c r="N162" i="31"/>
  <c r="N163" i="31"/>
  <c r="N164" i="31"/>
  <c r="N165" i="31"/>
  <c r="N166" i="31"/>
  <c r="N167" i="31"/>
  <c r="N168" i="31"/>
  <c r="N169" i="31"/>
  <c r="N170" i="31"/>
  <c r="N171" i="31"/>
  <c r="N172" i="31"/>
  <c r="N173" i="31"/>
  <c r="N174" i="31"/>
  <c r="N175" i="31"/>
  <c r="N176" i="31"/>
  <c r="N177" i="31"/>
  <c r="N178" i="31"/>
  <c r="N179" i="31"/>
  <c r="N180" i="31"/>
  <c r="N181" i="31"/>
  <c r="N182" i="31"/>
  <c r="N183" i="31"/>
  <c r="N184" i="31"/>
  <c r="N185" i="31"/>
  <c r="N186" i="31"/>
  <c r="N187" i="31"/>
  <c r="N188" i="31"/>
  <c r="N189" i="31"/>
  <c r="N190" i="31"/>
  <c r="N191" i="31"/>
  <c r="N192" i="31"/>
  <c r="N193" i="31"/>
  <c r="N194" i="31"/>
  <c r="N195" i="31"/>
  <c r="N196" i="31"/>
  <c r="N197" i="31"/>
  <c r="N198" i="31"/>
  <c r="N199" i="31"/>
  <c r="N200" i="31"/>
  <c r="N201" i="31"/>
  <c r="N202" i="31"/>
  <c r="N203" i="31"/>
  <c r="N204" i="31"/>
  <c r="N205" i="31"/>
  <c r="N206" i="31"/>
  <c r="N207" i="31"/>
  <c r="N208" i="31"/>
  <c r="N209" i="31"/>
  <c r="N210" i="31"/>
  <c r="N211" i="31"/>
  <c r="N212" i="31"/>
  <c r="N213" i="31"/>
  <c r="N214" i="31"/>
  <c r="N215" i="31"/>
  <c r="N216" i="31"/>
  <c r="N217" i="31"/>
  <c r="N218" i="31"/>
  <c r="N219" i="31"/>
  <c r="N220" i="31"/>
  <c r="N221" i="31"/>
  <c r="N222" i="31"/>
  <c r="N223" i="31"/>
  <c r="N224" i="31"/>
  <c r="N225" i="31"/>
  <c r="N226" i="31"/>
  <c r="N227" i="31"/>
  <c r="N228" i="31"/>
  <c r="N229" i="31"/>
  <c r="N230" i="31"/>
  <c r="N231" i="31"/>
  <c r="N232" i="31"/>
  <c r="N233" i="31"/>
  <c r="N234" i="31"/>
  <c r="N235" i="31"/>
  <c r="N236" i="31"/>
  <c r="N237" i="31"/>
  <c r="N238" i="31"/>
  <c r="N239" i="31"/>
  <c r="N240" i="31"/>
  <c r="N241" i="31"/>
  <c r="N242" i="31"/>
  <c r="N243" i="31"/>
  <c r="N244" i="31"/>
  <c r="N245" i="31"/>
  <c r="N246" i="31"/>
  <c r="N247" i="31"/>
  <c r="N248" i="31"/>
  <c r="N249" i="31"/>
  <c r="N4" i="31"/>
  <c r="M3" i="31"/>
  <c r="M248" i="31" s="1"/>
  <c r="B5" i="29"/>
  <c r="B9" i="29" s="1"/>
  <c r="AK8" i="36" l="1"/>
  <c r="AJ31" i="36"/>
  <c r="AJ27" i="36"/>
  <c r="AM10" i="36"/>
  <c r="AL31" i="36"/>
  <c r="AM23" i="36"/>
  <c r="AL23" i="36"/>
  <c r="AL5" i="36"/>
  <c r="AJ5" i="36"/>
  <c r="AJ23" i="36"/>
  <c r="AJ2" i="36"/>
  <c r="AM22" i="36"/>
  <c r="AJ20" i="36"/>
  <c r="AJ44" i="36"/>
  <c r="AL14" i="36"/>
  <c r="AK28" i="36"/>
  <c r="AL43" i="36"/>
  <c r="AJ28" i="36"/>
  <c r="AK14" i="36"/>
  <c r="AK43" i="36"/>
  <c r="AM27" i="36"/>
  <c r="AM30" i="36"/>
  <c r="AL12" i="36"/>
  <c r="AJ43" i="36"/>
  <c r="AL27" i="36"/>
  <c r="AL4" i="36"/>
  <c r="AM31" i="36"/>
  <c r="AK40" i="36"/>
  <c r="AM43" i="36"/>
  <c r="AJ17" i="36"/>
  <c r="AM42" i="36"/>
  <c r="AK27" i="36"/>
  <c r="AM5" i="36"/>
  <c r="AM35" i="36"/>
  <c r="AJ3" i="36"/>
  <c r="AM18" i="36"/>
  <c r="AJ9" i="36"/>
  <c r="AJ16" i="36"/>
  <c r="AM14" i="36"/>
  <c r="AJ18" i="36"/>
  <c r="AK15" i="36"/>
  <c r="AJ8" i="36"/>
  <c r="AL42" i="36"/>
  <c r="AJ32" i="36"/>
  <c r="AJ38" i="36"/>
  <c r="AM44" i="36"/>
  <c r="AK44" i="36"/>
  <c r="AJ10" i="36"/>
  <c r="AL30" i="36"/>
  <c r="AK30" i="36"/>
  <c r="AJ11" i="36"/>
  <c r="AK36" i="36"/>
  <c r="AM39" i="36"/>
  <c r="CE29" i="36"/>
  <c r="AJ40" i="36"/>
  <c r="AJ24" i="36"/>
  <c r="AL34" i="36"/>
  <c r="AK42" i="36"/>
  <c r="AK38" i="36"/>
  <c r="AK34" i="36"/>
  <c r="AK26" i="36"/>
  <c r="AK22" i="36"/>
  <c r="AK18" i="36"/>
  <c r="AK10" i="36"/>
  <c r="AK4" i="36"/>
  <c r="AM11" i="36"/>
  <c r="AK35" i="36"/>
  <c r="AK11" i="36"/>
  <c r="AJ35" i="36"/>
  <c r="AM34" i="36"/>
  <c r="AM4" i="36"/>
  <c r="AL38" i="36"/>
  <c r="AL26" i="36"/>
  <c r="AL18" i="36"/>
  <c r="AL10" i="36"/>
  <c r="AJ42" i="36"/>
  <c r="AJ30" i="36"/>
  <c r="AJ26" i="36"/>
  <c r="AJ22" i="36"/>
  <c r="AJ14" i="36"/>
  <c r="AJ4" i="36"/>
  <c r="AL39" i="36"/>
  <c r="AL15" i="36"/>
  <c r="AK5" i="36"/>
  <c r="AJ15" i="36"/>
  <c r="AM26" i="36"/>
  <c r="AL22" i="36"/>
  <c r="CC29" i="36"/>
  <c r="AM41" i="36"/>
  <c r="AM37" i="36"/>
  <c r="AM33" i="36"/>
  <c r="AM29" i="36"/>
  <c r="AM25" i="36"/>
  <c r="AM21" i="36"/>
  <c r="AM17" i="36"/>
  <c r="AM9" i="36"/>
  <c r="AM3" i="36"/>
  <c r="AM2" i="36"/>
  <c r="AL41" i="36"/>
  <c r="AL37" i="36"/>
  <c r="AL33" i="36"/>
  <c r="AL29" i="36"/>
  <c r="AL25" i="36"/>
  <c r="AL21" i="36"/>
  <c r="AL17" i="36"/>
  <c r="AL13" i="36"/>
  <c r="AL9" i="36"/>
  <c r="AL3" i="36"/>
  <c r="AL11" i="36"/>
  <c r="AK39" i="36"/>
  <c r="AJ39" i="36"/>
  <c r="CB29" i="36"/>
  <c r="AL2" i="36"/>
  <c r="AK41" i="36"/>
  <c r="AK37" i="36"/>
  <c r="AK33" i="36"/>
  <c r="AK29" i="36"/>
  <c r="AK25" i="36"/>
  <c r="AK21" i="36"/>
  <c r="AK17" i="36"/>
  <c r="AK9" i="36"/>
  <c r="AK3" i="36"/>
  <c r="AK2" i="36"/>
  <c r="AJ41" i="36"/>
  <c r="AJ37" i="36"/>
  <c r="AJ33" i="36"/>
  <c r="AJ29" i="36"/>
  <c r="AJ25" i="36"/>
  <c r="AJ21" i="36"/>
  <c r="AM15" i="36"/>
  <c r="AM40" i="36"/>
  <c r="AM36" i="36"/>
  <c r="AM32" i="36"/>
  <c r="AM28" i="36"/>
  <c r="AM24" i="36"/>
  <c r="AM20" i="36"/>
  <c r="AM16" i="36"/>
  <c r="AM12" i="36"/>
  <c r="AM8" i="36"/>
  <c r="AL40" i="36"/>
  <c r="AL36" i="36"/>
  <c r="AL32" i="36"/>
  <c r="AL28" i="36"/>
  <c r="AL24" i="36"/>
  <c r="AL20" i="36"/>
  <c r="AL16" i="36"/>
  <c r="AL8" i="36"/>
  <c r="AI12" i="36"/>
  <c r="AK24" i="36"/>
  <c r="AK20" i="36"/>
  <c r="AK16" i="36"/>
  <c r="AK12" i="36"/>
  <c r="AL6" i="36"/>
  <c r="AK6" i="36"/>
  <c r="AJ6" i="36"/>
  <c r="AM6" i="36"/>
  <c r="AK7" i="36"/>
  <c r="AJ7" i="36"/>
  <c r="AM7" i="36"/>
  <c r="CD29" i="36"/>
  <c r="AI34" i="36"/>
  <c r="AI27" i="36"/>
  <c r="AI31" i="36"/>
  <c r="AI2" i="36"/>
  <c r="AI17" i="36"/>
  <c r="AI4" i="36"/>
  <c r="AI38" i="36"/>
  <c r="AI35" i="36"/>
  <c r="AI39" i="36"/>
  <c r="AI9" i="36"/>
  <c r="AI5" i="36"/>
  <c r="AI8" i="36"/>
  <c r="AI10" i="36"/>
  <c r="AI18" i="36"/>
  <c r="AI40" i="36"/>
  <c r="AI36" i="36"/>
  <c r="AI32" i="36"/>
  <c r="AI15" i="36"/>
  <c r="AI11" i="36"/>
  <c r="AI7" i="36"/>
  <c r="AI3" i="36"/>
  <c r="AI28" i="36"/>
  <c r="N22" i="36"/>
  <c r="N24" i="36" s="1"/>
  <c r="N25" i="36" s="1"/>
  <c r="N27" i="36" s="1"/>
  <c r="N28" i="36" s="1"/>
  <c r="N29" i="36" s="1"/>
  <c r="N31" i="36" s="1"/>
  <c r="N32" i="36" s="1"/>
  <c r="N33" i="36" s="1"/>
  <c r="N34" i="36" s="1"/>
  <c r="N35" i="36" s="1"/>
  <c r="N36" i="36" s="1"/>
  <c r="N37" i="36" s="1"/>
  <c r="N38" i="36" s="1"/>
  <c r="N39" i="36" s="1"/>
  <c r="N40" i="36" s="1"/>
  <c r="N41" i="36" s="1"/>
  <c r="N42" i="36" s="1"/>
  <c r="AI23" i="36"/>
  <c r="O3" i="36"/>
  <c r="N7" i="36"/>
  <c r="M4" i="36"/>
  <c r="O4" i="36" s="1"/>
  <c r="L19" i="36"/>
  <c r="M163" i="31"/>
  <c r="M164" i="31"/>
  <c r="M215" i="31"/>
  <c r="M190" i="31"/>
  <c r="M191" i="31"/>
  <c r="M240" i="31"/>
  <c r="M249" i="31"/>
  <c r="M216" i="31"/>
  <c r="B13" i="21"/>
  <c r="B18" i="21" s="1"/>
  <c r="B15" i="21"/>
  <c r="B10" i="21"/>
  <c r="AM19" i="36" l="1"/>
  <c r="AJ19" i="36"/>
  <c r="AK19" i="36"/>
  <c r="AL19" i="36"/>
  <c r="AI19" i="36"/>
  <c r="N8" i="36"/>
  <c r="N9" i="36" s="1"/>
  <c r="N10" i="36" s="1"/>
  <c r="N12" i="36"/>
  <c r="M5" i="36"/>
  <c r="O5" i="36" s="1"/>
  <c r="D31" i="25"/>
  <c r="H13" i="25" s="1"/>
  <c r="C13" i="25"/>
  <c r="D9" i="25"/>
  <c r="D10" i="25"/>
  <c r="G10" i="25"/>
  <c r="E11" i="25"/>
  <c r="C11" i="25"/>
  <c r="F7" i="25"/>
  <c r="G7" i="25"/>
  <c r="H7" i="25"/>
  <c r="C7" i="25"/>
  <c r="E6" i="25"/>
  <c r="F6" i="25"/>
  <c r="C6" i="25"/>
  <c r="H4" i="25"/>
  <c r="D4" i="25"/>
  <c r="C4" i="25"/>
  <c r="H3" i="25"/>
  <c r="G3" i="25"/>
  <c r="G4" i="25" s="1"/>
  <c r="F3" i="25"/>
  <c r="F4" i="25" s="1"/>
  <c r="E3" i="25"/>
  <c r="E4" i="25" s="1"/>
  <c r="D3" i="25"/>
  <c r="G15" i="24"/>
  <c r="H4" i="24"/>
  <c r="G4" i="24"/>
  <c r="F4" i="24"/>
  <c r="E4" i="24"/>
  <c r="D4" i="24"/>
  <c r="C4" i="24"/>
  <c r="H3" i="24"/>
  <c r="G3" i="24"/>
  <c r="F3" i="24"/>
  <c r="E3" i="24"/>
  <c r="D3" i="24"/>
  <c r="E24" i="23"/>
  <c r="F24" i="23" s="1"/>
  <c r="G24" i="23" s="1"/>
  <c r="H24" i="23" s="1"/>
  <c r="I24" i="23" s="1"/>
  <c r="I20" i="23"/>
  <c r="T3" i="23" s="1"/>
  <c r="H20" i="23"/>
  <c r="G20" i="23"/>
  <c r="F20" i="23"/>
  <c r="E20" i="23"/>
  <c r="D20" i="23"/>
  <c r="I18" i="23"/>
  <c r="H18" i="23"/>
  <c r="G18" i="23"/>
  <c r="G26" i="23" s="1"/>
  <c r="F18" i="23"/>
  <c r="E18" i="23"/>
  <c r="E26" i="23" s="1"/>
  <c r="B6" i="41" s="1"/>
  <c r="E6" i="41" s="1"/>
  <c r="B5" i="41"/>
  <c r="T2" i="23" l="1"/>
  <c r="I26" i="23"/>
  <c r="E5" i="41"/>
  <c r="M6" i="36"/>
  <c r="F26" i="23"/>
  <c r="H26" i="23"/>
  <c r="E7" i="25"/>
  <c r="G13" i="25"/>
  <c r="D7" i="25"/>
  <c r="F13" i="25"/>
  <c r="C15" i="25"/>
  <c r="C10" i="25"/>
  <c r="C14" i="25"/>
  <c r="C9" i="25"/>
  <c r="H15" i="25"/>
  <c r="H11" i="25"/>
  <c r="G15" i="25"/>
  <c r="G11" i="25"/>
  <c r="F15" i="25"/>
  <c r="F11" i="25"/>
  <c r="D15" i="25"/>
  <c r="G14" i="25"/>
  <c r="D11" i="25"/>
  <c r="E14" i="25"/>
  <c r="F10" i="25"/>
  <c r="G6" i="25"/>
  <c r="E10" i="25"/>
  <c r="H9" i="25"/>
  <c r="D6" i="25"/>
  <c r="G9" i="25"/>
  <c r="F9" i="25"/>
  <c r="E9" i="25"/>
  <c r="E13" i="25"/>
  <c r="H6" i="25"/>
  <c r="H10" i="25"/>
  <c r="D13" i="25"/>
  <c r="E15" i="25"/>
  <c r="H14" i="25"/>
  <c r="F14" i="25"/>
  <c r="D14" i="25"/>
  <c r="E39" i="1"/>
  <c r="F39" i="1"/>
  <c r="I39" i="1" s="1"/>
  <c r="I35" i="1"/>
  <c r="I36" i="1"/>
  <c r="I37" i="1"/>
  <c r="I38" i="1"/>
  <c r="I59" i="1"/>
  <c r="I42" i="1"/>
  <c r="I43" i="1"/>
  <c r="I31" i="1"/>
  <c r="I32" i="1"/>
  <c r="I40" i="1"/>
  <c r="I41" i="1"/>
  <c r="I46" i="1"/>
  <c r="I47" i="1"/>
  <c r="I48" i="1"/>
  <c r="I49" i="1"/>
  <c r="I3" i="1"/>
  <c r="I4" i="1"/>
  <c r="I5" i="1"/>
  <c r="I6" i="1"/>
  <c r="I7" i="1"/>
  <c r="I8" i="1"/>
  <c r="I9" i="1"/>
  <c r="I50" i="1"/>
  <c r="I52" i="1"/>
  <c r="I57" i="1"/>
  <c r="I60" i="1"/>
  <c r="I61" i="1"/>
  <c r="I2" i="1"/>
  <c r="B4" i="21"/>
  <c r="C13" i="15"/>
  <c r="C6" i="15"/>
  <c r="D6" i="15"/>
  <c r="E6" i="15"/>
  <c r="F6" i="15"/>
  <c r="G6" i="15"/>
  <c r="H6" i="15"/>
  <c r="C7" i="15"/>
  <c r="D7" i="15"/>
  <c r="E7" i="15"/>
  <c r="F7" i="15"/>
  <c r="G7" i="15"/>
  <c r="H7" i="15"/>
  <c r="C8" i="15"/>
  <c r="D8" i="15"/>
  <c r="E8" i="15"/>
  <c r="F8" i="15"/>
  <c r="G8" i="15"/>
  <c r="H8" i="15"/>
  <c r="C9" i="15"/>
  <c r="D9" i="15"/>
  <c r="E9" i="15"/>
  <c r="F9" i="15"/>
  <c r="G9" i="15"/>
  <c r="H9" i="15"/>
  <c r="C10" i="15"/>
  <c r="D10" i="15"/>
  <c r="E10" i="15"/>
  <c r="F10" i="15"/>
  <c r="G10" i="15"/>
  <c r="H10" i="15"/>
  <c r="C11" i="15"/>
  <c r="D11" i="15"/>
  <c r="E11" i="15"/>
  <c r="F11" i="15"/>
  <c r="G11" i="15"/>
  <c r="H11" i="15"/>
  <c r="D13" i="15"/>
  <c r="E13" i="15"/>
  <c r="F13" i="15"/>
  <c r="G13" i="15"/>
  <c r="H13" i="15"/>
  <c r="D14" i="15"/>
  <c r="E14" i="15"/>
  <c r="F14" i="15"/>
  <c r="G14" i="15"/>
  <c r="H14" i="15"/>
  <c r="D15" i="15"/>
  <c r="E15" i="15"/>
  <c r="F15" i="15"/>
  <c r="G15" i="15"/>
  <c r="H15" i="15"/>
  <c r="C15" i="15"/>
  <c r="C14" i="15"/>
  <c r="D13" i="20"/>
  <c r="E13" i="20"/>
  <c r="F13" i="20"/>
  <c r="C13" i="20"/>
  <c r="D13" i="16"/>
  <c r="E13" i="16"/>
  <c r="F13" i="16"/>
  <c r="C13" i="16"/>
  <c r="G15" i="20"/>
  <c r="C4" i="20"/>
  <c r="H3" i="20"/>
  <c r="H4" i="20" s="1"/>
  <c r="G3" i="20"/>
  <c r="G4" i="20" s="1"/>
  <c r="F3" i="20"/>
  <c r="F4" i="20" s="1"/>
  <c r="E3" i="20"/>
  <c r="E4" i="20" s="1"/>
  <c r="D3" i="20"/>
  <c r="D4" i="20" s="1"/>
  <c r="G15" i="19"/>
  <c r="H4" i="19"/>
  <c r="C4" i="19"/>
  <c r="H3" i="19"/>
  <c r="G3" i="19"/>
  <c r="G4" i="19" s="1"/>
  <c r="F3" i="19"/>
  <c r="F4" i="19" s="1"/>
  <c r="E3" i="19"/>
  <c r="E4" i="19" s="1"/>
  <c r="D3" i="19"/>
  <c r="D4" i="19" s="1"/>
  <c r="G15" i="17"/>
  <c r="H4" i="17"/>
  <c r="G4" i="17"/>
  <c r="F4" i="17"/>
  <c r="D4" i="17"/>
  <c r="C4" i="17"/>
  <c r="H3" i="17"/>
  <c r="G3" i="17"/>
  <c r="F3" i="17"/>
  <c r="E3" i="17"/>
  <c r="E4" i="17" s="1"/>
  <c r="D3" i="17"/>
  <c r="C14" i="5"/>
  <c r="G15" i="16"/>
  <c r="G4" i="16"/>
  <c r="F4" i="16"/>
  <c r="E4" i="16"/>
  <c r="D4" i="16"/>
  <c r="C4" i="16"/>
  <c r="H3" i="16"/>
  <c r="H4" i="16" s="1"/>
  <c r="G3" i="16"/>
  <c r="F3" i="16"/>
  <c r="E3" i="16"/>
  <c r="D3" i="16"/>
  <c r="D4" i="15"/>
  <c r="C4" i="15"/>
  <c r="H3" i="15"/>
  <c r="H4" i="15" s="1"/>
  <c r="G3" i="15"/>
  <c r="G4" i="15" s="1"/>
  <c r="F3" i="15"/>
  <c r="F4" i="15" s="1"/>
  <c r="E3" i="15"/>
  <c r="E4" i="15" s="1"/>
  <c r="D3" i="15"/>
  <c r="G15" i="13"/>
  <c r="F15" i="13"/>
  <c r="E15" i="13"/>
  <c r="D15" i="13"/>
  <c r="C15" i="13"/>
  <c r="F14" i="13"/>
  <c r="E14" i="13"/>
  <c r="D14" i="13"/>
  <c r="C14" i="13"/>
  <c r="F11" i="13"/>
  <c r="E11" i="13"/>
  <c r="D11" i="13"/>
  <c r="C11" i="13"/>
  <c r="G4" i="13"/>
  <c r="D4" i="13"/>
  <c r="C4" i="13"/>
  <c r="H3" i="13"/>
  <c r="H4" i="13" s="1"/>
  <c r="G3" i="13"/>
  <c r="F3" i="13"/>
  <c r="F4" i="13" s="1"/>
  <c r="E3" i="13"/>
  <c r="E4" i="13" s="1"/>
  <c r="D3" i="13"/>
  <c r="G15" i="12"/>
  <c r="F15" i="12"/>
  <c r="E15" i="12"/>
  <c r="D15" i="12"/>
  <c r="C15" i="12"/>
  <c r="F14" i="12"/>
  <c r="E14" i="12"/>
  <c r="D14" i="12"/>
  <c r="C14" i="12"/>
  <c r="F11" i="12"/>
  <c r="E11" i="12"/>
  <c r="D11" i="12"/>
  <c r="C11" i="12"/>
  <c r="H4" i="12"/>
  <c r="G4" i="12"/>
  <c r="F4" i="12"/>
  <c r="E4" i="12"/>
  <c r="D4" i="12"/>
  <c r="C4" i="12"/>
  <c r="H3" i="12"/>
  <c r="G3" i="12"/>
  <c r="F3" i="12"/>
  <c r="E3" i="12"/>
  <c r="D3" i="12"/>
  <c r="D11" i="10"/>
  <c r="E11" i="10"/>
  <c r="F11" i="10"/>
  <c r="C11" i="10"/>
  <c r="F3" i="10"/>
  <c r="E3" i="10"/>
  <c r="E4" i="10" s="1"/>
  <c r="D3" i="10"/>
  <c r="G15" i="10"/>
  <c r="F15" i="10"/>
  <c r="E15" i="10"/>
  <c r="D15" i="10"/>
  <c r="C15" i="10"/>
  <c r="F14" i="10"/>
  <c r="E14" i="10"/>
  <c r="D14" i="10"/>
  <c r="C14" i="10"/>
  <c r="C4" i="10"/>
  <c r="H3" i="10"/>
  <c r="H4" i="10" s="1"/>
  <c r="G3" i="10"/>
  <c r="G4" i="10" s="1"/>
  <c r="F4" i="10"/>
  <c r="D4" i="10"/>
  <c r="G15" i="8"/>
  <c r="F15" i="8"/>
  <c r="E15" i="8"/>
  <c r="D15" i="8"/>
  <c r="C15" i="8"/>
  <c r="F14" i="8"/>
  <c r="E14" i="8"/>
  <c r="D14" i="8"/>
  <c r="C14" i="8"/>
  <c r="D4" i="8"/>
  <c r="C4" i="8"/>
  <c r="H3" i="8"/>
  <c r="H4" i="8" s="1"/>
  <c r="G3" i="8"/>
  <c r="G4" i="8" s="1"/>
  <c r="F3" i="8"/>
  <c r="F4" i="8" s="1"/>
  <c r="E3" i="8"/>
  <c r="E4" i="8" s="1"/>
  <c r="D3" i="8"/>
  <c r="F3" i="5"/>
  <c r="E3" i="5"/>
  <c r="E4" i="5" s="1"/>
  <c r="D3" i="5"/>
  <c r="F15" i="6"/>
  <c r="E15" i="6"/>
  <c r="D15" i="6"/>
  <c r="D15" i="7" s="1"/>
  <c r="C15" i="6"/>
  <c r="C15" i="7" s="1"/>
  <c r="F14" i="6"/>
  <c r="F14" i="7" s="1"/>
  <c r="E14" i="6"/>
  <c r="D14" i="6"/>
  <c r="C14" i="6"/>
  <c r="E15" i="7"/>
  <c r="F15" i="7"/>
  <c r="D14" i="7"/>
  <c r="E14" i="7"/>
  <c r="C14" i="7"/>
  <c r="G15" i="7"/>
  <c r="H4" i="7"/>
  <c r="G4" i="7"/>
  <c r="F4" i="7"/>
  <c r="C4" i="7"/>
  <c r="H3" i="7"/>
  <c r="G3" i="7"/>
  <c r="F3" i="7"/>
  <c r="E3" i="7"/>
  <c r="E4" i="7" s="1"/>
  <c r="D3" i="7"/>
  <c r="D4" i="7" s="1"/>
  <c r="F15" i="5"/>
  <c r="E15" i="5"/>
  <c r="D15" i="5"/>
  <c r="C15" i="5"/>
  <c r="F14" i="5"/>
  <c r="E14" i="5"/>
  <c r="D14" i="5"/>
  <c r="G15" i="6"/>
  <c r="C4" i="6"/>
  <c r="H3" i="6"/>
  <c r="H4" i="6" s="1"/>
  <c r="G3" i="6"/>
  <c r="G4" i="6" s="1"/>
  <c r="F3" i="6"/>
  <c r="F4" i="6" s="1"/>
  <c r="E3" i="6"/>
  <c r="E4" i="6" s="1"/>
  <c r="D3" i="6"/>
  <c r="D4" i="6" s="1"/>
  <c r="G15" i="5"/>
  <c r="D4" i="5"/>
  <c r="C4" i="5"/>
  <c r="H3" i="5"/>
  <c r="H4" i="5" s="1"/>
  <c r="G3" i="5"/>
  <c r="G4" i="5" s="1"/>
  <c r="F4" i="5"/>
  <c r="C13" i="4"/>
  <c r="D13" i="4"/>
  <c r="E13" i="4"/>
  <c r="H4" i="4"/>
  <c r="E14" i="4"/>
  <c r="D14" i="4"/>
  <c r="G15" i="4"/>
  <c r="F15" i="4"/>
  <c r="E15" i="4"/>
  <c r="D15" i="4"/>
  <c r="H3" i="4"/>
  <c r="E4" i="4"/>
  <c r="C4" i="4"/>
  <c r="G3" i="4"/>
  <c r="G4" i="4" s="1"/>
  <c r="F3" i="4"/>
  <c r="F4" i="4" s="1"/>
  <c r="E3" i="4"/>
  <c r="D3" i="4"/>
  <c r="D4" i="4" s="1"/>
  <c r="C15" i="4"/>
  <c r="C14" i="4"/>
  <c r="B7" i="41" l="1"/>
  <c r="O6" i="36"/>
  <c r="M7" i="36"/>
  <c r="M12" i="36" s="1"/>
  <c r="O12" i="36" s="1"/>
  <c r="M11" i="36"/>
  <c r="B2" i="41" l="1"/>
  <c r="E2" i="41" s="1"/>
  <c r="B8" i="41"/>
  <c r="E8" i="41" s="1"/>
  <c r="E7" i="41"/>
  <c r="B4" i="41"/>
  <c r="E4" i="41" s="1"/>
  <c r="B3" i="41"/>
  <c r="E3" i="41" s="1"/>
  <c r="O11" i="36"/>
  <c r="M15" i="36"/>
  <c r="M16" i="36" s="1"/>
  <c r="M17" i="36" s="1"/>
  <c r="M18" i="36" s="1"/>
  <c r="M19" i="36" s="1"/>
  <c r="M20" i="36" s="1"/>
  <c r="M21" i="36" s="1"/>
  <c r="M22" i="36" s="1"/>
  <c r="M8" i="36"/>
  <c r="O7" i="36"/>
  <c r="M24" i="36" l="1"/>
  <c r="M25" i="36" s="1"/>
  <c r="M23" i="36"/>
  <c r="O23" i="36" s="1"/>
  <c r="M41" i="36"/>
  <c r="M9" i="36"/>
  <c r="O8" i="36"/>
  <c r="M27" i="36" l="1"/>
  <c r="M28" i="36" s="1"/>
  <c r="M29" i="36" s="1"/>
  <c r="M31" i="36" s="1"/>
  <c r="M32" i="36" s="1"/>
  <c r="M33" i="36" s="1"/>
  <c r="M34" i="36" s="1"/>
  <c r="M35" i="36" s="1"/>
  <c r="M36" i="36" s="1"/>
  <c r="M37" i="36" s="1"/>
  <c r="M38" i="36" s="1"/>
  <c r="M39" i="36" s="1"/>
  <c r="M40" i="36" s="1"/>
  <c r="O40" i="36" s="1"/>
  <c r="M26" i="36"/>
  <c r="O26" i="36" s="1"/>
  <c r="M42" i="36"/>
  <c r="O42" i="36" s="1"/>
  <c r="O41" i="36"/>
  <c r="M10" i="36"/>
  <c r="O10" i="36" s="1"/>
  <c r="O9" i="36"/>
  <c r="O15" i="36"/>
  <c r="O20" i="36" l="1"/>
  <c r="O16" i="36"/>
  <c r="O21" i="36" l="1"/>
  <c r="O17" i="36"/>
  <c r="O27" i="36" l="1"/>
  <c r="O25" i="36"/>
  <c r="O18" i="36"/>
  <c r="O19" i="36" l="1"/>
  <c r="O22" i="36" l="1"/>
  <c r="O24" i="36" l="1"/>
  <c r="O28" i="36" l="1"/>
  <c r="O29" i="36" l="1"/>
  <c r="O31" i="36" l="1"/>
  <c r="O32" i="36" l="1"/>
  <c r="O33" i="36" l="1"/>
  <c r="O34" i="36"/>
  <c r="O35" i="36" l="1"/>
  <c r="O36" i="36" l="1"/>
  <c r="O37" i="36" l="1"/>
  <c r="O38" i="36" l="1"/>
  <c r="O39" i="3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tc={ABE6751A-93C2-4F42-B7B4-E187F2BD78E3}</author>
    <author>tc={7AE6FE91-1910-4539-8A3F-64C55F551BE1}</author>
    <author>tc={4BC01CB8-3429-438A-98E3-B0C92D154FB0}</author>
  </authors>
  <commentList>
    <comment ref="D7" authorId="0" shapeId="0" xr:uid="{ABE6751A-93C2-4F42-B7B4-E187F2BD78E3}">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7AE6FE91-1910-4539-8A3F-64C55F551BE1}">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4BC01CB8-3429-438A-98E3-B0C92D154FB0}">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tc={E951F313-F9E8-472E-841A-09D469AA8A55}</author>
    <author>tc={83A1A576-EAF0-4303-A5B9-CC1132AC9B81}</author>
    <author>tc={377E4E06-E3F2-4440-B4A4-A5D616B3BDCC}</author>
  </authors>
  <commentList>
    <comment ref="D7" authorId="0" shapeId="0" xr:uid="{E951F313-F9E8-472E-841A-09D469AA8A55}">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83A1A576-EAF0-4303-A5B9-CC1132AC9B81}">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377E4E06-E3F2-4440-B4A4-A5D616B3BDCC}">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tc={494CDA93-A028-4DCF-A816-85026D9314ED}</author>
    <author>tc={ABEAD0D2-EE37-4965-AB31-D52181930B83}</author>
    <author>tc={6050CEEC-02AF-4313-A4B4-AA06CFA5B262}</author>
  </authors>
  <commentList>
    <comment ref="D7" authorId="0" shapeId="0" xr:uid="{494CDA93-A028-4DCF-A816-85026D9314ED}">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ABEAD0D2-EE37-4965-AB31-D52181930B83}">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6050CEEC-02AF-4313-A4B4-AA06CFA5B262}">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tc={4B6C185B-E3A7-4BF5-9E22-83FE3076CF54}</author>
    <author>tc={8A80B0E0-B08E-4943-B3E3-5CD29F899D12}</author>
    <author>tc={A0C100D8-7139-4E5B-9646-4334EBF32781}</author>
  </authors>
  <commentList>
    <comment ref="D7" authorId="0" shapeId="0" xr:uid="{4B6C185B-E3A7-4BF5-9E22-83FE3076CF54}">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8A80B0E0-B08E-4943-B3E3-5CD29F899D12}">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A0C100D8-7139-4E5B-9646-4334EBF32781}">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tc={CE897289-66C7-4CED-ABD4-38D1EE8C15FE}</author>
    <author>tc={A32F0578-31A7-42F6-A5A9-5C4B9D0BF914}</author>
    <author>tc={5DEC1BA0-75B9-4E27-A418-E03F65C739FB}</author>
  </authors>
  <commentList>
    <comment ref="D7" authorId="0" shapeId="0" xr:uid="{CE897289-66C7-4CED-ABD4-38D1EE8C15FE}">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A32F0578-31A7-42F6-A5A9-5C4B9D0BF914}">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5DEC1BA0-75B9-4E27-A418-E03F65C739FB}">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tc={473601B9-8E77-4199-ABEF-7FF968C0DA03}</author>
    <author>tc={8F0DFFD9-38D9-46F0-9949-A765F141F282}</author>
    <author>tc={4A38E8F8-546F-426F-8138-37E48503C191}</author>
  </authors>
  <commentList>
    <comment ref="D7" authorId="0" shapeId="0" xr:uid="{473601B9-8E77-4199-ABEF-7FF968C0DA03}">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8F0DFFD9-38D9-46F0-9949-A765F141F282}">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4A38E8F8-546F-426F-8138-37E48503C191}">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tc={C506B76A-EDA3-405B-8ABA-DEE5F7B27189}</author>
    <author>tc={0D18CD59-4D1D-4A12-A086-345140C9ED65}</author>
    <author>tc={3F2BA238-6F9C-4DC3-A480-7398519960A2}</author>
  </authors>
  <commentList>
    <comment ref="D7" authorId="0" shapeId="0" xr:uid="{C506B76A-EDA3-405B-8ABA-DEE5F7B27189}">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0D18CD59-4D1D-4A12-A086-345140C9ED65}">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3F2BA238-6F9C-4DC3-A480-7398519960A2}">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tc={092AA122-A402-458A-A9D5-F2BAA5B8D623}</author>
    <author>tc={4FD559C2-7F66-4ADF-A5E6-24B2C6B761ED}</author>
    <author>tc={1D390C61-3604-42AF-8112-D975E8B88963}</author>
  </authors>
  <commentList>
    <comment ref="D7" authorId="0" shapeId="0" xr:uid="{092AA122-A402-458A-A9D5-F2BAA5B8D623}">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4FD559C2-7F66-4ADF-A5E6-24B2C6B761ED}">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1D390C61-3604-42AF-8112-D975E8B88963}">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tc={A02AA604-A982-4F74-AAF7-0752BE623349}</author>
    <author>tc={A5279243-7419-4208-9A3E-C49EB84BACC5}</author>
    <author>tc={E39FA402-CF73-4F82-A8A2-5DAFAF1DD19F}</author>
  </authors>
  <commentList>
    <comment ref="D7" authorId="0" shapeId="0" xr:uid="{A02AA604-A982-4F74-AAF7-0752BE623349}">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A5279243-7419-4208-9A3E-C49EB84BACC5}">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E39FA402-CF73-4F82-A8A2-5DAFAF1DD19F}">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tc={835A5A32-2C59-45CF-8C91-031B86D94308}</author>
    <author>tc={23B3BA38-B0C2-471D-A424-C5C3446BC263}</author>
    <author>tc={06A32607-22B5-4BA9-8098-1285E90B160C}</author>
  </authors>
  <commentList>
    <comment ref="D7" authorId="0" shapeId="0" xr:uid="{835A5A32-2C59-45CF-8C91-031B86D94308}">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23B3BA38-B0C2-471D-A424-C5C3446BC263}">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06A32607-22B5-4BA9-8098-1285E90B160C}">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tc={98BC9664-1E20-4954-A702-6C0D26DF7B2D}</author>
    <author>tc={DE5AC1FE-EAF3-4158-9722-28E590E88157}</author>
    <author>tc={7DCEBD68-6300-44E5-9041-F82A1F5BB96B}</author>
  </authors>
  <commentList>
    <comment ref="D7" authorId="0" shapeId="0" xr:uid="{98BC9664-1E20-4954-A702-6C0D26DF7B2D}">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DE5AC1FE-EAF3-4158-9722-28E590E88157}">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7DCEBD68-6300-44E5-9041-F82A1F5BB96B}">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tc={1627B6AE-CAFD-429A-830F-C628952C73B3}</author>
    <author>tc={7D85D5B2-0CA3-4204-AA88-53E002AFA498}</author>
    <author>tc={2DC42F51-A961-42A9-90FA-62F25846BAFC}</author>
  </authors>
  <commentList>
    <comment ref="D7" authorId="0" shapeId="0" xr:uid="{1627B6AE-CAFD-429A-830F-C628952C73B3}">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7D85D5B2-0CA3-4204-AA88-53E002AFA498}">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2DC42F51-A961-42A9-90FA-62F25846BAFC}">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tc={AFEA7CAD-A31F-47BD-9DF9-96DF646D673A}</author>
    <author>tc={AEA7E753-DA7C-401E-8A8F-C5233493178D}</author>
    <author>tc={96AA804E-7AE7-4A30-BC4E-1222BD062ABD}</author>
  </authors>
  <commentList>
    <comment ref="D7" authorId="0" shapeId="0" xr:uid="{AFEA7CAD-A31F-47BD-9DF9-96DF646D673A}">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AEA7E753-DA7C-401E-8A8F-C5233493178D}">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96AA804E-7AE7-4A30-BC4E-1222BD062ABD}">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tc={AED9E3C0-8316-403B-8159-F0060873E510}</author>
    <author>tc={E2D04080-8AD5-485B-B358-934D67793AE1}</author>
    <author>tc={2CB3D973-067A-4E98-B321-9071394DBF03}</author>
  </authors>
  <commentList>
    <comment ref="D7" authorId="0" shapeId="0" xr:uid="{AED9E3C0-8316-403B-8159-F0060873E510}">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E2D04080-8AD5-485B-B358-934D67793AE1}">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2CB3D973-067A-4E98-B321-9071394DBF03}">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tc={519B9E71-13D6-4746-8599-8933F2382577}</author>
    <author>tc={4FB0B56D-4706-4015-9654-6C91E33D088C}</author>
    <author>tc={595232E7-C706-481B-A4CB-104270B540E9}</author>
  </authors>
  <commentList>
    <comment ref="D7" authorId="0" shapeId="0" xr:uid="{519B9E71-13D6-4746-8599-8933F2382577}">
      <text>
        <t>[Threaded comment]
Your version of Excel allows you to read this threaded comment; however, any edits to it will get removed if the file is opened in a newer version of Excel. Learn more: https://go.microsoft.com/fwlink/?linkid=870924
Comment:
    When data are missing, I just report the average across all soil depths in the xml file</t>
      </text>
    </comment>
    <comment ref="A14" authorId="1" shapeId="0" xr:uid="{4FB0B56D-4706-4015-9654-6C91E33D088C}">
      <text>
        <t>[Threaded comment]
Your version of Excel allows you to read this threaded comment; however, any edits to it will get removed if the file is opened in a newer version of Excel. Learn more: https://go.microsoft.com/fwlink/?linkid=870924
Comment:
    Field capacity</t>
      </text>
    </comment>
    <comment ref="A15" authorId="2" shapeId="0" xr:uid="{595232E7-C706-481B-A4CB-104270B540E9}">
      <text>
        <t>[Threaded comment]
Your version of Excel allows you to read this threaded comment; however, any edits to it will get removed if the file is opened in a newer version of Excel. Learn more: https://go.microsoft.com/fwlink/?linkid=870924
Comment:
    Wilting point</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tc={7D7FDBB9-4543-4EE0-9289-BD8BBCC6013D}</author>
  </authors>
  <commentList>
    <comment ref="B2" authorId="0" shapeId="0" xr:uid="{7D7FDBB9-4543-4EE0-9289-BD8BBCC6013D}">
      <text>
        <t xml:space="preserve">[Threaded comment]
Your version of Excel allows you to read this threaded comment; however, any edits to it will get removed if the file is opened in a newer version of Excel. Learn more: https://go.microsoft.com/fwlink/?linkid=870924
Comment:
    Based on Kuyah et al regression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tc={E2468AD8-90A9-49D6-8513-81CF486BD611}</author>
    <author>tc={5964FA09-A649-4F88-B6C5-4BDC424FD560}</author>
    <author>tc={D3F2B07B-B25F-42EF-A296-692CA16FEE59}</author>
    <author>tc={84858AE7-6753-4CD6-B8E4-39A228461D84}</author>
    <author>tc={4903BC22-4736-4966-80EA-320E5C37B9EA}</author>
    <author>tc={84B7888B-4D90-4581-BDFB-49FFBBEAE77D}</author>
    <author>tc={96B86BC5-29D7-4632-91DE-49A82E4B1181}</author>
    <author>tc={CA79B39F-6543-468D-8DA8-08131BC165E7}</author>
    <author>tc={6F130128-BA48-40BE-8A73-5B4D323F4D87}</author>
    <author>tc={6EA3F31B-9882-4DB1-BA8E-28AE33EF2A27}</author>
    <author>tc={55E611E6-4348-438A-A38A-6182ACAA733E}</author>
    <author>tc={9C89B73E-52D5-4A49-A06A-164C1FE7B0ED}</author>
    <author>tc={876F0ABB-5749-469D-BC97-118A2AB32D1C}</author>
  </authors>
  <commentList>
    <comment ref="I19" authorId="0" shapeId="0" xr:uid="{E2468AD8-90A9-49D6-8513-81CF486BD611}">
      <text>
        <t>[Threaded comment]
Your version of Excel allows you to read this threaded comment; however, any edits to it will get removed if the file is opened in a newer version of Excel. Learn more: https://go.microsoft.com/fwlink/?linkid=870924
Comment:
    https://www.google.com/search?q=maintenance+coefficient+at+reference+temperature+bermuda+grass&amp;sxsrf=ANbL-n7s2jMjPqWnEd-1fBHXLlY2fBy6tw%3A1771652072136</t>
      </text>
    </comment>
    <comment ref="I20" authorId="1" shapeId="0" xr:uid="{5964FA09-A649-4F88-B6C5-4BDC424FD560}">
      <text>
        <t>[Threaded comment]
Your version of Excel allows you to read this threaded comment; however, any edits to it will get removed if the file is opened in a newer version of Excel. Learn more: https://go.microsoft.com/fwlink/?linkid=870924
Comment:
    https://www.google.com/search?q=Michaelis-Menten+constant+for+O2+at+25oC+%28mmol+mol-1+mbar-1%29.%0D%0Afor+bermuda+grass&amp;sxsrf=ANbL-n45Cn2KJppMNyBlzBx50X5B7uAWJQ%3A1771654527223</t>
      </text>
    </comment>
    <comment ref="B24" authorId="2" shapeId="0" xr:uid="{D3F2B07B-B25F-42EF-A296-692CA16FEE59}">
      <text>
        <t>[Threaded comment]
Your version of Excel allows you to read this threaded comment; however, any edits to it will get removed if the file is opened in a newer version of Excel. Learn more: https://go.microsoft.com/fwlink/?linkid=870924
Comment:
    Problematic as the literature value gives unsensible results</t>
      </text>
    </comment>
    <comment ref="I24" authorId="3" shapeId="0" xr:uid="{84858AE7-6753-4CD6-B8E4-39A228461D84}">
      <text>
        <t>[Threaded comment]
Your version of Excel allows you to read this threaded comment; however, any edits to it will get removed if the file is opened in a newer version of Excel. Learn more: https://go.microsoft.com/fwlink/?linkid=870924
Comment:
    https://www.google.com/search?q=Foliage+biomass+under+optimal%2C+closed+canopy+condition+%28kg+m-2%29+for+bermuda+grass+semi+arid+savannah&amp;sxsrf=ANbL-n4P-lUw5UaGwRWOW_lmfpKWuSihTg%3A1771655017817</t>
      </text>
    </comment>
    <comment ref="I27" authorId="4" shapeId="0" xr:uid="{4903BC22-4736-4966-80EA-320E5C37B9EA}">
      <text>
        <t>[Threaded comment]
Your version of Excel allows you to read this threaded comment; however, any edits to it will get removed if the file is opened in a newer version of Excel. Learn more: https://go.microsoft.com/fwlink/?linkid=870924
Comment:
    https://www.google.com/search?q=ratio+between+fine+root-+and+foliage+in+percentage+terms+biomass+under+standard+conditions+bermuda+grass&amp;sxsrf=ANbL-n4f8jnKPTEGhjpFY7BBOYylfP3YEg%3A1771670922492</t>
      </text>
    </comment>
    <comment ref="I28" authorId="5" shapeId="0" xr:uid="{84B7888B-4D90-4581-BDFB-49FFBBEAE77D}">
      <text>
        <t>[Threaded comment]
Your version of Excel allows you to read this threaded comment; however, any edits to it will get removed if the file is opened in a newer version of Excel. Learn more: https://go.microsoft.com/fwlink/?linkid=870924
Comment:
    https://www.google.com/search?q=Relation+between+maximum+electron+transport+rate+and+RubP+saturated+rate%0D%0Aof+carboxylation+for+bermuda+grass+&amp;sxsrf=ANbL-n4Ex8B6jGn0-hnSPQOVWj-Rv4WPVw%3A1771670985483</t>
      </text>
    </comment>
    <comment ref="I29" authorId="6" shapeId="0" xr:uid="{96B86BC5-29D7-4632-91DE-49A82E4B1181}">
      <text>
        <t>[Threaded comment]
Your version of Excel allows you to read this threaded comment; however, any edits to it will get removed if the file is opened in a newer version of Excel. Learn more: https://go.microsoft.com/fwlink/?linkid=870924
Comment:
    https://www.google.com/search?q=Reference+temperature+for+respiration+bermuda+grass&amp;ie=UTF-8</t>
      </text>
    </comment>
    <comment ref="I33" authorId="7" shapeId="0" xr:uid="{CA79B39F-6543-468D-8DA8-08131BC165E7}">
      <text>
        <t>[Threaded comment]
Your version of Excel allows you to read this threaded comment; however, any edits to it will get removed if the file is opened in a newer version of Excel. Learn more: https://go.microsoft.com/fwlink/?linkid=870924
Comment:
    https://www.google.com/search?q=cynodon+dactylon+maximum+stomatal+conductivity+in+mmol+H2O+m%E2%88%922+s%E2%88%921&amp;sxsrf=ANbL-n5ed7N_QJnC_299N0n2uwCExbecpw%3A1771240279101
Reply:
    https://www.google.com/search?q=Maximum+rate+of+water+vapor+and+CO2+exchange+through+stomata+bermuda+grass&amp;ie=UTF-8</t>
      </text>
    </comment>
    <comment ref="I34" authorId="8" shapeId="0" xr:uid="{6F130128-BA48-40BE-8A73-5B4D323F4D87}">
      <text>
        <t>[Threaded comment]
Your version of Excel allows you to read this threaded comment; however, any edits to it will get removed if the file is opened in a newer version of Excel. Learn more: https://go.microsoft.com/fwlink/?linkid=870924
Comment:
    https://www.google.com/search?q=Minimum+rate+of+water+vapor+and+CO2+exchange+through+stomata+bermuda+grass&amp;sxsrf=ANbL-n71z0P6DaQGI5pkZBpQ31qrYTYQlQ%3A1771659499314</t>
      </text>
    </comment>
    <comment ref="I41" authorId="9" shapeId="0" xr:uid="{6EA3F31B-9882-4DB1-BA8E-28AE33EF2A27}">
      <text>
        <t>[Threaded comment]
Your version of Excel allows you to read this threaded comment; however, any edits to it will get removed if the file is opened in a newer version of Excel. Learn more: https://go.microsoft.com/fwlink/?linkid=870924
Comment:
    https://www.google.com/search?q=specific+leaf+area+index+bermuda+grass&amp;sxsrf=ANbL-n6MkdPPsPPeeF-yeY5kScYWh9RTLQ%3A1771650565412
Reply:
    https://www.google.com/search?q=specific+leaf+area+index+%28square+meters+per+kg%29+bermuda+grass+in+east+african+savannah&amp;sxsrf=ANbL-n5-QBBT1FNmyOptyH2EG8oVqyMoNw%3A1771650969427</t>
      </text>
    </comment>
    <comment ref="I44" authorId="10" shapeId="0" xr:uid="{55E611E6-4348-438A-A38A-6182ACAA733E}">
      <text>
        <t>[Threaded comment]
Your version of Excel allows you to read this threaded comment; however, any edits to it will get removed if the file is opened in a newer version of Excel. Learn more: https://go.microsoft.com/fwlink/?linkid=870924
Comment:
    Giolo et al
Reply:
    https://www.google.com/search?q=water+use+efficiency+of+bermuda+grass+in+mg+co2+per+kg+h2o&amp;sxsrf=ANbL-n6KK4-P05hkKdGjcL0TuiGFZCSSBw%3A1771239704831
Reply:
    https://www.google.com/search?q=instantaneous+water+use+efficiency+in+mg+CO2%2Fg+h2o+bermuda+grass&amp;sxsrf=ANbL-n79LnCIUHkkYuoDWc5WnrKESQHplg%3A1771650531181</t>
      </text>
    </comment>
    <comment ref="I61" authorId="11" shapeId="0" xr:uid="{9C89B73E-52D5-4A49-A06A-164C1FE7B0ED}">
      <text>
        <t>[Threaded comment]
Your version of Excel allows you to read this threaded comment; however, any edits to it will get removed if the file is opened in a newer version of Excel. Learn more: https://go.microsoft.com/fwlink/?linkid=870924
Comment:
    https://www.google.com/search?q=Time+interval+necessary+to+complete+growth+of+new+foliage+bermuda+grass&amp;sxsrf=ANbL-n67-Kz0tYN6wqzgEDjjA9zDVcqkwg%3A1771651801527</t>
      </text>
    </comment>
    <comment ref="I62" authorId="12" shapeId="0" xr:uid="{876F0ABB-5749-469D-BC97-118A2AB32D1C}">
      <text>
        <t>[Threaded comment]
Your version of Excel allows you to read this threaded comment; however, any edits to it will get removed if the file is opened in a newer version of Excel. Learn more: https://go.microsoft.com/fwlink/?linkid=870924
Comment:
    https://www.google.com/search?q=Time+interval+necessary+to+complete+litterfall+of+foliage+bermuda+grass+in+semi-arid+tropical+environments&amp;sxsrf=ANbL-n5tGbnxzfXgbqx-OKHHuSUJRxOm8A%3A1771652045188</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tc={4F7C7EEA-89F3-4E78-9E10-011BC5CE1B0B}</author>
    <author>tc={491C1081-06CD-48B9-867C-12B15A082997}</author>
    <author>tc={FA148C66-A326-4BB6-8FA2-5BFAC15D08D1}</author>
    <author>tc={3744B4DB-0347-4B29-A92D-FE3031B0B965}</author>
    <author>tc={C356C337-7AC2-4A22-A606-0EB55773CB60}</author>
    <author>tc={5B7F3A54-EB0E-4BE9-BDBE-A08C5DE52781}</author>
    <author>tc={4BB82DA2-4484-4A5D-B9EB-7C1F35CDCAFD}</author>
    <author>tc={2BB9CC03-0975-486F-9BE3-DC5F7A288A05}</author>
  </authors>
  <commentList>
    <comment ref="AC8" authorId="0" shapeId="0" xr:uid="{4F7C7EEA-89F3-4E78-9E10-011BC5CE1B0B}">
      <text>
        <t>[Threaded comment]
Your version of Excel allows you to read this threaded comment; however, any edits to it will get removed if the file is opened in a newer version of Excel. Learn more: https://go.microsoft.com/fwlink/?linkid=870924
Comment:
    Default to all C4 species</t>
      </text>
    </comment>
    <comment ref="K9" authorId="1" shapeId="0" xr:uid="{491C1081-06CD-48B9-867C-12B15A082997}">
      <text>
        <t xml:space="preserve">[Threaded comment]
Your version of Excel allows you to read this threaded comment; however, any edits to it will get removed if the file is opened in a newer version of Excel. Learn more: https://go.microsoft.com/fwlink/?linkid=870924
Comment:
    Decide which end of range to use
</t>
      </text>
    </comment>
    <comment ref="I19" authorId="2" shapeId="0" xr:uid="{FA148C66-A326-4BB6-8FA2-5BFAC15D08D1}">
      <text>
        <t xml:space="preserve">[Threaded comment]
Your version of Excel allows you to read this threaded comment; however, any edits to it will get removed if the file is opened in a newer version of Excel. Learn more: https://go.microsoft.com/fwlink/?linkid=870924
Comment:
    Must account for fraction of foliage from total above ground biomass
</t>
      </text>
    </comment>
    <comment ref="J19" authorId="3" shapeId="0" xr:uid="{3744B4DB-0347-4B29-A92D-FE3031B0B965}">
      <text>
        <t>[Threaded comment]
Your version of Excel allows you to read this threaded comment; however, any edits to it will get removed if the file is opened in a newer version of Excel. Learn more: https://go.microsoft.com/fwlink/?linkid=870924
Comment:
    Assuming 35% foliage to total DM</t>
      </text>
    </comment>
    <comment ref="L31" authorId="4" shapeId="0" xr:uid="{C356C337-7AC2-4A22-A606-0EB55773CB60}">
      <text>
        <t>[Threaded comment]
Your version of Excel allows you to read this threaded comment; however, any edits to it will get removed if the file is opened in a newer version of Excel. Learn more: https://go.microsoft.com/fwlink/?linkid=870924
Comment:
    Take values close to max, min respectively</t>
      </text>
    </comment>
    <comment ref="W33" authorId="5" shapeId="0" xr:uid="{5B7F3A54-EB0E-4BE9-BDBE-A08C5DE52781}">
      <text>
        <t>[Threaded comment]
Your version of Excel allows you to read this threaded comment; however, any edits to it will get removed if the file is opened in a newer version of Excel. Learn more: https://go.microsoft.com/fwlink/?linkid=870924
Comment:
    Could also be lower, based on citations (i.e. 108)</t>
      </text>
    </comment>
    <comment ref="L38" authorId="6" shapeId="0" xr:uid="{4BB82DA2-4484-4A5D-B9EB-7C1F35CDCAFD}">
      <text>
        <t>[Threaded comment]
Your version of Excel allows you to read this threaded comment; however, any edits to it will get removed if the file is opened in a newer version of Excel. Learn more: https://go.microsoft.com/fwlink/?linkid=870924
Comment:
    Estimates in literature much higher than default LDNDC</t>
      </text>
    </comment>
    <comment ref="L40" authorId="7" shapeId="0" xr:uid="{2BB9CC03-0975-486F-9BE3-DC5F7A288A05}">
      <text>
        <t>[Threaded comment]
Your version of Excel allows you to read this threaded comment; however, any edits to it will get removed if the file is opened in a newer version of Excel. Learn more: https://go.microsoft.com/fwlink/?linkid=870924
Comment:
    Mid range value leads to recurring spikes in GPP</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tc={693A319A-3D4E-4ED4-A58E-DBA53E78876A}</author>
  </authors>
  <commentList>
    <comment ref="D140" authorId="0" shapeId="0" xr:uid="{693A319A-3D4E-4ED4-A58E-DBA53E78876A}">
      <text>
        <t>[Threaded comment]
Your version of Excel allows you to read this threaded comment; however, any edits to it will get removed if the file is opened in a newer version of Excel. Learn more: https://go.microsoft.com/fwlink/?linkid=870924
Comment:
    Big difference between ANGA, CEBI and value for Bermuda grass of 179</t>
      </text>
    </comment>
  </commentList>
</comments>
</file>

<file path=xl/sharedStrings.xml><?xml version="1.0" encoding="utf-8"?>
<sst xmlns="http://schemas.openxmlformats.org/spreadsheetml/2006/main" count="5166" uniqueCount="2606">
  <si>
    <t>C4_TYPE</t>
  </si>
  <si>
    <t>true</t>
  </si>
  <si>
    <t>FREEGROWTH</t>
  </si>
  <si>
    <t>RATOON</t>
  </si>
  <si>
    <t>false</t>
  </si>
  <si>
    <t>SAVANNA</t>
  </si>
  <si>
    <t>TUBER</t>
  </si>
  <si>
    <t>ph</t>
  </si>
  <si>
    <t>bd</t>
  </si>
  <si>
    <t>clay</t>
  </si>
  <si>
    <t>sand</t>
  </si>
  <si>
    <t>silt</t>
  </si>
  <si>
    <t>ksat</t>
  </si>
  <si>
    <t>unit</t>
  </si>
  <si>
    <t>-</t>
  </si>
  <si>
    <t>kg/dm^3</t>
  </si>
  <si>
    <t>kg/kg</t>
  </si>
  <si>
    <t>cm/min</t>
  </si>
  <si>
    <t>conversion factors</t>
  </si>
  <si>
    <t>g cm^3 to kg/dm^3</t>
  </si>
  <si>
    <t>second to minute</t>
  </si>
  <si>
    <t>wcmin</t>
  </si>
  <si>
    <t>dm^3/m^3</t>
  </si>
  <si>
    <t>wcmax</t>
  </si>
  <si>
    <t>Gachene et al. (2024)</t>
  </si>
  <si>
    <t>No</t>
  </si>
  <si>
    <t>Unit</t>
  </si>
  <si>
    <t>Becium obovatum(F), Bothriochloa insculpta(P), Craterostigma pumilum(F), Digitaria macroblephara(P), Digitaria scalarum(P), Harpachne schimperi(P), Heteropogon(P), Hyparrhenia lintonii(P), Mariscus macropus(P), Microchloa kunthii(P), Pennisetum mezianum(P), Sporobolus discosporus(P), Tephrosia pumila(F), Themeda triandra(P)</t>
  </si>
  <si>
    <t>According to Muthoka et al. (2024) the Kapiti EC tower roughly corresponds with location K1L2C with species as listed below</t>
  </si>
  <si>
    <t>https://pdf.sciencedirectassets.com/272241/1-s2.0-S1470160X22X0006X/1-s2.0-S1470160X22006951/main.pdf?X-Amz-Security-Token=IQoJb3JpZ2luX2VjEGgaCXVzLWVhc3QtMSJIMEYCIQDTSHmePwdi%2BINz82GrVt2tU8o6qs8Cb1ZVbl1Zl5ETPAIhAKaR2ycahfQshkX1fp1yUClNMlS%2BlAk1G0ZmECi9ekcfKrIFCEEQBRoMMDU5MDAzNTQ2ODY1IgyrMYYqMLadBsdIsYgqjwUHdYCfG5mRCEQ%2BahYgI5BLcg9gbIrEkBG%2FXat3lhhMxWnBsJJyu0S21EEfowcDICL7u%2B%2BRLcMiWFpb0ONlAeBcoHmhH6yBHct1MXghh1OVLRQct9z0P8DqGdGk7UseGUZIzGzJnCJVy5ZOv%2Fcxwi%2F%2FcBB95H%2FsGBeNuF9ryY6M8Cnrb5uyH%2FZ1mbQeYoWRvvMs2RnoVi53lVHvWoW1JOamNkd6QYriOEpGeQ91u4V5ufpbA%2B0OwtSY1jIDIz0R3ZJspZ%2BtE2wV99tC7eQc71LBwMqIiPup6Ff%2BkbtJjH4esn8WnKzyC2OTeSpGdM%2BMbhRslKD3Lu0Mku%2FeiS2q18UTSsB%2BNzIpG5NZBn3RZLBlhUn9ONO4sEFO28fUcue10CVoHzes4ilcrtQIuFAg7BvbDjWkU0eXc6H3wiHEO5OlrTKA4r0Lzn%2F1itm52S%2F1wSAMZW9IDqdzXqsEE5umtHMV5Jh%2FEAK1SoeuLzSlcL9jBR6PqPbO7wkW1sAkcAQWDDhtOvRciHyW%2BnKM3aD4tJvBmWAQY6p%2BmlkVN3dvWsDpq2YNNv2CgSlJXLKpeCdhVmCWpd9%2FdiyAn25rqYUXOFVLRwZy3yDqL1zsRZNzFWanX7tWizfffo0EOXwqTPGfk%2FPq6ssYkW%2FSNFFuAkDhbH%2BXGspfS5q10%2BV8J51QS8pePtQRskEgZt6F24%2FZegGPY42CiW0FZ0XCtaID3szJ4uHUooUmANUHGnwUYnEeFrWAJzuOyuHJCNk5JE8ULeobf2a%2BYEHvpcPh1VGI2lehTdSmctgTU4Ia3uTPHu5P82nwWqaTCvoHL71OrIbMbVrlLAm9QHXa6ZNhTEWx1OM61pbYDJFEHeByG4mXgFsCq6mhMMWZhcIGOrABCqyUORYJcZBLe%2BbEBsmsNmdXE%2B4qOqKBpxX7KZuJdo5jQGN22DmfYI1uMfXK5%2BEITAtD6nI7MCX0MXwf46jUzdMSoQKry%2BWUl0pl03MBiBbSicXnIV3gRC1biCCMcdUwEz6PAmCkCQwyzc6GCUFOn5%2B91lz%2B2Y3aMyuPmqReLgeRjoUUorTiBSi36KuP6gzUstkCyau4hKC%2FG4o8Slp1vystabeluUg9lI8GH7xuhv8%3D&amp;X-Amz-Algorithm=AWS4-HMAC-SHA256&amp;X-Amz-Date=20250605T082519Z&amp;X-Amz-SignedHeaders=host&amp;X-Amz-Expires=300&amp;X-Amz-Credential=ASIAQ3PHCVTY7JJ6OU3E%2F20250605%2Fus-east-1%2Fs3%2Faws4_request&amp;X-Amz-Signature=065e8ad16e112fcab58bd475c76b3de526f2daed629700904c4aa98cde9c08b3&amp;hash=7723282a1cd784a7a9b81213c113a3c7a6506fa6c0af8b2af8dd685f300c7b20&amp;host=68042c943591013ac2b2430a89b270f6af2c76d8dfd086a07176afe7c76c2c61&amp;pii=S1470160X22006951&amp;tid=spdf-0ceb7ae1-1b95-426c-acd9-b9a2d50f57d8&amp;sid=d80f27343b89504ad49a60204de783eb38e5gxrqa&amp;type=client&amp;tsoh=d3d3LnNjaWVuY2VkaXJlY3QuY29t&amp;rh=d3d3LnNjaWVuY2VkaXJlY3QuY29t&amp;ua=110359500006535556065e&amp;rr=94ae475a9b88d23c&amp;cc=ke</t>
  </si>
  <si>
    <t>Parameter</t>
  </si>
  <si>
    <t>BY_PASSF</t>
  </si>
  <si>
    <t>FRUNOFF</t>
  </si>
  <si>
    <t>FPERCOL</t>
  </si>
  <si>
    <t>Sources</t>
  </si>
  <si>
    <t xml:space="preserve">ISRIC </t>
  </si>
  <si>
    <t>7-20</t>
  </si>
  <si>
    <t>20-47</t>
  </si>
  <si>
    <t>47-65</t>
  </si>
  <si>
    <t>Layer</t>
  </si>
  <si>
    <t>65-85</t>
  </si>
  <si>
    <t>depth, mm</t>
  </si>
  <si>
    <t>depth, cm</t>
  </si>
  <si>
    <t>85-110</t>
  </si>
  <si>
    <t>110-130</t>
  </si>
  <si>
    <t>130-150</t>
  </si>
  <si>
    <t>150-175</t>
  </si>
  <si>
    <t>Missing data</t>
  </si>
  <si>
    <t>corg</t>
  </si>
  <si>
    <t>norg</t>
  </si>
  <si>
    <t>31-65</t>
  </si>
  <si>
    <t>85-125</t>
  </si>
  <si>
    <t>Ferralsols</t>
  </si>
  <si>
    <t>Mollic- Ferralsol (Humic Eutric Clayic)</t>
  </si>
  <si>
    <t>Lixic-Vetic- Ferralsol (Eutric Rhodic)</t>
  </si>
  <si>
    <t>Umbric- Ferralsol (Humic Alumic Clayic)</t>
  </si>
  <si>
    <t>Haplic- Ferralsol (Humic Dystric Clayic)</t>
  </si>
  <si>
    <t>Acric- Ferralsol (Dystric Rhodic</t>
  </si>
  <si>
    <t>Eutri-Rhodic Ferralsol</t>
  </si>
  <si>
    <t>https://museum.isric.org/monoliths/reference-soil-kenya-06</t>
  </si>
  <si>
    <t>https://museum.isric.org/monoliths/reference-soil-kenya-11</t>
  </si>
  <si>
    <t>https://museum.isric.org/monoliths/reference-soil-kenya-40</t>
  </si>
  <si>
    <t>https://museum.isric.org/monoliths/reference-soil-kenya-48</t>
  </si>
  <si>
    <t>https://museum.isric.org/monoliths/reference-soil-kenya-29</t>
  </si>
  <si>
    <t>https://museum.isric.org/monoliths/reference-soil-kenya-09</t>
  </si>
  <si>
    <t>https://museum.isric.org/monoliths/reference-soil-kenya-07</t>
  </si>
  <si>
    <t>Weights</t>
  </si>
  <si>
    <t>Vertis p4</t>
  </si>
  <si>
    <t>Vertis p7</t>
  </si>
  <si>
    <t>Ferral p8</t>
  </si>
  <si>
    <t>Planos p13</t>
  </si>
  <si>
    <t>Vertis p12</t>
  </si>
  <si>
    <t xml:space="preserve">all </t>
  </si>
  <si>
    <t>population</t>
  </si>
  <si>
    <t>area</t>
  </si>
  <si>
    <t>density (head/ha)</t>
  </si>
  <si>
    <t>Becium obovatum</t>
  </si>
  <si>
    <t>Bothriochloa insculpta</t>
  </si>
  <si>
    <t>Craterostigma pumilum</t>
  </si>
  <si>
    <t>Digitaria macroblephara</t>
  </si>
  <si>
    <t>Digitaria scalarum</t>
  </si>
  <si>
    <t xml:space="preserve"> Heteropogon</t>
  </si>
  <si>
    <t>Hyparrhenia lintonii</t>
  </si>
  <si>
    <t>Mariscus macropus</t>
  </si>
  <si>
    <t>Microchloa kunthii</t>
  </si>
  <si>
    <t>Pennisetum mezianum</t>
  </si>
  <si>
    <t>Sporobolus discosporus</t>
  </si>
  <si>
    <t xml:space="preserve"> Tephrosia pumila</t>
  </si>
  <si>
    <t>Themeda triandra</t>
  </si>
  <si>
    <t>C4 grass</t>
  </si>
  <si>
    <t>annual or shorlived perennial herb</t>
  </si>
  <si>
    <t>c4 perennial</t>
  </si>
  <si>
    <t>c4  perennial</t>
  </si>
  <si>
    <t>c4 perennial and annual</t>
  </si>
  <si>
    <t>Harpachne schimperi</t>
  </si>
  <si>
    <t>c4 grass</t>
  </si>
  <si>
    <t>c3 perennial</t>
  </si>
  <si>
    <t>medium quality</t>
  </si>
  <si>
    <t>drought resistant</t>
  </si>
  <si>
    <t>low quality</t>
  </si>
  <si>
    <t>moderate quality</t>
  </si>
  <si>
    <t>not drought resistant</t>
  </si>
  <si>
    <t>low-medium</t>
  </si>
  <si>
    <t>medium to high quality</t>
  </si>
  <si>
    <t>Other LDNDC grasses to include</t>
  </si>
  <si>
    <t>CEBi</t>
  </si>
  <si>
    <t>ANGA</t>
  </si>
  <si>
    <t>PECL</t>
  </si>
  <si>
    <t>HERB</t>
  </si>
  <si>
    <t>NDFLUSH</t>
  </si>
  <si>
    <t>NDMORTA</t>
  </si>
  <si>
    <t>MFOLOPT</t>
  </si>
  <si>
    <t>H2OREF_FLUSHING</t>
  </si>
  <si>
    <t>H2OREF_SENESCENCE</t>
  </si>
  <si>
    <t>GDD_EMERGENCE</t>
  </si>
  <si>
    <t>species.PERG.mnemonic = "PERG"</t>
  </si>
  <si>
    <t>species.PERG.group = "grass"</t>
  </si>
  <si>
    <t>species.PERG.parent = ":C4:"</t>
  </si>
  <si>
    <t>species.PERG.parameter.C4_TYPE.value = "true"</t>
  </si>
  <si>
    <t>species.PERG.parameter.CONIFEROUS.value = "false"</t>
  </si>
  <si>
    <t>species.PERG.parameter.DECIDUOUS.value = "true"</t>
  </si>
  <si>
    <t>species.PERG.parameter.FREEGROWTH.value = "true"</t>
  </si>
  <si>
    <t>species.PERG.parameter.RATOON.value = "false"</t>
  </si>
  <si>
    <t>species.PERG.parameter.ROOTS_ENVIRONMENTAL.value = "false"</t>
  </si>
  <si>
    <t>species.PERG.parameter.SAVANNA.value = "true"</t>
  </si>
  <si>
    <t>species.PERG.parameter.TUBER.value = "false"</t>
  </si>
  <si>
    <t>species.PERG.parameter.AEIS.value = "0"</t>
  </si>
  <si>
    <t>species.PERG.parameter.AEJM.value = "60650"</t>
  </si>
  <si>
    <t>species.PERG.parameter.AEKC.value = "80990"</t>
  </si>
  <si>
    <t>species.PERG.parameter.AEKO.value = "23720"</t>
  </si>
  <si>
    <t>species.PERG.parameter.AERD.value = "46390"</t>
  </si>
  <si>
    <t>species.PERG.parameter.AEVC.value = "65330"</t>
  </si>
  <si>
    <t>species.PERG.parameter.AEVO.value = "37530"</t>
  </si>
  <si>
    <t>species.PERG.parameter.ALB.value = "0.12"</t>
  </si>
  <si>
    <t>species.PERG.parameter.ALPHA0_IS.value = "0"</t>
  </si>
  <si>
    <t>species.PERG.parameter.ALPHA0_MT.value = "0"</t>
  </si>
  <si>
    <t>species.PERG.parameter.AMAXA.value = "5.3"</t>
  </si>
  <si>
    <t>species.PERG.parameter.AMAXB.value = "21.5"</t>
  </si>
  <si>
    <t>species.PERG.parameter.AMAXFRAC.value = "0.76"</t>
  </si>
  <si>
    <t>species.PERG.parameter.A_EXP.value = "0"</t>
  </si>
  <si>
    <t>species.PERG.parameter.A_REF.value = "-1"</t>
  </si>
  <si>
    <t>species.PERG.parameter.BASEFOLRESPFRAC.value = "0.1"</t>
  </si>
  <si>
    <t>species.PERG.parameter.CB.value = "0.5"</t>
  </si>
  <si>
    <t>species.PERG.parameter.CDAMP.value = "1.5"</t>
  </si>
  <si>
    <t>species.PERG.parameter.CDR_P1.value = "0"</t>
  </si>
  <si>
    <t>species.PERG.parameter.CDR_P2.value = "0"</t>
  </si>
  <si>
    <t>species.PERG.parameter.CDR_P3.value = "0"</t>
  </si>
  <si>
    <t>species.PERG.parameter.CELLULOSE.value = "0.65"</t>
  </si>
  <si>
    <t>species.PERG.parameter.CFCROPT.value = "0"</t>
  </si>
  <si>
    <t>species.PERG.parameter.CHILL_TEMP_MAX.value = "8"</t>
  </si>
  <si>
    <t>species.PERG.parameter.CHILL_UNITS.value = "0"</t>
  </si>
  <si>
    <t>species.PERG.parameter.CL_P1.value = "2.15"</t>
  </si>
  <si>
    <t>species.PERG.parameter.CL_P2.value = "0.9"</t>
  </si>
  <si>
    <t>species.PERG.parameter.CSR_REF.value = "-2"</t>
  </si>
  <si>
    <t>species.PERG.parameter.CT_IS.value = "32.86"</t>
  </si>
  <si>
    <t>species.PERG.parameter.CT_MT.value = "32.86"</t>
  </si>
  <si>
    <t>species.PERG.parameter.CWP_REF.value = "0.01"</t>
  </si>
  <si>
    <t>species.PERG.parameter.DBRANCH.value = "0.2"</t>
  </si>
  <si>
    <t>species.PERG.parameter.DFOL.value = "1"</t>
  </si>
  <si>
    <t>species.PERG.parameter.DFRTOPT.value = "0.1"</t>
  </si>
  <si>
    <t>species.PERG.parameter.DF_EXP.value = "0.4"</t>
  </si>
  <si>
    <t>species.PERG.parameter.DF_LIMIT.value = "5000"</t>
  </si>
  <si>
    <t>species.PERG.parameter.DIAMMAX.value = "0.01"</t>
  </si>
  <si>
    <t>species.PERG.parameter.DOC_RESP_RATIO.value = "0.5"</t>
  </si>
  <si>
    <t>species.PERG.parameter.DRAGC.value = "0.03"</t>
  </si>
  <si>
    <t>species.PERG.parameter.DSAP.value = "0.45"</t>
  </si>
  <si>
    <t>species.PERG.parameter.DS_IS.value = "887.5"</t>
  </si>
  <si>
    <t>species.PERG.parameter.DS_MT.value = "887.5"</t>
  </si>
  <si>
    <t>species.PERG.parameter.DVPD1.value = "0.05"</t>
  </si>
  <si>
    <t>species.PERG.parameter.DVPD2.value = "2"</t>
  </si>
  <si>
    <t>species.PERG.parameter.EF_ISO.value = "0"</t>
  </si>
  <si>
    <t>species.PERG.parameter.EF_MONO.value = "0"</t>
  </si>
  <si>
    <t>species.PERG.parameter.EF_MONOS.value = "0"</t>
  </si>
  <si>
    <t>species.PERG.parameter.EF_OVOC.value = "1.5"</t>
  </si>
  <si>
    <t>species.PERG.parameter.EXPL_NH4.value = "0.01"</t>
  </si>
  <si>
    <t>species.PERG.parameter.EXPL_NO3.value = "0.01"</t>
  </si>
  <si>
    <t>species.PERG.parameter.EXP_ROOT_DISTRIBUTION.value = "10"</t>
  </si>
  <si>
    <t>species.PERG.parameter.EXT.value = "0.5"</t>
  </si>
  <si>
    <t>species.PERG.parameter.FAGE.value = "1"</t>
  </si>
  <si>
    <t>species.PERG.parameter.FBRAF_M.value = "0"</t>
  </si>
  <si>
    <t>species.PERG.parameter.FBRAF_Y.value = "0"</t>
  </si>
  <si>
    <t>species.PERG.parameter.FFACMAX.value = "0.2"</t>
  </si>
  <si>
    <t>species.PERG.parameter.FIRE_BARKA.value = "0.0347"</t>
  </si>
  <si>
    <t>species.PERG.parameter.FIRE_BARKB.value = "0.1086"</t>
  </si>
  <si>
    <t>species.PERG.parameter.FIRE_DENSFUEL.value = "22"</t>
  </si>
  <si>
    <t>species.PERG.parameter.FIRE_EM_CH4.value = "4.8"</t>
  </si>
  <si>
    <t>species.PERG.parameter.FIRE_EM_CO2.value = "1568"</t>
  </si>
  <si>
    <t>species.PERG.parameter.FIRE_EM_CO.value = "106"</t>
  </si>
  <si>
    <t>species.PERG.parameter.FIRE_EM_N2.value = "1.6"</t>
  </si>
  <si>
    <t>species.PERG.parameter.FIRE_EM_N2O.value = "1.6"</t>
  </si>
  <si>
    <t>species.PERG.parameter.FIRE_EM_NOX.value = "3.24"</t>
  </si>
  <si>
    <t>species.PERG.parameter.FIRE_EM_TPM.value = "17.6"</t>
  </si>
  <si>
    <t>species.PERG.parameter.FIRE_EM_VOC.value = "5.7"</t>
  </si>
  <si>
    <t>species.PERG.parameter.FIRE_FIRERESIST.value = "0.1"</t>
  </si>
  <si>
    <t>species.PERG.parameter.FIRE_FLAME.value = "0.094"</t>
  </si>
  <si>
    <t>species.PERG.parameter.FIRE_P.value = "3"</t>
  </si>
  <si>
    <t>species.PERG.parameter.FIRE_RCK.value = "0.95"</t>
  </si>
  <si>
    <t>species.PERG.parameter.FOLRELGROMAX.value = "0.1"</t>
  </si>
  <si>
    <t>species.PERG.parameter.FRACTION_FOLIAGE.value = "0.4"</t>
  </si>
  <si>
    <t>species.PERG.parameter.FRACTION_FRUIT.value = "0.05"</t>
  </si>
  <si>
    <t>species.PERG.parameter.FRACTION_ROOT.value = "0.35"</t>
  </si>
  <si>
    <t>species.PERG.parameter.FRET_N.value = "0.55"</t>
  </si>
  <si>
    <t>species.PERG.parameter.FROSTA.value = "0"</t>
  </si>
  <si>
    <t>species.PERG.parameter.FROSTB.value = "0"</t>
  </si>
  <si>
    <t>species.PERG.parameter.FRTALLOC_BASE.value = "0"</t>
  </si>
  <si>
    <t>species.PERG.parameter.FRTALLOC_REL.value = "2"</t>
  </si>
  <si>
    <t>species.PERG.parameter.FRTLOSS_SCALE.value = "4"</t>
  </si>
  <si>
    <t>species.PERG.parameter.FRTMASSINIT.value = "50"</t>
  </si>
  <si>
    <t>species.PERG.parameter.FYIELD.value = "0.27"</t>
  </si>
  <si>
    <t>species.PERG.parameter.GDDFOLEND.value = "1100"</t>
  </si>
  <si>
    <t>species.PERG.parameter.GDDFOLSTART.value = "0"</t>
  </si>
  <si>
    <t>species.PERG.parameter.GDDWODEND.value = "0"</t>
  </si>
  <si>
    <t>species.PERG.parameter.GDDWODSTART.value = "0"</t>
  </si>
  <si>
    <t>species.PERG.parameter.GDD_BASE_TEMPERATURE.value = "0"</t>
  </si>
  <si>
    <t>species.PERG.parameter.GDD_EMERGENCE.value = "100"</t>
  </si>
  <si>
    <t>species.PERG.parameter.GDD_FLOWERING.value = "0"</t>
  </si>
  <si>
    <t>species.PERG.parameter.GDD_GRAIN_FILLING.value = "-1"</t>
  </si>
  <si>
    <t>species.PERG.parameter.GDD_MATURITY.value = "2500"</t>
  </si>
  <si>
    <t>species.PERG.parameter.GDD_MAX_TEMPERATURE.value = "40"</t>
  </si>
  <si>
    <t>species.PERG.parameter.GDD_ROOTS_GROWN.value = "1400"</t>
  </si>
  <si>
    <t>species.PERG.parameter.GDD_STEM_ELONGATION.value = "250"</t>
  </si>
  <si>
    <t>species.PERG.parameter.GGDPS_B.value = "0.000437"</t>
  </si>
  <si>
    <t>species.PERG.parameter.GSMAX.value = "375"</t>
  </si>
  <si>
    <t>species.PERG.parameter.GSMIN.value = "2.66"</t>
  </si>
  <si>
    <t>species.PERG.parameter.GZRTZ.value = "0.25"</t>
  </si>
  <si>
    <t>species.PERG.parameter.H2OREF_A.value = "0.65"</t>
  </si>
  <si>
    <t>species.PERG.parameter.H2OREF_FLUSHING.value = "0"</t>
  </si>
  <si>
    <t>species.PERG.parameter.H2OREF_GS.value = "0.33"</t>
  </si>
  <si>
    <t>species.PERG.parameter.H2OREF_LEAF_GROWTH.value = "0"</t>
  </si>
  <si>
    <t>species.PERG.parameter.H2OREF_SENESCENCE.value = "0"</t>
  </si>
  <si>
    <t>species.PERG.parameter.HALFSAT.value = "200"</t>
  </si>
  <si>
    <t>species.PERG.parameter.HA_IS.value = "83129"</t>
  </si>
  <si>
    <t>species.PERG.parameter.HA_MT.value = "83129"</t>
  </si>
  <si>
    <t>species.PERG.parameter.HDJ.value = "200000"</t>
  </si>
  <si>
    <t>species.PERG.parameter.HD_EXP.value = "6"</t>
  </si>
  <si>
    <t>species.PERG.parameter.HD_IS.value = "284600"</t>
  </si>
  <si>
    <t>species.PERG.parameter.HD_MAX.value = "120"</t>
  </si>
  <si>
    <t>species.PERG.parameter.HD_MIN.value = "50"</t>
  </si>
  <si>
    <t>species.PERG.parameter.HD_MT.value = "284600"</t>
  </si>
  <si>
    <t>species.PERG.parameter.HEIGHT_MAX.value = "1.5"</t>
  </si>
  <si>
    <t>species.PERG.parameter.HLEAFCRIT.value = "0"</t>
  </si>
  <si>
    <t>species.PERG.parameter.HREF.value = "0.2"</t>
  </si>
  <si>
    <t>species.PERG.parameter.HYPOXIA.value = "0.4"</t>
  </si>
  <si>
    <t>species.PERG.parameter.INI_N_FIX.value = "0"</t>
  </si>
  <si>
    <t>species.PERG.parameter.KC25.value = "270"</t>
  </si>
  <si>
    <t>species.PERG.parameter.KCOMPINIT.value = "0"</t>
  </si>
  <si>
    <t>species.PERG.parameter.KM20.value = "0.5"</t>
  </si>
  <si>
    <t>species.PERG.parameter.KM_GDPS_DMADP.value = "0"</t>
  </si>
  <si>
    <t>species.PERG.parameter.KM_GDPS_IDP.value = "0"</t>
  </si>
  <si>
    <t>species.PERG.parameter.KM_IS.value = "0"</t>
  </si>
  <si>
    <t>species.PERG.parameter.KM_MT.value = "0"</t>
  </si>
  <si>
    <t>species.PERG.parameter.KO25.value = "165"</t>
  </si>
  <si>
    <t>species.PERG.parameter.KRC_WOOD.value = "0.00025"</t>
  </si>
  <si>
    <t>species.PERG.parameter.KRSCOMP.value = "0"</t>
  </si>
  <si>
    <t>species.PERG.parameter.KRSINIT.value = "0"</t>
  </si>
  <si>
    <t>species.PERG.parameter.K_MM_NITROGEN_UPTAKE.value = "1e-05"</t>
  </si>
  <si>
    <t>species.PERG.parameter.LIGNIN.value = "0.15"</t>
  </si>
  <si>
    <t>species.PERG.parameter.MAINTENANCE_TEMP_REF.value = "25"</t>
  </si>
  <si>
    <t>species.PERG.parameter.MC_LEAF.value = "0.03"</t>
  </si>
  <si>
    <t>species.PERG.parameter.MC_ROOT.value = "0.01"</t>
  </si>
  <si>
    <t>species.PERG.parameter.MC_STEM.value = "0.015"</t>
  </si>
  <si>
    <t>species.PERG.parameter.MC_STORAGE.value = "0.001"</t>
  </si>
  <si>
    <t>species.PERG.parameter.MFOLOPT.value = "0.11"</t>
  </si>
  <si>
    <t>species.PERG.parameter.MORTCROWD.value = "100000000"</t>
  </si>
  <si>
    <t>species.PERG.parameter.MORTNORM.value = "0"</t>
  </si>
  <si>
    <t>species.PERG.parameter.MUE_IS.value = "0.175"</t>
  </si>
  <si>
    <t>species.PERG.parameter.MUE_MT.value = "0.175"</t>
  </si>
  <si>
    <t>species.PERG.parameter.MWFM.value = "0.0005"</t>
  </si>
  <si>
    <t>species.PERG.parameter.MWWM.value = "1e-09"</t>
  </si>
  <si>
    <t>species.PERG.parameter.M_FRUIT_OPT.value = "0"</t>
  </si>
  <si>
    <t>species.PERG.parameter.NCFOLOPT.value = "0.0155"</t>
  </si>
  <si>
    <t>species.PERG.parameter.NCSAPOPT.value = "0"</t>
  </si>
  <si>
    <t>species.PERG.parameter.NC_FINEROOTS_MAX.value = "0.0115"</t>
  </si>
  <si>
    <t>species.PERG.parameter.NC_FINEROOTS_MIN.value = "0.0025"</t>
  </si>
  <si>
    <t>species.PERG.parameter.NC_FOLIAGE_MAX.value = "0.03"</t>
  </si>
  <si>
    <t>species.PERG.parameter.NC_FOLIAGE_MIN.value = "0.03"</t>
  </si>
  <si>
    <t>species.PERG.parameter.NC_FRUIT_MAX.value = "0.03"</t>
  </si>
  <si>
    <t>species.PERG.parameter.NC_FRUIT_MIN.value = "0.03"</t>
  </si>
  <si>
    <t>species.PERG.parameter.NC_STRUCTURAL_TISSUE_MAX.value = "0.03"</t>
  </si>
  <si>
    <t>species.PERG.parameter.NC_STRUCTURAL_TISSUE_MIN.value = "0.03"</t>
  </si>
  <si>
    <t>species.PERG.parameter.NFIX_CEFF.value = "5"</t>
  </si>
  <si>
    <t>species.PERG.parameter.NFIX_RATE.value = "0.5"</t>
  </si>
  <si>
    <t>species.PERG.parameter.NFIX_TMAX.value = "44"</t>
  </si>
  <si>
    <t>species.PERG.parameter.NFIX_TMIN.value = "5"</t>
  </si>
  <si>
    <t>species.PERG.parameter.NFIX_TOPT.value = "35"</t>
  </si>
  <si>
    <t>species.PERG.parameter.NFIX_W.value = "-6"</t>
  </si>
  <si>
    <t>species.PERG.parameter.N_DEF_FACTOR.value = "2"</t>
  </si>
  <si>
    <t>species.PERG.parameter.N_DEMAND_REPROD.value = "5"</t>
  </si>
  <si>
    <t>species.PERG.parameter.N_DEMAND_VEG.value = "5"</t>
  </si>
  <si>
    <t>species.PERG.parameter.PA.value = "0"</t>
  </si>
  <si>
    <t>species.PERG.parameter.PEXS.value = "0.22"</t>
  </si>
  <si>
    <t>species.PERG.parameter.PFL.value = "1.1"</t>
  </si>
  <si>
    <t>species.PERG.parameter.PHOTOPERIODISM.value = "0"</t>
  </si>
  <si>
    <t>species.PERG.parameter.PSI_EXP.value = "5.3"</t>
  </si>
  <si>
    <t>species.PERG.parameter.PSI_REF.value = "-3.2"</t>
  </si>
  <si>
    <t>species.PERG.parameter.PSL.value = "0.84"</t>
  </si>
  <si>
    <t>species.PERG.parameter.PSNTFROST.value = "-30"</t>
  </si>
  <si>
    <t>species.PERG.parameter.PSNTMAX.value = "50"</t>
  </si>
  <si>
    <t>species.PERG.parameter.PSNTMIN.value = "0"</t>
  </si>
  <si>
    <t>species.PERG.parameter.PSNTOPT.value = "25"</t>
  </si>
  <si>
    <t>species.PERG.parameter.QHRD.value = "0.5"</t>
  </si>
  <si>
    <t>species.PERG.parameter.QJVC.value = "2.8"</t>
  </si>
  <si>
    <t>species.PERG.parameter.QRD25.value = "0.0125"</t>
  </si>
  <si>
    <t>species.PERG.parameter.QRF.value = "5.9"</t>
  </si>
  <si>
    <t>species.PERG.parameter.QSF_P1.value = "20"</t>
  </si>
  <si>
    <t>species.PERG.parameter.QSF_P2.value = "0"</t>
  </si>
  <si>
    <t>species.PERG.parameter.QVOVC.value = "0.21"</t>
  </si>
  <si>
    <t>species.PERG.parameter.QWODFOLMIN.value = "1.25"</t>
  </si>
  <si>
    <t>species.PERG.parameter.RBUDDEM.value = "5"</t>
  </si>
  <si>
    <t>species.PERG.parameter.REDISTRIBUTION_ROOT.value = "0.01"</t>
  </si>
  <si>
    <t>species.PERG.parameter.RESP.value = "10"</t>
  </si>
  <si>
    <t>species.PERG.parameter.RESPQ10.value = "2"</t>
  </si>
  <si>
    <t>species.PERG.parameter.ROOTMRESPFRAC.value = "1"</t>
  </si>
  <si>
    <t>species.PERG.parameter.RPMIN.value = "6.25"</t>
  </si>
  <si>
    <t>species.PERG.parameter.RS_CONDUCT.value = "0"</t>
  </si>
  <si>
    <t>species.PERG.parameter.SCALE_I.value = "1"</t>
  </si>
  <si>
    <t>species.PERG.parameter.SCALE_M.value = "1"</t>
  </si>
  <si>
    <t>species.PERG.parameter.SDJ.value = "650.4"</t>
  </si>
  <si>
    <t>species.PERG.parameter.SENESCENCE_AGE.value = "0.01"</t>
  </si>
  <si>
    <t>species.PERG.parameter.SENESCENCE_DROUGHT.value = "0.01"</t>
  </si>
  <si>
    <t>species.PERG.parameter.SENESCENCE_FROST.value = "0.01"</t>
  </si>
  <si>
    <t>species.PERG.parameter.SENESCENCE_HEAT.value = "0"</t>
  </si>
  <si>
    <t>species.PERG.parameter.SENESCENCE_WATER.value = "0"</t>
  </si>
  <si>
    <t>species.PERG.parameter.SENESCSTART.value = "270"</t>
  </si>
  <si>
    <t>species.PERG.parameter.SHOOT_STIMULATION_REPROD.value = "0.75"</t>
  </si>
  <si>
    <t>species.PERG.parameter.SLADECLINE.value = "0"</t>
  </si>
  <si>
    <t>species.PERG.parameter.SLAMAX.value = "13.8"</t>
  </si>
  <si>
    <t>species.PERG.parameter.SLAMIN.value = "13.8"</t>
  </si>
  <si>
    <t>species.PERG.parameter.SLOPE_GSA.value = "10.4"</t>
  </si>
  <si>
    <t>species.PERG.parameter.SLOPE_GSCO2.value = "1"</t>
  </si>
  <si>
    <t>species.PERG.parameter.SLOPE_GSH2O.value = "3.3"</t>
  </si>
  <si>
    <t>species.PERG.parameter.SLOPE_NC.value = "1"</t>
  </si>
  <si>
    <t>species.PERG.parameter.SRLMAX.value = "70000"</t>
  </si>
  <si>
    <t>species.PERG.parameter.SRLMIN.value = "5000"</t>
  </si>
  <si>
    <t>species.PERG.parameter.TAP_P1.value = "1.75"</t>
  </si>
  <si>
    <t>species.PERG.parameter.TAP_P2.value = "1.1"</t>
  </si>
  <si>
    <t>species.PERG.parameter.TAP_P3.value = "-2.75"</t>
  </si>
  <si>
    <t>species.PERG.parameter.TAU.value = "0.03"</t>
  </si>
  <si>
    <t>species.PERG.parameter.THETA.value = "0.8"</t>
  </si>
  <si>
    <t>species.PERG.parameter.TLIMIT.value = "0"</t>
  </si>
  <si>
    <t>species.PERG.parameter.TMINCRIT.value = "50"</t>
  </si>
  <si>
    <t>species.PERG.parameter.TOFRTBAS.value = "0.007"</t>
  </si>
  <si>
    <t>species.PERG.parameter.TOSAPMAX.value = "0"</t>
  </si>
  <si>
    <t>species.PERG.parameter.UCMAX.value = "0"</t>
  </si>
  <si>
    <t>species.PERG.parameter.UGWDF.value = "0"</t>
  </si>
  <si>
    <t>species.PERG.parameter.US_DON.value = "0"</t>
  </si>
  <si>
    <t>species.PERG.parameter.US_NH4.value = "0.012"</t>
  </si>
  <si>
    <t>species.PERG.parameter.US_NH4MYC.value = "0.06"</t>
  </si>
  <si>
    <t>species.PERG.parameter.US_NO3.value = "0.006"</t>
  </si>
  <si>
    <t>species.PERG.parameter.US_NO3MYC.value = "0.0075"</t>
  </si>
  <si>
    <t>species.PERG.parameter.VCFACT.value = "1"</t>
  </si>
  <si>
    <t>species.PERG.parameter.VCMAX25.value = "71.5"</t>
  </si>
  <si>
    <t>species.PERG.parameter.VPDREF.value = "3.1"</t>
  </si>
  <si>
    <t>species.PERG.parameter.WINTERLIMIT.value = "0"</t>
  </si>
  <si>
    <t>species.PERG.parameter.WOODMRESPA.value = "0.07"</t>
  </si>
  <si>
    <t>species.PERG.parameter.WUECMAX.value = "5.3"</t>
  </si>
  <si>
    <t>species.PERG.parameter.WUECMIN.value = "5.3"</t>
  </si>
  <si>
    <t>species.PERG.parameter.ZRTMC.value = "1"</t>
  </si>
  <si>
    <t>species.PERG.parameter.DLEAFSHED.value = "300"</t>
  </si>
  <si>
    <t>species.PERG.parameter.NDFLUSH.value = "60"</t>
  </si>
  <si>
    <t>species.PERG.parameter.NDMORTA.value = "150"</t>
  </si>
  <si>
    <t>DLEAFSHED</t>
  </si>
  <si>
    <t>Variable</t>
  </si>
  <si>
    <t>Relative available soil water content below which restricted water availability triggers plant senescence.</t>
  </si>
  <si>
    <t>PERG.DEFAULT</t>
  </si>
  <si>
    <t>Water Balance</t>
  </si>
  <si>
    <t>WUECMAX</t>
  </si>
  <si>
    <t>WUECMIN</t>
  </si>
  <si>
    <t>SLAMAX</t>
  </si>
  <si>
    <t>SLAMIN</t>
  </si>
  <si>
    <t>ANGA.JABER</t>
  </si>
  <si>
    <t>GSMAX</t>
  </si>
  <si>
    <t>GSMIN</t>
  </si>
  <si>
    <t>SLOPE_GSA</t>
  </si>
  <si>
    <t>H20REF_GS</t>
  </si>
  <si>
    <t>MWFM</t>
  </si>
  <si>
    <t>Maximum rate of water vapor and CO2 exchange through stomata</t>
  </si>
  <si>
    <t>Minimum rate of water vapor and CO2 exchange through stoma</t>
  </si>
  <si>
    <t>Species</t>
  </si>
  <si>
    <t>Type</t>
  </si>
  <si>
    <t>Buffalo</t>
  </si>
  <si>
    <t>Herbivore</t>
  </si>
  <si>
    <t>Total number</t>
  </si>
  <si>
    <t>Bush Duiker</t>
  </si>
  <si>
    <t>No species counted</t>
  </si>
  <si>
    <t>Bushbuck</t>
  </si>
  <si>
    <t>Coke's Hartebeest</t>
  </si>
  <si>
    <t>Dik-Dik</t>
  </si>
  <si>
    <t>Eland</t>
  </si>
  <si>
    <t>Gerenuk</t>
  </si>
  <si>
    <t>Grant's Gazelle</t>
  </si>
  <si>
    <t>Impala</t>
  </si>
  <si>
    <t>Lesser Kudu</t>
  </si>
  <si>
    <t>Masai Giraffe</t>
  </si>
  <si>
    <t>Reedbuck</t>
  </si>
  <si>
    <t>Steinbok</t>
  </si>
  <si>
    <t>Thomson's Gazelle</t>
  </si>
  <si>
    <t>Wildebeest</t>
  </si>
  <si>
    <t>Zebra</t>
  </si>
  <si>
    <t>TOTAL</t>
  </si>
  <si>
    <t>Total species counted</t>
  </si>
  <si>
    <t>markup</t>
  </si>
  <si>
    <t>Mean</t>
  </si>
  <si>
    <t>heightmax</t>
  </si>
  <si>
    <t>Vertis p9</t>
  </si>
  <si>
    <t>Planos p1</t>
  </si>
  <si>
    <t>GDD_MATURITY</t>
  </si>
  <si>
    <t>GDD_ROOTS_GROWN</t>
  </si>
  <si>
    <t>species.ANGA.mnemonic = "ANGA"</t>
  </si>
  <si>
    <t>species.ANGA.group = "grass"</t>
  </si>
  <si>
    <t>species.ANGA.parent = ":C4:"</t>
  </si>
  <si>
    <t>species.ANGA.parameter.C4_TYPE.value = "true"</t>
  </si>
  <si>
    <t>species.ANGA.parameter.CONIFEROUS.value = "false"</t>
  </si>
  <si>
    <t>species.ANGA.parameter.DECIDUOUS.value = "true"</t>
  </si>
  <si>
    <t>species.ANGA.parameter.FREEGROWTH.value = "true"</t>
  </si>
  <si>
    <t>species.ANGA.parameter.RATOON.value = "false"</t>
  </si>
  <si>
    <t>species.ANGA.parameter.ROOTS_ENVIRONMENTAL.value = "false"</t>
  </si>
  <si>
    <t>species.ANGA.parameter.SAVANNA.value = "true"</t>
  </si>
  <si>
    <t>species.ANGA.parameter.TUBER.value = "true"</t>
  </si>
  <si>
    <t>species.ANGA.parameter.AEIS.value = "0"</t>
  </si>
  <si>
    <t>species.ANGA.parameter.AEJM.value = "77900"</t>
  </si>
  <si>
    <t>species.ANGA.parameter.AEKC.value = "64200"</t>
  </si>
  <si>
    <t>species.ANGA.parameter.AEKO.value = "10500"</t>
  </si>
  <si>
    <t>species.ANGA.parameter.AERD.value = "50967"</t>
  </si>
  <si>
    <t>species.ANGA.parameter.AEVC.value = "78000"</t>
  </si>
  <si>
    <t>species.ANGA.parameter.AEVO.value = "55300"</t>
  </si>
  <si>
    <t>species.ANGA.parameter.ALB.value = "0.2"</t>
  </si>
  <si>
    <t>species.ANGA.parameter.ALPHA0_IS.value = "0"</t>
  </si>
  <si>
    <t>species.ANGA.parameter.ALPHA0_MT.value = "0"</t>
  </si>
  <si>
    <t>species.ANGA.parameter.AMAXA.value = "5.3"</t>
  </si>
  <si>
    <t>species.ANGA.parameter.AMAXB.value = "21.5"</t>
  </si>
  <si>
    <t>species.ANGA.parameter.AMAXFRAC.value = "0.76"</t>
  </si>
  <si>
    <t>species.ANGA.parameter.A_EXP.value = "0"</t>
  </si>
  <si>
    <t>species.ANGA.parameter.A_REF.value = "-1"</t>
  </si>
  <si>
    <t>species.ANGA.parameter.BASEFOLRESPFRAC.value = "0.1"</t>
  </si>
  <si>
    <t>species.ANGA.parameter.CB.value = "0.5"</t>
  </si>
  <si>
    <t>species.ANGA.parameter.CDAMP.value = "1.5"</t>
  </si>
  <si>
    <t>species.ANGA.parameter.CDR_P1.value = "0"</t>
  </si>
  <si>
    <t>species.ANGA.parameter.CDR_P2.value = "0"</t>
  </si>
  <si>
    <t>species.ANGA.parameter.CDR_P3.value = "0"</t>
  </si>
  <si>
    <t>species.ANGA.parameter.CELLULOSE.value = "0.7"</t>
  </si>
  <si>
    <t>species.ANGA.parameter.CFCROPT.value = "0"</t>
  </si>
  <si>
    <t>species.ANGA.parameter.CHILL_TEMP_MAX.value = "8"</t>
  </si>
  <si>
    <t>species.ANGA.parameter.CHILL_UNITS.value = "0"</t>
  </si>
  <si>
    <t>species.ANGA.parameter.CL_P1.value = "2.15"</t>
  </si>
  <si>
    <t>species.ANGA.parameter.CL_P2.value = "0.9"</t>
  </si>
  <si>
    <t>species.ANGA.parameter.CSR_REF.value = "-2"</t>
  </si>
  <si>
    <t>species.ANGA.parameter.CT_IS.value = "32.86"</t>
  </si>
  <si>
    <t>species.ANGA.parameter.CT_MT.value = "32.86"</t>
  </si>
  <si>
    <t>species.ANGA.parameter.CWP_REF.value = "0.01"</t>
  </si>
  <si>
    <t>species.ANGA.parameter.DBRANCH.value = "0.2"</t>
  </si>
  <si>
    <t>species.ANGA.parameter.DFOL.value = "1"</t>
  </si>
  <si>
    <t>species.ANGA.parameter.DFRTOPT.value = "0.1"</t>
  </si>
  <si>
    <t>species.ANGA.parameter.DF_EXP.value = "0.4"</t>
  </si>
  <si>
    <t>species.ANGA.parameter.DF_LIMIT.value = "5000"</t>
  </si>
  <si>
    <t>species.ANGA.parameter.DIAMMAX.value = "0.01"</t>
  </si>
  <si>
    <t>species.ANGA.parameter.DOC_RESP_RATIO.value = "0.5"</t>
  </si>
  <si>
    <t>species.ANGA.parameter.DRAGC.value = "0.03"</t>
  </si>
  <si>
    <t>species.ANGA.parameter.DSAP.value = "0.45"</t>
  </si>
  <si>
    <t>species.ANGA.parameter.DS_IS.value = "887.5"</t>
  </si>
  <si>
    <t>species.ANGA.parameter.DS_MT.value = "887.5"</t>
  </si>
  <si>
    <t>species.ANGA.parameter.DVPD1.value = "0.05"</t>
  </si>
  <si>
    <t>species.ANGA.parameter.DVPD2.value = "2"</t>
  </si>
  <si>
    <t>species.ANGA.parameter.EF_ISO.value = "0"</t>
  </si>
  <si>
    <t>species.ANGA.parameter.EF_MONO.value = "0"</t>
  </si>
  <si>
    <t>species.ANGA.parameter.EF_MONOS.value = "0"</t>
  </si>
  <si>
    <t>species.ANGA.parameter.EF_OVOC.value = "1.5"</t>
  </si>
  <si>
    <t>species.ANGA.parameter.EXPL_NH4.value = "0.01"</t>
  </si>
  <si>
    <t>species.ANGA.parameter.EXPL_NO3.value = "0.01"</t>
  </si>
  <si>
    <t>species.ANGA.parameter.EXP_ROOT_DISTRIBUTION.value = "0"</t>
  </si>
  <si>
    <t>species.ANGA.parameter.EXT.value = "0.5"</t>
  </si>
  <si>
    <t>species.ANGA.parameter.FAGE.value = "1"</t>
  </si>
  <si>
    <t>species.ANGA.parameter.FBRAF_M.value = "0"</t>
  </si>
  <si>
    <t>species.ANGA.parameter.FBRAF_Y.value = "0"</t>
  </si>
  <si>
    <t>species.ANGA.parameter.FFACMAX.value = "0.5"</t>
  </si>
  <si>
    <t>species.ANGA.parameter.FIRE_BARKA.value = "0.0347"</t>
  </si>
  <si>
    <t>species.ANGA.parameter.FIRE_BARKB.value = "0.1086"</t>
  </si>
  <si>
    <t>species.ANGA.parameter.FIRE_DENSFUEL.value = "2"</t>
  </si>
  <si>
    <t>species.ANGA.parameter.FIRE_EM_CH4.value = "1.94"</t>
  </si>
  <si>
    <t>species.ANGA.parameter.FIRE_EM_CO2.value = "1686"</t>
  </si>
  <si>
    <t>species.ANGA.parameter.FIRE_EM_CO.value = "63"</t>
  </si>
  <si>
    <t>species.ANGA.parameter.FIRE_EM_N2.value = "1.6"</t>
  </si>
  <si>
    <t>species.ANGA.parameter.FIRE_EM_N2O.value = "0"</t>
  </si>
  <si>
    <t>species.ANGA.parameter.FIRE_EM_NOX.value = "3.9"</t>
  </si>
  <si>
    <t>species.ANGA.parameter.FIRE_EM_TPM.value = "0"</t>
  </si>
  <si>
    <t>species.ANGA.parameter.FIRE_EM_VOC.value = "0.039"</t>
  </si>
  <si>
    <t>species.ANGA.parameter.FIRE_FIRERESIST.value = "0.1"</t>
  </si>
  <si>
    <t>species.ANGA.parameter.FIRE_FLAME.value = "0.094"</t>
  </si>
  <si>
    <t>species.ANGA.parameter.FIRE_P.value = "3"</t>
  </si>
  <si>
    <t>species.ANGA.parameter.FIRE_RCK.value = "0.95"</t>
  </si>
  <si>
    <t>species.ANGA.parameter.FOLRELGROMAX.value = "0.1"</t>
  </si>
  <si>
    <t>species.ANGA.parameter.FRACTION_FOLIAGE.value = "0.6"</t>
  </si>
  <si>
    <t>species.ANGA.parameter.FRACTION_FRUIT.value = "0.1"</t>
  </si>
  <si>
    <t>species.ANGA.parameter.FRACTION_ROOT.value = "0.24"</t>
  </si>
  <si>
    <t>species.ANGA.parameter.FRET_N.value = "0.47"</t>
  </si>
  <si>
    <t>species.ANGA.parameter.FROSTA.value = "0"</t>
  </si>
  <si>
    <t>species.ANGA.parameter.FROSTB.value = "0"</t>
  </si>
  <si>
    <t>species.ANGA.parameter.FRTALLOC_BASE.value = "0"</t>
  </si>
  <si>
    <t>species.ANGA.parameter.FRTALLOC_REL.value = "2"</t>
  </si>
  <si>
    <t>species.ANGA.parameter.FRTLOSS_SCALE.value = "4"</t>
  </si>
  <si>
    <t>species.ANGA.parameter.FRTMASSINIT.value = "50"</t>
  </si>
  <si>
    <t>species.ANGA.parameter.FYIELD.value = "0.25"</t>
  </si>
  <si>
    <t>species.ANGA.parameter.GDDFOLEND.value = "1100"</t>
  </si>
  <si>
    <t>species.ANGA.parameter.GDDFOLSTART.value = "500"</t>
  </si>
  <si>
    <t>species.ANGA.parameter.GDDWODEND.value = "0"</t>
  </si>
  <si>
    <t>species.ANGA.parameter.GDDWODSTART.value = "0"</t>
  </si>
  <si>
    <t>species.ANGA.parameter.GDD_BASE_TEMPERATURE.value = "0"</t>
  </si>
  <si>
    <t>species.ANGA.parameter.GDD_EMERGENCE.value = "10"</t>
  </si>
  <si>
    <t>species.ANGA.parameter.GDD_FLOWERING.value = "0"</t>
  </si>
  <si>
    <t>species.ANGA.parameter.GDD_GRAIN_FILLING.value = "-1"</t>
  </si>
  <si>
    <t>species.ANGA.parameter.GDD_MATURITY.value = "8000"</t>
  </si>
  <si>
    <t>species.ANGA.parameter.GDD_MAX_TEMPERATURE.value = "40"</t>
  </si>
  <si>
    <t>species.ANGA.parameter.GDD_ROOTS_GROWN.value = "1400"</t>
  </si>
  <si>
    <t>species.ANGA.parameter.GDD_STEM_ELONGATION.value = "0"</t>
  </si>
  <si>
    <t>species.ANGA.parameter.GGDPS_B.value = "0.000437"</t>
  </si>
  <si>
    <t>species.ANGA.parameter.GSMAX.value = "230"</t>
  </si>
  <si>
    <t>species.ANGA.parameter.GSMIN.value = "10.4"</t>
  </si>
  <si>
    <t>species.ANGA.parameter.GZRTZ.value = "0.01"</t>
  </si>
  <si>
    <t>species.ANGA.parameter.H2OREF_A.value = "0.7"</t>
  </si>
  <si>
    <t>species.ANGA.parameter.H2OREF_FLUSHING.value = "0.2"</t>
  </si>
  <si>
    <t>species.ANGA.parameter.H2OREF_GS.value = "0.4"</t>
  </si>
  <si>
    <t>species.ANGA.parameter.H2OREF_LEAF_GROWTH.value = "0"</t>
  </si>
  <si>
    <t>species.ANGA.parameter.H2OREF_SENESCENCE.value = "0.2"</t>
  </si>
  <si>
    <t>species.ANGA.parameter.HALFSAT.value = "200"</t>
  </si>
  <si>
    <t>species.ANGA.parameter.HA_IS.value = "83129"</t>
  </si>
  <si>
    <t>species.ANGA.parameter.HA_MT.value = "83129"</t>
  </si>
  <si>
    <t>species.ANGA.parameter.HDJ.value = "210000"</t>
  </si>
  <si>
    <t>species.ANGA.parameter.HD_EXP.value = "6"</t>
  </si>
  <si>
    <t>species.ANGA.parameter.HD_IS.value = "284600"</t>
  </si>
  <si>
    <t>species.ANGA.parameter.HD_MAX.value = "120"</t>
  </si>
  <si>
    <t>species.ANGA.parameter.HD_MIN.value = "50"</t>
  </si>
  <si>
    <t>species.ANGA.parameter.HD_MT.value = "284600"</t>
  </si>
  <si>
    <t>species.ANGA.parameter.HEIGHT_MAX.value = "4"</t>
  </si>
  <si>
    <t>species.ANGA.parameter.HLEAFCRIT.value = "0"</t>
  </si>
  <si>
    <t>species.ANGA.parameter.HREF.value = "0.2"</t>
  </si>
  <si>
    <t>species.ANGA.parameter.HYPOXIA.value = "0.4"</t>
  </si>
  <si>
    <t>species.ANGA.parameter.INI_N_FIX.value = "0.3333333333"</t>
  </si>
  <si>
    <t>species.ANGA.parameter.KC25.value = "650"</t>
  </si>
  <si>
    <t>species.ANGA.parameter.KCOMPINIT.value = "0"</t>
  </si>
  <si>
    <t>species.ANGA.parameter.KM20.value = "0.5"</t>
  </si>
  <si>
    <t>species.ANGA.parameter.KM_GDPS_DMADP.value = "0"</t>
  </si>
  <si>
    <t>species.ANGA.parameter.KM_GDPS_IDP.value = "0"</t>
  </si>
  <si>
    <t>species.ANGA.parameter.KM_IS.value = "0"</t>
  </si>
  <si>
    <t>species.ANGA.parameter.KM_MT.value = "0"</t>
  </si>
  <si>
    <t>species.ANGA.parameter.KO25.value = "450"</t>
  </si>
  <si>
    <t>species.ANGA.parameter.KRC_WOOD.value = "0.00025"</t>
  </si>
  <si>
    <t>species.ANGA.parameter.KRSCOMP.value = "0"</t>
  </si>
  <si>
    <t>species.ANGA.parameter.KRSINIT.value = "0"</t>
  </si>
  <si>
    <t>species.ANGA.parameter.K_MM_NITROGEN_UPTAKE.value = "0.0002"</t>
  </si>
  <si>
    <t>species.ANGA.parameter.LIGNIN.value = "0.07"</t>
  </si>
  <si>
    <t>species.ANGA.parameter.MAINTENANCE_TEMP_REF.value = "25"</t>
  </si>
  <si>
    <t>species.ANGA.parameter.MC_LEAF.value = "0.03"</t>
  </si>
  <si>
    <t>species.ANGA.parameter.MC_ROOT.value = "0.01"</t>
  </si>
  <si>
    <t>species.ANGA.parameter.MC_STEM.value = "0.015"</t>
  </si>
  <si>
    <t>species.ANGA.parameter.MC_STORAGE.value = "0.001"</t>
  </si>
  <si>
    <t>species.ANGA.parameter.MFOLOPT.value = "0.1"</t>
  </si>
  <si>
    <t>species.ANGA.parameter.MORTCROWD.value = "100000000"</t>
  </si>
  <si>
    <t>species.ANGA.parameter.MORTNORM.value = "0"</t>
  </si>
  <si>
    <t>species.ANGA.parameter.MUE_IS.value = "0.175"</t>
  </si>
  <si>
    <t>species.ANGA.parameter.MUE_MT.value = "0.175"</t>
  </si>
  <si>
    <t>species.ANGA.parameter.MWFM.value = "0.00035"</t>
  </si>
  <si>
    <t>species.ANGA.parameter.MWWM.value = "1e-09"</t>
  </si>
  <si>
    <t>species.ANGA.parameter.M_FRUIT_OPT.value = "0"</t>
  </si>
  <si>
    <t>species.ANGA.parameter.NCFOLOPT.value = "0.0128"</t>
  </si>
  <si>
    <t>species.ANGA.parameter.NCSAPOPT.value = "0"</t>
  </si>
  <si>
    <t>species.ANGA.parameter.NC_FINEROOTS_MAX.value = "0.011"</t>
  </si>
  <si>
    <t>species.ANGA.parameter.NC_FINEROOTS_MIN.value = "0.004"</t>
  </si>
  <si>
    <t>species.ANGA.parameter.NC_FOLIAGE_MAX.value = "0.033"</t>
  </si>
  <si>
    <t>species.ANGA.parameter.NC_FOLIAGE_MIN.value = "0.003"</t>
  </si>
  <si>
    <t>species.ANGA.parameter.NC_FRUIT_MAX.value = "0.015"</t>
  </si>
  <si>
    <t>species.ANGA.parameter.NC_FRUIT_MIN.value = "0.015"</t>
  </si>
  <si>
    <t>species.ANGA.parameter.NC_STRUCTURAL_TISSUE_MAX.value = "0.02"</t>
  </si>
  <si>
    <t>species.ANGA.parameter.NC_STRUCTURAL_TISSUE_MIN.value = "0.02"</t>
  </si>
  <si>
    <t>species.ANGA.parameter.NFIX_CEFF.value = "5"</t>
  </si>
  <si>
    <t>species.ANGA.parameter.NFIX_RATE.value = "0"</t>
  </si>
  <si>
    <t>species.ANGA.parameter.NFIX_TMAX.value = "44"</t>
  </si>
  <si>
    <t>species.ANGA.parameter.NFIX_TMIN.value = "5"</t>
  </si>
  <si>
    <t>species.ANGA.parameter.NFIX_TOPT.value = "35"</t>
  </si>
  <si>
    <t>species.ANGA.parameter.NFIX_W.value = "-6"</t>
  </si>
  <si>
    <t>species.ANGA.parameter.N_DEF_FACTOR.value = "2"</t>
  </si>
  <si>
    <t>species.ANGA.parameter.N_DEMAND_REPROD.value = "5"</t>
  </si>
  <si>
    <t>species.ANGA.parameter.N_DEMAND_VEG.value = "5"</t>
  </si>
  <si>
    <t>species.ANGA.parameter.PA.value = "0"</t>
  </si>
  <si>
    <t>species.ANGA.parameter.PEXS.value = "0.25"</t>
  </si>
  <si>
    <t>species.ANGA.parameter.PFL.value = "1.1"</t>
  </si>
  <si>
    <t>species.ANGA.parameter.PHOTOPERIODISM.value = "0"</t>
  </si>
  <si>
    <t>species.ANGA.parameter.PSI_EXP.value = "5.3"</t>
  </si>
  <si>
    <t>species.ANGA.parameter.PSI_REF.value = "-3.2"</t>
  </si>
  <si>
    <t>species.ANGA.parameter.PSL.value = "0.84"</t>
  </si>
  <si>
    <t>species.ANGA.parameter.PSNTFROST.value = "-30"</t>
  </si>
  <si>
    <t>species.ANGA.parameter.PSNTMAX.value = "55"</t>
  </si>
  <si>
    <t>species.ANGA.parameter.PSNTMIN.value = "12"</t>
  </si>
  <si>
    <t>species.ANGA.parameter.PSNTOPT.value = "40"</t>
  </si>
  <si>
    <t>species.ANGA.parameter.QHRD.value = "1"</t>
  </si>
  <si>
    <t>species.ANGA.parameter.QJVC.value = "6.6"</t>
  </si>
  <si>
    <t>species.ANGA.parameter.QRD25.value = "0.038"</t>
  </si>
  <si>
    <t>species.ANGA.parameter.QRF.value = "1.35"</t>
  </si>
  <si>
    <t>species.ANGA.parameter.QSF_P1.value = "20"</t>
  </si>
  <si>
    <t>species.ANGA.parameter.QSF_P2.value = "0"</t>
  </si>
  <si>
    <t>species.ANGA.parameter.QVOVC.value = "0.21"</t>
  </si>
  <si>
    <t>species.ANGA.parameter.QWODFOLMIN.value = "1.25"</t>
  </si>
  <si>
    <t>species.ANGA.parameter.RBUDDEM.value = "5"</t>
  </si>
  <si>
    <t>species.ANGA.parameter.REDISTRIBUTION_ROOT.value = "0.01"</t>
  </si>
  <si>
    <t>species.ANGA.parameter.RESP.value = "70"</t>
  </si>
  <si>
    <t>species.ANGA.parameter.RESPQ10.value = "2"</t>
  </si>
  <si>
    <t>species.ANGA.parameter.ROOTMRESPFRAC.value = "1"</t>
  </si>
  <si>
    <t>species.ANGA.parameter.RPMIN.value = "6.25"</t>
  </si>
  <si>
    <t>species.ANGA.parameter.RS_CONDUCT.value = "0"</t>
  </si>
  <si>
    <t>species.ANGA.parameter.SCALE_I.value = "1"</t>
  </si>
  <si>
    <t>species.ANGA.parameter.SCALE_M.value = "1"</t>
  </si>
  <si>
    <t>species.ANGA.parameter.SDJ.value = "645"</t>
  </si>
  <si>
    <t>species.ANGA.parameter.SENESCENCE_AGE.value = "0.01"</t>
  </si>
  <si>
    <t>species.ANGA.parameter.SENESCENCE_DROUGHT.value = "0.01"</t>
  </si>
  <si>
    <t>species.ANGA.parameter.SENESCENCE_FROST.value = "0.01"</t>
  </si>
  <si>
    <t>species.ANGA.parameter.SENESCENCE_HEAT.value = "0"</t>
  </si>
  <si>
    <t>species.ANGA.parameter.SENESCENCE_WATER.value = "0"</t>
  </si>
  <si>
    <t>species.ANGA.parameter.SENESCSTART.value = "270"</t>
  </si>
  <si>
    <t>species.ANGA.parameter.SHOOT_STIMULATION_REPROD.value = "0"</t>
  </si>
  <si>
    <t>species.ANGA.parameter.SLADECLINE.value = "0"</t>
  </si>
  <si>
    <t>species.ANGA.parameter.SLAMAX.value = "10.6"</t>
  </si>
  <si>
    <t>species.ANGA.parameter.SLAMIN.value = "10.6"</t>
  </si>
  <si>
    <t>species.ANGA.parameter.SLOPE_GSA.value = "4.1"</t>
  </si>
  <si>
    <t>species.ANGA.parameter.SLOPE_GSCO2.value = "1"</t>
  </si>
  <si>
    <t>species.ANGA.parameter.SLOPE_GSH2O.value = "3.3"</t>
  </si>
  <si>
    <t>species.ANGA.parameter.SLOPE_NC.value = "1"</t>
  </si>
  <si>
    <t>species.ANGA.parameter.SRLMAX.value = "70000"</t>
  </si>
  <si>
    <t>species.ANGA.parameter.SRLMIN.value = "5000"</t>
  </si>
  <si>
    <t>species.ANGA.parameter.TAP_P1.value = "1.75"</t>
  </si>
  <si>
    <t>species.ANGA.parameter.TAP_P2.value = "1.1"</t>
  </si>
  <si>
    <t>species.ANGA.parameter.TAP_P3.value = "-2.75"</t>
  </si>
  <si>
    <t>species.ANGA.parameter.TAU.value = "0.03"</t>
  </si>
  <si>
    <t>species.ANGA.parameter.THETA.value = "0.7"</t>
  </si>
  <si>
    <t>species.ANGA.parameter.TLIMIT.value = "5"</t>
  </si>
  <si>
    <t>species.ANGA.parameter.TMINCRIT.value = "50"</t>
  </si>
  <si>
    <t>species.ANGA.parameter.TOFRTBAS.value = "0.0013"</t>
  </si>
  <si>
    <t>species.ANGA.parameter.TOSAPMAX.value = "0"</t>
  </si>
  <si>
    <t>species.ANGA.parameter.UCMAX.value = "0"</t>
  </si>
  <si>
    <t>species.ANGA.parameter.UGWDF.value = "0"</t>
  </si>
  <si>
    <t>species.ANGA.parameter.US_DON.value = "0"</t>
  </si>
  <si>
    <t>species.ANGA.parameter.US_NH4.value = "0.012"</t>
  </si>
  <si>
    <t>species.ANGA.parameter.US_NH4MYC.value = "0.06"</t>
  </si>
  <si>
    <t>species.ANGA.parameter.US_NO3.value = "0.006"</t>
  </si>
  <si>
    <t>species.ANGA.parameter.US_NO3MYC.value = "0.0075"</t>
  </si>
  <si>
    <t>species.ANGA.parameter.VCFACT.value = "1"</t>
  </si>
  <si>
    <t>species.ANGA.parameter.VCMAX25.value = "23.9"</t>
  </si>
  <si>
    <t>species.ANGA.parameter.VPDREF.value = "3.1"</t>
  </si>
  <si>
    <t>species.ANGA.parameter.WINTERLIMIT.value = "0"</t>
  </si>
  <si>
    <t>species.ANGA.parameter.WOODMRESPA.value = "0.07"</t>
  </si>
  <si>
    <t>species.ANGA.parameter.WUECMAX.value = "5"</t>
  </si>
  <si>
    <t>species.ANGA.parameter.WUECMIN.value = "1"</t>
  </si>
  <si>
    <t>species.ANGA.parameter.ZRTMC.value = "1"</t>
  </si>
  <si>
    <t>species.ANGA.parameter.DLEAFSHED.value = "360"</t>
  </si>
  <si>
    <t>species.ANGA.parameter.NDFLUSH.value = "70"</t>
  </si>
  <si>
    <t>species.ANGA.parameter.NDMORTA.value = "70"</t>
  </si>
  <si>
    <t>species.PECL.mnemonic = "PECL"</t>
  </si>
  <si>
    <t>species.PECL.group = "grass"</t>
  </si>
  <si>
    <t>species.PECL.parent = ":C4:"</t>
  </si>
  <si>
    <t>species.PECL.parameter.C4_TYPE.value = "true"</t>
  </si>
  <si>
    <t>species.PECL.parameter.CONIFEROUS.value = "false"</t>
  </si>
  <si>
    <t>species.PECL.parameter.DECIDUOUS.value = "true"</t>
  </si>
  <si>
    <t>species.PECL.parameter.FREEGROWTH.value = "true"</t>
  </si>
  <si>
    <t>species.PECL.parameter.RATOON.value = "false"</t>
  </si>
  <si>
    <t>species.PECL.parameter.ROOTS_ENVIRONMENTAL.value = "false"</t>
  </si>
  <si>
    <t>species.PECL.parameter.SAVANNA.value = "false"</t>
  </si>
  <si>
    <t>species.PECL.parameter.TUBER.value = "true"</t>
  </si>
  <si>
    <t>species.PECL.parameter.AEIS.value = "0"</t>
  </si>
  <si>
    <t>species.PECL.parameter.AEJM.value = "77900"</t>
  </si>
  <si>
    <t>species.PECL.parameter.AEKC.value = "64200"</t>
  </si>
  <si>
    <t>species.PECL.parameter.AEKO.value = "10500"</t>
  </si>
  <si>
    <t>species.PECL.parameter.AERD.value = "50967"</t>
  </si>
  <si>
    <t>species.PECL.parameter.AEVC.value = "78000"</t>
  </si>
  <si>
    <t>species.PECL.parameter.AEVO.value = "55300"</t>
  </si>
  <si>
    <t>species.PECL.parameter.ALB.value = "0.19"</t>
  </si>
  <si>
    <t>species.PECL.parameter.ALPHA0_IS.value = "0"</t>
  </si>
  <si>
    <t>species.PECL.parameter.ALPHA0_MT.value = "0"</t>
  </si>
  <si>
    <t>species.PECL.parameter.AMAXA.value = "5.3"</t>
  </si>
  <si>
    <t>species.PECL.parameter.AMAXB.value = "21.5"</t>
  </si>
  <si>
    <t>species.PECL.parameter.AMAXFRAC.value = "0.76"</t>
  </si>
  <si>
    <t>species.PECL.parameter.A_EXP.value = "0"</t>
  </si>
  <si>
    <t>species.PECL.parameter.A_REF.value = "-1"</t>
  </si>
  <si>
    <t>species.PECL.parameter.BASEFOLRESPFRAC.value = "0.1"</t>
  </si>
  <si>
    <t>species.PECL.parameter.CB.value = "0.5"</t>
  </si>
  <si>
    <t>species.PECL.parameter.CDAMP.value = "1.5"</t>
  </si>
  <si>
    <t>species.PECL.parameter.CDR_P1.value = "0"</t>
  </si>
  <si>
    <t>species.PECL.parameter.CDR_P2.value = "0"</t>
  </si>
  <si>
    <t>species.PECL.parameter.CDR_P3.value = "0"</t>
  </si>
  <si>
    <t>species.PECL.parameter.CELLULOSE.value = "0.7"</t>
  </si>
  <si>
    <t>species.PECL.parameter.CFCROPT.value = "0"</t>
  </si>
  <si>
    <t>species.PECL.parameter.CHILL_TEMP_MAX.value = "8"</t>
  </si>
  <si>
    <t>species.PECL.parameter.CHILL_UNITS.value = "0"</t>
  </si>
  <si>
    <t>species.PECL.parameter.CL_P1.value = "2.15"</t>
  </si>
  <si>
    <t>species.PECL.parameter.CL_P2.value = "0.9"</t>
  </si>
  <si>
    <t>species.PECL.parameter.CSR_REF.value = "-2"</t>
  </si>
  <si>
    <t>species.PECL.parameter.CT_IS.value = "32.86"</t>
  </si>
  <si>
    <t>species.PECL.parameter.CT_MT.value = "32.86"</t>
  </si>
  <si>
    <t>species.PECL.parameter.CWP_REF.value = "0.01"</t>
  </si>
  <si>
    <t>species.PECL.parameter.DBRANCH.value = "0.2"</t>
  </si>
  <si>
    <t>species.PECL.parameter.DFOL.value = "1"</t>
  </si>
  <si>
    <t>species.PECL.parameter.DFRTOPT.value = "0.1"</t>
  </si>
  <si>
    <t>species.PECL.parameter.DF_EXP.value = "0.4"</t>
  </si>
  <si>
    <t>species.PECL.parameter.DF_LIMIT.value = "5000"</t>
  </si>
  <si>
    <t>species.PECL.parameter.DIAMMAX.value = "0.01"</t>
  </si>
  <si>
    <t>species.PECL.parameter.DOC_RESP_RATIO.value = "0.5"</t>
  </si>
  <si>
    <t>species.PECL.parameter.DRAGC.value = "0.03"</t>
  </si>
  <si>
    <t>species.PECL.parameter.DSAP.value = "0.45"</t>
  </si>
  <si>
    <t>species.PECL.parameter.DS_IS.value = "887.5"</t>
  </si>
  <si>
    <t>species.PECL.parameter.DS_MT.value = "887.5"</t>
  </si>
  <si>
    <t>species.PECL.parameter.DVPD1.value = "0.05"</t>
  </si>
  <si>
    <t>species.PECL.parameter.DVPD2.value = "2"</t>
  </si>
  <si>
    <t>species.PECL.parameter.EF_ISO.value = "0"</t>
  </si>
  <si>
    <t>species.PECL.parameter.EF_MONO.value = "0"</t>
  </si>
  <si>
    <t>species.PECL.parameter.EF_MONOS.value = "0"</t>
  </si>
  <si>
    <t>species.PECL.parameter.EF_OVOC.value = "1.5"</t>
  </si>
  <si>
    <t>species.PECL.parameter.EXPL_NH4.value = "0.01"</t>
  </si>
  <si>
    <t>species.PECL.parameter.EXPL_NO3.value = "0.01"</t>
  </si>
  <si>
    <t>species.PECL.parameter.EXP_ROOT_DISTRIBUTION.value = "0"</t>
  </si>
  <si>
    <t>species.PECL.parameter.EXT.value = "0.5"</t>
  </si>
  <si>
    <t>species.PECL.parameter.FAGE.value = "1"</t>
  </si>
  <si>
    <t>species.PECL.parameter.FBRAF_M.value = "0"</t>
  </si>
  <si>
    <t>species.PECL.parameter.FBRAF_Y.value = "0"</t>
  </si>
  <si>
    <t>species.PECL.parameter.FFACMAX.value = "0.5"</t>
  </si>
  <si>
    <t>species.PECL.parameter.FIRE_BARKA.value = "0.0347"</t>
  </si>
  <si>
    <t>species.PECL.parameter.FIRE_BARKB.value = "0.1086"</t>
  </si>
  <si>
    <t>species.PECL.parameter.FIRE_DENSFUEL.value = "2"</t>
  </si>
  <si>
    <t>species.PECL.parameter.FIRE_EM_CH4.value = "4.8"</t>
  </si>
  <si>
    <t>species.PECL.parameter.FIRE_EM_CO2.value = "1568"</t>
  </si>
  <si>
    <t>species.PECL.parameter.FIRE_EM_CO.value = "106"</t>
  </si>
  <si>
    <t>species.PECL.parameter.FIRE_EM_N2.value = "1.6"</t>
  </si>
  <si>
    <t>species.PECL.parameter.FIRE_EM_N2O.value = "1.6"</t>
  </si>
  <si>
    <t>species.PECL.parameter.FIRE_EM_NOX.value = "3.24"</t>
  </si>
  <si>
    <t>species.PECL.parameter.FIRE_EM_TPM.value = "17.6"</t>
  </si>
  <si>
    <t>species.PECL.parameter.FIRE_EM_VOC.value = "5.7"</t>
  </si>
  <si>
    <t>species.PECL.parameter.FIRE_FIRERESIST.value = "0.1"</t>
  </si>
  <si>
    <t>species.PECL.parameter.FIRE_FLAME.value = "0.094"</t>
  </si>
  <si>
    <t>species.PECL.parameter.FIRE_P.value = "3"</t>
  </si>
  <si>
    <t>species.PECL.parameter.FIRE_RCK.value = "0.95"</t>
  </si>
  <si>
    <t>species.PECL.parameter.FOLRELGROMAX.value = "0.1"</t>
  </si>
  <si>
    <t>species.PECL.parameter.FRACTION_FOLIAGE.value = "0.225"</t>
  </si>
  <si>
    <t>species.PECL.parameter.FRACTION_FRUIT.value = "0.05"</t>
  </si>
  <si>
    <t>species.PECL.parameter.FRACTION_ROOT.value = "0.2"</t>
  </si>
  <si>
    <t>species.PECL.parameter.FRET_N.value = "0.8"</t>
  </si>
  <si>
    <t>species.PECL.parameter.FROSTA.value = "0"</t>
  </si>
  <si>
    <t>species.PECL.parameter.FROSTB.value = "0"</t>
  </si>
  <si>
    <t>species.PECL.parameter.FRTALLOC_BASE.value = "0"</t>
  </si>
  <si>
    <t>species.PECL.parameter.FRTALLOC_REL.value = "2"</t>
  </si>
  <si>
    <t>species.PECL.parameter.FRTLOSS_SCALE.value = "4"</t>
  </si>
  <si>
    <t>species.PECL.parameter.FRTMASSINIT.value = "50"</t>
  </si>
  <si>
    <t>species.PECL.parameter.FYIELD.value = "0.25"</t>
  </si>
  <si>
    <t>species.PECL.parameter.GDDFOLEND.value = "1100"</t>
  </si>
  <si>
    <t>species.PECL.parameter.GDDFOLSTART.value = "150"</t>
  </si>
  <si>
    <t>species.PECL.parameter.GDDWODEND.value = "0"</t>
  </si>
  <si>
    <t>species.PECL.parameter.GDDWODSTART.value = "0"</t>
  </si>
  <si>
    <t>species.PECL.parameter.GDD_BASE_TEMPERATURE.value = "0"</t>
  </si>
  <si>
    <t>species.PECL.parameter.GDD_EMERGENCE.value = "10"</t>
  </si>
  <si>
    <t>species.PECL.parameter.GDD_FLOWERING.value = "0"</t>
  </si>
  <si>
    <t>species.PECL.parameter.GDD_GRAIN_FILLING.value = "-1"</t>
  </si>
  <si>
    <t>species.PECL.parameter.GDD_MATURITY.value = "8000"</t>
  </si>
  <si>
    <t>species.PECL.parameter.GDD_MAX_TEMPERATURE.value = "40"</t>
  </si>
  <si>
    <t>species.PECL.parameter.GDD_ROOTS_GROWN.value = "1400"</t>
  </si>
  <si>
    <t>species.PECL.parameter.GDD_STEM_ELONGATION.value = "0"</t>
  </si>
  <si>
    <t>species.PECL.parameter.GGDPS_B.value = "0.000437"</t>
  </si>
  <si>
    <t>species.PECL.parameter.GSMAX.value = "273"</t>
  </si>
  <si>
    <t>species.PECL.parameter.GSMIN.value = "10.4"</t>
  </si>
  <si>
    <t>species.PECL.parameter.GZRTZ.value = "0.01"</t>
  </si>
  <si>
    <t>species.PECL.parameter.H2OREF_A.value = "0.7"</t>
  </si>
  <si>
    <t>species.PECL.parameter.H2OREF_FLUSHING.value = "0"</t>
  </si>
  <si>
    <t>species.PECL.parameter.H2OREF_GS.value = "0.33"</t>
  </si>
  <si>
    <t>species.PECL.parameter.H2OREF_LEAF_GROWTH.value = "0"</t>
  </si>
  <si>
    <t>species.PECL.parameter.H2OREF_SENESCENCE.value = "0"</t>
  </si>
  <si>
    <t>species.PECL.parameter.HALFSAT.value = "200"</t>
  </si>
  <si>
    <t>species.PECL.parameter.HA_IS.value = "83129"</t>
  </si>
  <si>
    <t>species.PECL.parameter.HA_MT.value = "83129"</t>
  </si>
  <si>
    <t>species.PECL.parameter.HDJ.value = "210000"</t>
  </si>
  <si>
    <t>species.PECL.parameter.HD_EXP.value = "6"</t>
  </si>
  <si>
    <t>species.PECL.parameter.HD_IS.value = "284600"</t>
  </si>
  <si>
    <t>species.PECL.parameter.HD_MAX.value = "120"</t>
  </si>
  <si>
    <t>species.PECL.parameter.HD_MIN.value = "50"</t>
  </si>
  <si>
    <t>species.PECL.parameter.HD_MT.value = "284600"</t>
  </si>
  <si>
    <t>species.PECL.parameter.HEIGHT_MAX.value = "2"</t>
  </si>
  <si>
    <t>species.PECL.parameter.HLEAFCRIT.value = "0"</t>
  </si>
  <si>
    <t>species.PECL.parameter.HREF.value = "0.2"</t>
  </si>
  <si>
    <t>species.PECL.parameter.HYPOXIA.value = "0.4"</t>
  </si>
  <si>
    <t>species.PECL.parameter.INI_N_FIX.value = "0"</t>
  </si>
  <si>
    <t>species.PECL.parameter.KC25.value = "650"</t>
  </si>
  <si>
    <t>species.PECL.parameter.KCOMPINIT.value = "0"</t>
  </si>
  <si>
    <t>species.PECL.parameter.KM20.value = "0.1"</t>
  </si>
  <si>
    <t>species.PECL.parameter.KM_GDPS_DMADP.value = "0"</t>
  </si>
  <si>
    <t>species.PECL.parameter.KM_GDPS_IDP.value = "0"</t>
  </si>
  <si>
    <t>species.PECL.parameter.KM_IS.value = "0"</t>
  </si>
  <si>
    <t>species.PECL.parameter.KM_MT.value = "0"</t>
  </si>
  <si>
    <t>species.PECL.parameter.KO25.value = "450"</t>
  </si>
  <si>
    <t>species.PECL.parameter.KRC_WOOD.value = "0.00025"</t>
  </si>
  <si>
    <t>species.PECL.parameter.KRSCOMP.value = "0"</t>
  </si>
  <si>
    <t>species.PECL.parameter.KRSINIT.value = "0"</t>
  </si>
  <si>
    <t>species.PECL.parameter.K_MM_NITROGEN_UPTAKE.value = "0.0002"</t>
  </si>
  <si>
    <t>species.PECL.parameter.LIGNIN.value = "0.07"</t>
  </si>
  <si>
    <t>species.PECL.parameter.MAINTENANCE_TEMP_REF.value = "25"</t>
  </si>
  <si>
    <t>species.PECL.parameter.MC_LEAF.value = "0.03"</t>
  </si>
  <si>
    <t>species.PECL.parameter.MC_ROOT.value = "0.01"</t>
  </si>
  <si>
    <t>species.PECL.parameter.MC_STEM.value = "0.015"</t>
  </si>
  <si>
    <t>species.PECL.parameter.MC_STORAGE.value = "0.001"</t>
  </si>
  <si>
    <t>species.PECL.parameter.MFOLOPT.value = "0.25"</t>
  </si>
  <si>
    <t>species.PECL.parameter.MORTCROWD.value = "100000000"</t>
  </si>
  <si>
    <t>species.PECL.parameter.MORTNORM.value = "0"</t>
  </si>
  <si>
    <t>species.PECL.parameter.MUE_IS.value = "0.175"</t>
  </si>
  <si>
    <t>species.PECL.parameter.MUE_MT.value = "0.175"</t>
  </si>
  <si>
    <t>species.PECL.parameter.MWFM.value = "0.00035"</t>
  </si>
  <si>
    <t>species.PECL.parameter.MWWM.value = "1e-09"</t>
  </si>
  <si>
    <t>species.PECL.parameter.M_FRUIT_OPT.value = "0"</t>
  </si>
  <si>
    <t>species.PECL.parameter.NCFOLOPT.value = "0.0134"</t>
  </si>
  <si>
    <t>species.PECL.parameter.NCSAPOPT.value = "0"</t>
  </si>
  <si>
    <t>species.PECL.parameter.NC_FINEROOTS_MAX.value = "0.0175"</t>
  </si>
  <si>
    <t>species.PECL.parameter.NC_FINEROOTS_MIN.value = "0.005"</t>
  </si>
  <si>
    <t>species.PECL.parameter.NC_FOLIAGE_MAX.value = "0.026"</t>
  </si>
  <si>
    <t>species.PECL.parameter.NC_FOLIAGE_MIN.value = "0.018"</t>
  </si>
  <si>
    <t>species.PECL.parameter.NC_FRUIT_MAX.value = "0.015"</t>
  </si>
  <si>
    <t>species.PECL.parameter.NC_FRUIT_MIN.value = "0.015"</t>
  </si>
  <si>
    <t>species.PECL.parameter.NC_STRUCTURAL_TISSUE_MAX.value = "0.02"</t>
  </si>
  <si>
    <t>species.PECL.parameter.NC_STRUCTURAL_TISSUE_MIN.value = "0.02"</t>
  </si>
  <si>
    <t>species.PECL.parameter.NFIX_CEFF.value = "5"</t>
  </si>
  <si>
    <t>species.PECL.parameter.NFIX_RATE.value = "0"</t>
  </si>
  <si>
    <t>species.PECL.parameter.NFIX_TMAX.value = "44"</t>
  </si>
  <si>
    <t>species.PECL.parameter.NFIX_TMIN.value = "5"</t>
  </si>
  <si>
    <t>species.PECL.parameter.NFIX_TOPT.value = "35"</t>
  </si>
  <si>
    <t>species.PECL.parameter.NFIX_W.value = "-6"</t>
  </si>
  <si>
    <t>species.PECL.parameter.N_DEF_FACTOR.value = "2"</t>
  </si>
  <si>
    <t>species.PECL.parameter.N_DEMAND_REPROD.value = "5"</t>
  </si>
  <si>
    <t>species.PECL.parameter.N_DEMAND_VEG.value = "5"</t>
  </si>
  <si>
    <t>species.PECL.parameter.PA.value = "0"</t>
  </si>
  <si>
    <t>species.PECL.parameter.PEXS.value = "0.25"</t>
  </si>
  <si>
    <t>species.PECL.parameter.PFL.value = "1.1"</t>
  </si>
  <si>
    <t>species.PECL.parameter.PHOTOPERIODISM.value = "0"</t>
  </si>
  <si>
    <t>species.PECL.parameter.PSI_EXP.value = "5.3"</t>
  </si>
  <si>
    <t>species.PECL.parameter.PSI_REF.value = "-3.2"</t>
  </si>
  <si>
    <t>species.PECL.parameter.PSL.value = "0.84"</t>
  </si>
  <si>
    <t>species.PECL.parameter.PSNTFROST.value = "-30"</t>
  </si>
  <si>
    <t>species.PECL.parameter.PSNTMAX.value = "53"</t>
  </si>
  <si>
    <t>species.PECL.parameter.PSNTMIN.value = "10"</t>
  </si>
  <si>
    <t>species.PECL.parameter.PSNTOPT.value = "35"</t>
  </si>
  <si>
    <t>species.PECL.parameter.QHRD.value = "0.44"</t>
  </si>
  <si>
    <t>species.PECL.parameter.QJVC.value = "3.36"</t>
  </si>
  <si>
    <t>species.PECL.parameter.QRD25.value = "0.02"</t>
  </si>
  <si>
    <t>species.PECL.parameter.QRF.value = "0.17"</t>
  </si>
  <si>
    <t>species.PECL.parameter.QSF_P1.value = "20"</t>
  </si>
  <si>
    <t>species.PECL.parameter.QSF_P2.value = "0"</t>
  </si>
  <si>
    <t>species.PECL.parameter.QVOVC.value = "0.21"</t>
  </si>
  <si>
    <t>species.PECL.parameter.QWODFOLMIN.value = "1.25"</t>
  </si>
  <si>
    <t>species.PECL.parameter.RBUDDEM.value = "5"</t>
  </si>
  <si>
    <t>species.PECL.parameter.REDISTRIBUTION_ROOT.value = "0.01"</t>
  </si>
  <si>
    <t>species.PECL.parameter.RESP.value = "70"</t>
  </si>
  <si>
    <t>species.PECL.parameter.RESPQ10.value = "2"</t>
  </si>
  <si>
    <t>species.PECL.parameter.ROOTMRESPFRAC.value = "1"</t>
  </si>
  <si>
    <t>species.PECL.parameter.RPMIN.value = "6.25"</t>
  </si>
  <si>
    <t>species.PECL.parameter.RS_CONDUCT.value = "0"</t>
  </si>
  <si>
    <t>species.PECL.parameter.SCALE_I.value = "1"</t>
  </si>
  <si>
    <t>species.PECL.parameter.SCALE_M.value = "1"</t>
  </si>
  <si>
    <t>species.PECL.parameter.SDJ.value = "645"</t>
  </si>
  <si>
    <t>species.PECL.parameter.SENESCENCE_AGE.value = "0.01"</t>
  </si>
  <si>
    <t>species.PECL.parameter.SENESCENCE_DROUGHT.value = "0.01"</t>
  </si>
  <si>
    <t>species.PECL.parameter.SENESCENCE_FROST.value = "0.01"</t>
  </si>
  <si>
    <t>species.PECL.parameter.SENESCENCE_HEAT.value = "0"</t>
  </si>
  <si>
    <t>species.PECL.parameter.SENESCENCE_WATER.value = "0"</t>
  </si>
  <si>
    <t>species.PECL.parameter.SENESCSTART.value = "270"</t>
  </si>
  <si>
    <t>species.PECL.parameter.SHOOT_STIMULATION_REPROD.value = "0"</t>
  </si>
  <si>
    <t>species.PECL.parameter.SLADECLINE.value = "0"</t>
  </si>
  <si>
    <t>species.PECL.parameter.SLAMAX.value = "35"</t>
  </si>
  <si>
    <t>species.PECL.parameter.SLAMIN.value = "35"</t>
  </si>
  <si>
    <t>species.PECL.parameter.SLOPE_GSA.value = "4"</t>
  </si>
  <si>
    <t>species.PECL.parameter.SLOPE_GSCO2.value = "1"</t>
  </si>
  <si>
    <t>species.PECL.parameter.SLOPE_GSH2O.value = "3.3"</t>
  </si>
  <si>
    <t>species.PECL.parameter.SLOPE_NC.value = "1"</t>
  </si>
  <si>
    <t>species.PECL.parameter.SRLMAX.value = "70000"</t>
  </si>
  <si>
    <t>species.PECL.parameter.SRLMIN.value = "5000"</t>
  </si>
  <si>
    <t>species.PECL.parameter.TAP_P1.value = "1.75"</t>
  </si>
  <si>
    <t>species.PECL.parameter.TAP_P2.value = "1.1"</t>
  </si>
  <si>
    <t>species.PECL.parameter.TAP_P3.value = "-2.75"</t>
  </si>
  <si>
    <t>species.PECL.parameter.TAU.value = "0.03"</t>
  </si>
  <si>
    <t>species.PECL.parameter.THETA.value = "0.7"</t>
  </si>
  <si>
    <t>species.PECL.parameter.TLIMIT.value = "5"</t>
  </si>
  <si>
    <t>species.PECL.parameter.TMINCRIT.value = "50"</t>
  </si>
  <si>
    <t>species.PECL.parameter.TOFRTBAS.value = "0.0013"</t>
  </si>
  <si>
    <t>species.PECL.parameter.TOSAPMAX.value = "0"</t>
  </si>
  <si>
    <t>species.PECL.parameter.UCMAX.value = "0"</t>
  </si>
  <si>
    <t>species.PECL.parameter.UGWDF.value = "0"</t>
  </si>
  <si>
    <t>species.PECL.parameter.US_DON.value = "0"</t>
  </si>
  <si>
    <t>species.PECL.parameter.US_NH4.value = "0.012"</t>
  </si>
  <si>
    <t>species.PECL.parameter.US_NH4MYC.value = "0.06"</t>
  </si>
  <si>
    <t>species.PECL.parameter.US_NO3.value = "0.006"</t>
  </si>
  <si>
    <t>species.PECL.parameter.US_NO3MYC.value = "0.0075"</t>
  </si>
  <si>
    <t>species.PECL.parameter.VCFACT.value = "1"</t>
  </si>
  <si>
    <t>species.PECL.parameter.VCMAX25.value = "25"</t>
  </si>
  <si>
    <t>species.PECL.parameter.VPDREF.value = "3.1"</t>
  </si>
  <si>
    <t>species.PECL.parameter.WINTERLIMIT.value = "0"</t>
  </si>
  <si>
    <t>species.PECL.parameter.WOODMRESPA.value = "0.07"</t>
  </si>
  <si>
    <t>species.PECL.parameter.WUECMAX.value = "6.7"</t>
  </si>
  <si>
    <t>species.PECL.parameter.WUECMIN.value = "5.1"</t>
  </si>
  <si>
    <t>species.PECL.parameter.ZRTMC.value = "1"</t>
  </si>
  <si>
    <t>species.PECL.parameter.DLEAFSHED.value = "300"</t>
  </si>
  <si>
    <t>species.PECL.parameter.NDFLUSH.value = "40"</t>
  </si>
  <si>
    <t>species.PECL.parameter.NDMORTA.value = "40"</t>
  </si>
  <si>
    <t>CO2 dynamics</t>
  </si>
  <si>
    <t>AEJM</t>
  </si>
  <si>
    <t>AEKC</t>
  </si>
  <si>
    <t>grazing periodicity parameter</t>
  </si>
  <si>
    <t>months per year</t>
  </si>
  <si>
    <t>density during grazing</t>
  </si>
  <si>
    <t>hours per day</t>
  </si>
  <si>
    <t>reverse calculation</t>
  </si>
  <si>
    <t>Ferralsol 48</t>
  </si>
  <si>
    <t>Ferralsol 11 - sandy ferralsol</t>
  </si>
  <si>
    <t>sandy ferralso</t>
  </si>
  <si>
    <t>clayey Ferralsol</t>
  </si>
  <si>
    <t>very clayey Ferralsol</t>
  </si>
  <si>
    <t>moderately clayey Ferralsol</t>
  </si>
  <si>
    <t>extremely clayey ferralsol</t>
  </si>
  <si>
    <t>lists BD</t>
  </si>
  <si>
    <t>GDD_BASE_TEMPERATURE</t>
  </si>
  <si>
    <t>mean crown area</t>
  </si>
  <si>
    <t>canopy cover</t>
  </si>
  <si>
    <t>tree density</t>
  </si>
  <si>
    <t>mean crown area Acacia</t>
  </si>
  <si>
    <t>mean crown area Burkea</t>
  </si>
  <si>
    <t>Vertisols</t>
  </si>
  <si>
    <t>species.CEBI.mnemonic = "CEBI"</t>
  </si>
  <si>
    <t>species.CEBI.group = "grass"</t>
  </si>
  <si>
    <t>species.CEBI.parent = ":C4:"</t>
  </si>
  <si>
    <t>species.CEBI.parameter.C4_TYPE.value = "true"</t>
  </si>
  <si>
    <t>species.CEBI.parameter.CONIFEROUS.value = "false"</t>
  </si>
  <si>
    <t>species.CEBI.parameter.DECIDUOUS.value = "true"</t>
  </si>
  <si>
    <t>species.CEBI.parameter.FREEGROWTH.value = "true"</t>
  </si>
  <si>
    <t>species.CEBI.parameter.RATOON.value = "false"</t>
  </si>
  <si>
    <t>species.CEBI.parameter.ROOTS_ENVIRONMENTAL.value = "false"</t>
  </si>
  <si>
    <t>species.CEBI.parameter.SAVANNA.value = "true"</t>
  </si>
  <si>
    <t>species.CEBI.parameter.TUBER.value = "true"</t>
  </si>
  <si>
    <t>species.CEBI.parameter.AEIS.value = "0"</t>
  </si>
  <si>
    <t>species.CEBI.parameter.AEJM.value = "77900"</t>
  </si>
  <si>
    <t>species.CEBI.parameter.AEKC.value = "64200"</t>
  </si>
  <si>
    <t>species.CEBI.parameter.AEKO.value = "10500"</t>
  </si>
  <si>
    <t>species.CEBI.parameter.AERD.value = "50967"</t>
  </si>
  <si>
    <t>species.CEBI.parameter.AEVC.value = "78000"</t>
  </si>
  <si>
    <t>species.CEBI.parameter.AEVO.value = "55300"</t>
  </si>
  <si>
    <t>species.CEBI.parameter.ALB.value = "0.2"</t>
  </si>
  <si>
    <t>species.CEBI.parameter.ALPHA0_IS.value = "0"</t>
  </si>
  <si>
    <t>species.CEBI.parameter.ALPHA0_MT.value = "0"</t>
  </si>
  <si>
    <t>species.CEBI.parameter.AMAXA.value = "5.3"</t>
  </si>
  <si>
    <t>species.CEBI.parameter.AMAXB.value = "21.5"</t>
  </si>
  <si>
    <t>species.CEBI.parameter.AMAXFRAC.value = "0.76"</t>
  </si>
  <si>
    <t>species.CEBI.parameter.A_EXP.value = "0"</t>
  </si>
  <si>
    <t>species.CEBI.parameter.A_REF.value = "-1"</t>
  </si>
  <si>
    <t>species.CEBI.parameter.BASEFOLRESPFRAC.value = "0.1"</t>
  </si>
  <si>
    <t>species.CEBI.parameter.CB.value = "0.5"</t>
  </si>
  <si>
    <t>species.CEBI.parameter.CDAMP.value = "1.5"</t>
  </si>
  <si>
    <t>species.CEBI.parameter.CDR_P1.value = "0"</t>
  </si>
  <si>
    <t>species.CEBI.parameter.CDR_P2.value = "0"</t>
  </si>
  <si>
    <t>species.CEBI.parameter.CDR_P3.value = "0"</t>
  </si>
  <si>
    <t>species.CEBI.parameter.CELLULOSE.value = "0.7"</t>
  </si>
  <si>
    <t>species.CEBI.parameter.CFCROPT.value = "0"</t>
  </si>
  <si>
    <t>species.CEBI.parameter.CHILL_TEMP_MAX.value = "8"</t>
  </si>
  <si>
    <t>species.CEBI.parameter.CHILL_UNITS.value = "0"</t>
  </si>
  <si>
    <t>species.CEBI.parameter.CL_P1.value = "2.15"</t>
  </si>
  <si>
    <t>species.CEBI.parameter.CL_P2.value = "0.9"</t>
  </si>
  <si>
    <t>species.CEBI.parameter.CSR_REF.value = "-2"</t>
  </si>
  <si>
    <t>species.CEBI.parameter.CT_IS.value = "32.86"</t>
  </si>
  <si>
    <t>species.CEBI.parameter.CT_MT.value = "32.86"</t>
  </si>
  <si>
    <t>species.CEBI.parameter.CWP_REF.value = "0.01"</t>
  </si>
  <si>
    <t>species.CEBI.parameter.DBRANCH.value = "0.2"</t>
  </si>
  <si>
    <t>species.CEBI.parameter.DFOL.value = "1"</t>
  </si>
  <si>
    <t>species.CEBI.parameter.DFRTOPT.value = "0.1"</t>
  </si>
  <si>
    <t>species.CEBI.parameter.DF_EXP.value = "0.4"</t>
  </si>
  <si>
    <t>species.CEBI.parameter.DF_LIMIT.value = "5000"</t>
  </si>
  <si>
    <t>species.CEBI.parameter.DIAMMAX.value = "0.01"</t>
  </si>
  <si>
    <t>species.CEBI.parameter.DOC_RESP_RATIO.value = "0.5"</t>
  </si>
  <si>
    <t>species.CEBI.parameter.DRAGC.value = "0.03"</t>
  </si>
  <si>
    <t>species.CEBI.parameter.DSAP.value = "0.45"</t>
  </si>
  <si>
    <t>species.CEBI.parameter.DS_IS.value = "887.5"</t>
  </si>
  <si>
    <t>species.CEBI.parameter.DS_MT.value = "887.5"</t>
  </si>
  <si>
    <t>species.CEBI.parameter.DVPD1.value = "0.05"</t>
  </si>
  <si>
    <t>species.CEBI.parameter.DVPD2.value = "2"</t>
  </si>
  <si>
    <t>species.CEBI.parameter.EF_ISO.value = "0"</t>
  </si>
  <si>
    <t>species.CEBI.parameter.EF_MONO.value = "0"</t>
  </si>
  <si>
    <t>species.CEBI.parameter.EF_MONOS.value = "0"</t>
  </si>
  <si>
    <t>species.CEBI.parameter.EF_OVOC.value = "1.5"</t>
  </si>
  <si>
    <t>species.CEBI.parameter.EXPL_NH4.value = "0.01"</t>
  </si>
  <si>
    <t>species.CEBI.parameter.EXPL_NO3.value = "0.01"</t>
  </si>
  <si>
    <t>species.CEBI.parameter.EXP_ROOT_DISTRIBUTION.value = "0"</t>
  </si>
  <si>
    <t>species.CEBI.parameter.EXT.value = "0.5"</t>
  </si>
  <si>
    <t>species.CEBI.parameter.FAGE.value = "1"</t>
  </si>
  <si>
    <t>species.CEBI.parameter.FBRAF_M.value = "0"</t>
  </si>
  <si>
    <t>species.CEBI.parameter.FBRAF_Y.value = "0"</t>
  </si>
  <si>
    <t>species.CEBI.parameter.FFACMAX.value = "0.5"</t>
  </si>
  <si>
    <t>species.CEBI.parameter.FIRE_BARKA.value = "0.0347"</t>
  </si>
  <si>
    <t>species.CEBI.parameter.FIRE_BARKB.value = "0.1086"</t>
  </si>
  <si>
    <t>species.CEBI.parameter.FIRE_DENSFUEL.value = "2"</t>
  </si>
  <si>
    <t>species.CEBI.parameter.FIRE_EM_CH4.value = "1.94"</t>
  </si>
  <si>
    <t>species.CEBI.parameter.FIRE_EM_CO2.value = "1686"</t>
  </si>
  <si>
    <t>species.CEBI.parameter.FIRE_EM_CO.value = "63"</t>
  </si>
  <si>
    <t>species.CEBI.parameter.FIRE_EM_N2.value = "1.6"</t>
  </si>
  <si>
    <t>species.CEBI.parameter.FIRE_EM_N2O.value = "0"</t>
  </si>
  <si>
    <t>species.CEBI.parameter.FIRE_EM_NOX.value = "3.9"</t>
  </si>
  <si>
    <t>species.CEBI.parameter.FIRE_EM_TPM.value = "0"</t>
  </si>
  <si>
    <t>species.CEBI.parameter.FIRE_EM_VOC.value = "0.039"</t>
  </si>
  <si>
    <t>species.CEBI.parameter.FIRE_FIRERESIST.value = "0.1"</t>
  </si>
  <si>
    <t>species.CEBI.parameter.FIRE_FLAME.value = "0.094"</t>
  </si>
  <si>
    <t>species.CEBI.parameter.FIRE_P.value = "3"</t>
  </si>
  <si>
    <t>species.CEBI.parameter.FIRE_RCK.value = "0.95"</t>
  </si>
  <si>
    <t>species.CEBI.parameter.FOLRELGROMAX.value = "0.1"</t>
  </si>
  <si>
    <t>species.CEBI.parameter.FRACTION_FOLIAGE.value = "0.6"</t>
  </si>
  <si>
    <t>species.CEBI.parameter.FRACTION_FRUIT.value = "0.1"</t>
  </si>
  <si>
    <t>species.CEBI.parameter.FRACTION_ROOT.value = "0.24"</t>
  </si>
  <si>
    <t>species.CEBI.parameter.FRET_N.value = "0.47"</t>
  </si>
  <si>
    <t>species.CEBI.parameter.FROSTA.value = "0"</t>
  </si>
  <si>
    <t>species.CEBI.parameter.FROSTB.value = "0"</t>
  </si>
  <si>
    <t>species.CEBI.parameter.FRTALLOC_BASE.value = "0"</t>
  </si>
  <si>
    <t>species.CEBI.parameter.FRTALLOC_REL.value = "2"</t>
  </si>
  <si>
    <t>species.CEBI.parameter.FRTLOSS_SCALE.value = "4"</t>
  </si>
  <si>
    <t>species.CEBI.parameter.FRTMASSINIT.value = "50"</t>
  </si>
  <si>
    <t>species.CEBI.parameter.FYIELD.value = "0.25"</t>
  </si>
  <si>
    <t>species.CEBI.parameter.GDDFOLEND.value = "1100"</t>
  </si>
  <si>
    <t>species.CEBI.parameter.GDDFOLSTART.value = "1000"</t>
  </si>
  <si>
    <t>species.CEBI.parameter.GDDWODEND.value = "0"</t>
  </si>
  <si>
    <t>species.CEBI.parameter.GDDWODSTART.value = "0"</t>
  </si>
  <si>
    <t>species.CEBI.parameter.GDD_BASE_TEMPERATURE.value = "0"</t>
  </si>
  <si>
    <t>species.CEBI.parameter.GDD_EMERGENCE.value = "10"</t>
  </si>
  <si>
    <t>species.CEBI.parameter.GDD_FLOWERING.value = "0"</t>
  </si>
  <si>
    <t>species.CEBI.parameter.GDD_GRAIN_FILLING.value = "-1"</t>
  </si>
  <si>
    <t>species.CEBI.parameter.GDD_MATURITY.value = "8000"</t>
  </si>
  <si>
    <t>species.CEBI.parameter.GDD_MAX_TEMPERATURE.value = "40"</t>
  </si>
  <si>
    <t>species.CEBI.parameter.GDD_ROOTS_GROWN.value = "1400"</t>
  </si>
  <si>
    <t>species.CEBI.parameter.GDD_STEM_ELONGATION.value = "0"</t>
  </si>
  <si>
    <t>species.CEBI.parameter.GGDPS_B.value = "0.000437"</t>
  </si>
  <si>
    <t>species.CEBI.parameter.GSMAX.value = "230"</t>
  </si>
  <si>
    <t>species.CEBI.parameter.GSMIN.value = "10.4"</t>
  </si>
  <si>
    <t>species.CEBI.parameter.GZRTZ.value = "0.01"</t>
  </si>
  <si>
    <t>species.CEBI.parameter.H2OREF_A.value = "0.7"</t>
  </si>
  <si>
    <t>species.CEBI.parameter.H2OREF_FLUSHING.value = "0.13"</t>
  </si>
  <si>
    <t>species.CEBI.parameter.H2OREF_GS.value = "0.4"</t>
  </si>
  <si>
    <t>species.CEBI.parameter.H2OREF_LEAF_GROWTH.value = "0"</t>
  </si>
  <si>
    <t>species.CEBI.parameter.H2OREF_SENESCENCE.value = "0.3"</t>
  </si>
  <si>
    <t>species.CEBI.parameter.HALFSAT.value = "200"</t>
  </si>
  <si>
    <t>species.CEBI.parameter.HA_IS.value = "83129"</t>
  </si>
  <si>
    <t>species.CEBI.parameter.HA_MT.value = "83129"</t>
  </si>
  <si>
    <t>species.CEBI.parameter.HDJ.value = "210000"</t>
  </si>
  <si>
    <t>species.CEBI.parameter.HD_EXP.value = "6"</t>
  </si>
  <si>
    <t>species.CEBI.parameter.HD_IS.value = "284600"</t>
  </si>
  <si>
    <t>species.CEBI.parameter.HD_MAX.value = "120"</t>
  </si>
  <si>
    <t>species.CEBI.parameter.HD_MIN.value = "50"</t>
  </si>
  <si>
    <t>species.CEBI.parameter.HD_MT.value = "284600"</t>
  </si>
  <si>
    <t>species.CEBI.parameter.HEIGHT_MAX.value = "1"</t>
  </si>
  <si>
    <t>species.CEBI.parameter.HLEAFCRIT.value = "0"</t>
  </si>
  <si>
    <t>species.CEBI.parameter.HREF.value = "0.2"</t>
  </si>
  <si>
    <t>species.CEBI.parameter.HYPOXIA.value = "0.4"</t>
  </si>
  <si>
    <t>species.CEBI.parameter.INI_N_FIX.value = "0.3333333333"</t>
  </si>
  <si>
    <t>species.CEBI.parameter.KC25.value = "650"</t>
  </si>
  <si>
    <t>species.CEBI.parameter.KCOMPINIT.value = "0"</t>
  </si>
  <si>
    <t>species.CEBI.parameter.KM20.value = "0.1"</t>
  </si>
  <si>
    <t>species.CEBI.parameter.KM_GDPS_DMADP.value = "0"</t>
  </si>
  <si>
    <t>species.CEBI.parameter.KM_GDPS_IDP.value = "0"</t>
  </si>
  <si>
    <t>species.CEBI.parameter.KM_IS.value = "0"</t>
  </si>
  <si>
    <t>species.CEBI.parameter.KM_MT.value = "0"</t>
  </si>
  <si>
    <t>species.CEBI.parameter.KO25.value = "450"</t>
  </si>
  <si>
    <t>species.CEBI.parameter.KRC_WOOD.value = "0.00025"</t>
  </si>
  <si>
    <t>species.CEBI.parameter.KRSCOMP.value = "0"</t>
  </si>
  <si>
    <t>species.CEBI.parameter.KRSINIT.value = "0"</t>
  </si>
  <si>
    <t>species.CEBI.parameter.K_MM_NITROGEN_UPTAKE.value = "0.0002"</t>
  </si>
  <si>
    <t>species.CEBI.parameter.LIGNIN.value = "0.07"</t>
  </si>
  <si>
    <t>species.CEBI.parameter.MAINTENANCE_TEMP_REF.value = "25"</t>
  </si>
  <si>
    <t>species.CEBI.parameter.MC_LEAF.value = "0.03"</t>
  </si>
  <si>
    <t>species.CEBI.parameter.MC_ROOT.value = "0.01"</t>
  </si>
  <si>
    <t>species.CEBI.parameter.MC_STEM.value = "0.015"</t>
  </si>
  <si>
    <t>species.CEBI.parameter.MC_STORAGE.value = "0.001"</t>
  </si>
  <si>
    <t>species.CEBI.parameter.MFOLOPT.value = "0.2"</t>
  </si>
  <si>
    <t>species.CEBI.parameter.MORTCROWD.value = "100000000"</t>
  </si>
  <si>
    <t>species.CEBI.parameter.MORTNORM.value = "0"</t>
  </si>
  <si>
    <t>species.CEBI.parameter.MUE_IS.value = "0.175"</t>
  </si>
  <si>
    <t>species.CEBI.parameter.MUE_MT.value = "0.175"</t>
  </si>
  <si>
    <t>species.CEBI.parameter.MWFM.value = "0.00035"</t>
  </si>
  <si>
    <t>species.CEBI.parameter.MWWM.value = "1e-09"</t>
  </si>
  <si>
    <t>species.CEBI.parameter.M_FRUIT_OPT.value = "0"</t>
  </si>
  <si>
    <t>species.CEBI.parameter.NCFOLOPT.value = "0.0357"</t>
  </si>
  <si>
    <t>species.CEBI.parameter.NCSAPOPT.value = "0"</t>
  </si>
  <si>
    <t>species.CEBI.parameter.NC_FINEROOTS_MAX.value = "0.0055"</t>
  </si>
  <si>
    <t>species.CEBI.parameter.NC_FINEROOTS_MIN.value = "0.005"</t>
  </si>
  <si>
    <t>species.CEBI.parameter.NC_FOLIAGE_MAX.value = "0.026"</t>
  </si>
  <si>
    <t>species.CEBI.parameter.NC_FOLIAGE_MIN.value = "0.018"</t>
  </si>
  <si>
    <t>species.CEBI.parameter.NC_FRUIT_MAX.value = "0.015"</t>
  </si>
  <si>
    <t>species.CEBI.parameter.NC_FRUIT_MIN.value = "0.015"</t>
  </si>
  <si>
    <t>species.CEBI.parameter.NC_STRUCTURAL_TISSUE_MAX.value = "0.02"</t>
  </si>
  <si>
    <t>species.CEBI.parameter.NC_STRUCTURAL_TISSUE_MIN.value = "0.02"</t>
  </si>
  <si>
    <t>species.CEBI.parameter.NFIX_CEFF.value = "5"</t>
  </si>
  <si>
    <t>species.CEBI.parameter.NFIX_RATE.value = "0"</t>
  </si>
  <si>
    <t>species.CEBI.parameter.NFIX_TMAX.value = "44"</t>
  </si>
  <si>
    <t>species.CEBI.parameter.NFIX_TMIN.value = "5"</t>
  </si>
  <si>
    <t>species.CEBI.parameter.NFIX_TOPT.value = "35"</t>
  </si>
  <si>
    <t>species.CEBI.parameter.NFIX_W.value = "-6"</t>
  </si>
  <si>
    <t>species.CEBI.parameter.N_DEF_FACTOR.value = "2"</t>
  </si>
  <si>
    <t>species.CEBI.parameter.N_DEMAND_REPROD.value = "5"</t>
  </si>
  <si>
    <t>species.CEBI.parameter.N_DEMAND_VEG.value = "5"</t>
  </si>
  <si>
    <t>species.CEBI.parameter.PA.value = "0"</t>
  </si>
  <si>
    <t>species.CEBI.parameter.PEXS.value = "0.25"</t>
  </si>
  <si>
    <t>species.CEBI.parameter.PFL.value = "1.1"</t>
  </si>
  <si>
    <t>species.CEBI.parameter.PHOTOPERIODISM.value = "0"</t>
  </si>
  <si>
    <t>species.CEBI.parameter.PSI_EXP.value = "5.3"</t>
  </si>
  <si>
    <t>species.CEBI.parameter.PSI_REF.value = "-3.2"</t>
  </si>
  <si>
    <t>species.CEBI.parameter.PSL.value = "0.84"</t>
  </si>
  <si>
    <t>species.CEBI.parameter.PSNTFROST.value = "-30"</t>
  </si>
  <si>
    <t>species.CEBI.parameter.PSNTMAX.value = "53"</t>
  </si>
  <si>
    <t>species.CEBI.parameter.PSNTMIN.value = "10"</t>
  </si>
  <si>
    <t>species.CEBI.parameter.PSNTOPT.value = "36.5"</t>
  </si>
  <si>
    <t>species.CEBI.parameter.QHRD.value = "1"</t>
  </si>
  <si>
    <t>species.CEBI.parameter.QJVC.value = "9.8"</t>
  </si>
  <si>
    <t>species.CEBI.parameter.QRD25.value = "0.026"</t>
  </si>
  <si>
    <t>species.CEBI.parameter.QRF.value = "1.35"</t>
  </si>
  <si>
    <t>species.CEBI.parameter.QSF_P1.value = "20"</t>
  </si>
  <si>
    <t>species.CEBI.parameter.QSF_P2.value = "0"</t>
  </si>
  <si>
    <t>species.CEBI.parameter.QVOVC.value = "0.21"</t>
  </si>
  <si>
    <t>species.CEBI.parameter.QWODFOLMIN.value = "1.25"</t>
  </si>
  <si>
    <t>species.CEBI.parameter.RBUDDEM.value = "5"</t>
  </si>
  <si>
    <t>species.CEBI.parameter.REDISTRIBUTION_ROOT.value = "0.01"</t>
  </si>
  <si>
    <t>species.CEBI.parameter.RESP.value = "70"</t>
  </si>
  <si>
    <t>species.CEBI.parameter.RESPQ10.value = "2"</t>
  </si>
  <si>
    <t>species.CEBI.parameter.ROOTMRESPFRAC.value = "1"</t>
  </si>
  <si>
    <t>species.CEBI.parameter.RPMIN.value = "6.25"</t>
  </si>
  <si>
    <t>species.CEBI.parameter.RS_CONDUCT.value = "0"</t>
  </si>
  <si>
    <t>species.CEBI.parameter.SCALE_I.value = "1"</t>
  </si>
  <si>
    <t>species.CEBI.parameter.SCALE_M.value = "1"</t>
  </si>
  <si>
    <t>species.CEBI.parameter.SDJ.value = "645"</t>
  </si>
  <si>
    <t>species.CEBI.parameter.SENESCENCE_AGE.value = "0.01"</t>
  </si>
  <si>
    <t>species.CEBI.parameter.SENESCENCE_DROUGHT.value = "0.01"</t>
  </si>
  <si>
    <t>species.CEBI.parameter.SENESCENCE_FROST.value = "0.01"</t>
  </si>
  <si>
    <t>species.CEBI.parameter.SENESCENCE_HEAT.value = "0"</t>
  </si>
  <si>
    <t>species.CEBI.parameter.SENESCENCE_WATER.value = "0"</t>
  </si>
  <si>
    <t>species.CEBI.parameter.SENESCSTART.value = "270"</t>
  </si>
  <si>
    <t>species.CEBI.parameter.SHOOT_STIMULATION_REPROD.value = "0"</t>
  </si>
  <si>
    <t>species.CEBI.parameter.SLADECLINE.value = "0"</t>
  </si>
  <si>
    <t>species.CEBI.parameter.SLAMAX.value = "13.1"</t>
  </si>
  <si>
    <t>species.CEBI.parameter.SLAMIN.value = "8.5"</t>
  </si>
  <si>
    <t>species.CEBI.parameter.SLOPE_GSA.value = "4"</t>
  </si>
  <si>
    <t>species.CEBI.parameter.SLOPE_GSCO2.value = "1"</t>
  </si>
  <si>
    <t>species.CEBI.parameter.SLOPE_GSH2O.value = "3.3"</t>
  </si>
  <si>
    <t>species.CEBI.parameter.SLOPE_NC.value = "1"</t>
  </si>
  <si>
    <t>species.CEBI.parameter.SRLMAX.value = "70000"</t>
  </si>
  <si>
    <t>species.CEBI.parameter.SRLMIN.value = "5000"</t>
  </si>
  <si>
    <t>species.CEBI.parameter.TAP_P1.value = "1.75"</t>
  </si>
  <si>
    <t>species.CEBI.parameter.TAP_P2.value = "1.1"</t>
  </si>
  <si>
    <t>species.CEBI.parameter.TAP_P3.value = "-2.75"</t>
  </si>
  <si>
    <t>species.CEBI.parameter.TAU.value = "0.03"</t>
  </si>
  <si>
    <t>species.CEBI.parameter.THETA.value = "0.7"</t>
  </si>
  <si>
    <t>species.CEBI.parameter.TLIMIT.value = "5"</t>
  </si>
  <si>
    <t>species.CEBI.parameter.TMINCRIT.value = "50"</t>
  </si>
  <si>
    <t>species.CEBI.parameter.TOFRTBAS.value = "0.0013"</t>
  </si>
  <si>
    <t>species.CEBI.parameter.TOSAPMAX.value = "0"</t>
  </si>
  <si>
    <t>species.CEBI.parameter.UCMAX.value = "0"</t>
  </si>
  <si>
    <t>species.CEBI.parameter.UGWDF.value = "0"</t>
  </si>
  <si>
    <t>species.CEBI.parameter.US_DON.value = "0"</t>
  </si>
  <si>
    <t>species.CEBI.parameter.US_NH4.value = "0.012"</t>
  </si>
  <si>
    <t>species.CEBI.parameter.US_NH4MYC.value = "0.06"</t>
  </si>
  <si>
    <t>species.CEBI.parameter.US_NO3.value = "0.006"</t>
  </si>
  <si>
    <t>species.CEBI.parameter.US_NO3MYC.value = "0.0075"</t>
  </si>
  <si>
    <t>species.CEBI.parameter.VCFACT.value = "1"</t>
  </si>
  <si>
    <t>species.CEBI.parameter.VCMAX25.value = "40.67"</t>
  </si>
  <si>
    <t>species.CEBI.parameter.VPDREF.value = "3.1"</t>
  </si>
  <si>
    <t>species.CEBI.parameter.WINTERLIMIT.value = "0"</t>
  </si>
  <si>
    <t>species.CEBI.parameter.WOODMRESPA.value = "0.07"</t>
  </si>
  <si>
    <t>species.CEBI.parameter.WUECMAX.value = "5"</t>
  </si>
  <si>
    <t>species.CEBI.parameter.WUECMIN.value = "1"</t>
  </si>
  <si>
    <t>species.CEBI.parameter.ZRTMC.value = "1"</t>
  </si>
  <si>
    <t>species.CEBI.parameter.DLEAFSHED.value = "360"</t>
  </si>
  <si>
    <t>species.CEBI.parameter.NDFLUSH.value = "60"</t>
  </si>
  <si>
    <t>species.CEBI.parameter.NDMORTA.value = "60"</t>
  </si>
  <si>
    <t>CEBI.default</t>
  </si>
  <si>
    <t>CEBI</t>
  </si>
  <si>
    <t>80-ANGA-20-CEBI</t>
  </si>
  <si>
    <t>Maximum instantaneous water use efficiency</t>
  </si>
  <si>
    <t>mg CO2/g h2o</t>
  </si>
  <si>
    <t>Time interval necessary to complete growth of new foliage</t>
  </si>
  <si>
    <t>KM20</t>
  </si>
  <si>
    <t>aintenance coefficient at reference temperature</t>
  </si>
  <si>
    <t>KO25</t>
  </si>
  <si>
    <t>Michaelis-Menten constant for O2 at 25oC (mmol mol-1 mbar-1).</t>
  </si>
  <si>
    <t>Parameters to calibrate</t>
  </si>
  <si>
    <t>WUE</t>
  </si>
  <si>
    <t>MFOLOP</t>
  </si>
  <si>
    <t>SLA</t>
  </si>
  <si>
    <t>ND Flush</t>
  </si>
  <si>
    <t>ND Morta</t>
  </si>
  <si>
    <t>Phenology</t>
  </si>
  <si>
    <t>Photosynthesis</t>
  </si>
  <si>
    <t>Water use</t>
  </si>
  <si>
    <t>notes</t>
  </si>
  <si>
    <t>key determinant</t>
  </si>
  <si>
    <t>Lignin value</t>
  </si>
  <si>
    <t>BIOMASS</t>
  </si>
  <si>
    <t>QRF</t>
  </si>
  <si>
    <t>Ratio between fine root- and foliage biomass under standard conditions</t>
  </si>
  <si>
    <t>QJVC</t>
  </si>
  <si>
    <t>PSNTOPT</t>
  </si>
  <si>
    <t>PERG.HYBRID.BG</t>
  </si>
  <si>
    <t>THEMEDA TRIANDRA</t>
  </si>
  <si>
    <t>Specific leaf area in the shade (m2 kg-1).</t>
  </si>
  <si>
    <t>Specific leaf area under full light (m2 kg-1).</t>
  </si>
  <si>
    <t>Range_min</t>
  </si>
  <si>
    <t>Range_max</t>
  </si>
  <si>
    <t>Point_estimate</t>
  </si>
  <si>
    <t>mmol H₂O m⁻² s⁻¹ </t>
  </si>
  <si>
    <t xml:space="preserve">maximum stomatal conductivity </t>
  </si>
  <si>
    <t>unit, technical</t>
  </si>
  <si>
    <t>unit, words</t>
  </si>
  <si>
    <t>millimols of h2o per square meter per second</t>
  </si>
  <si>
    <t xml:space="preserve">minimum stomatal conductivity </t>
  </si>
  <si>
    <t>citation</t>
  </si>
  <si>
    <t>Google gemini link</t>
  </si>
  <si>
    <t>relative available soil water content below which restricted water availability triggers plant senescence</t>
  </si>
  <si>
    <t xml:space="preserve">a fraction </t>
  </si>
  <si>
    <t>Estimated middle</t>
  </si>
  <si>
    <t>Gas exchange</t>
  </si>
  <si>
    <t>Description</t>
  </si>
  <si>
    <t>Michaelis–Menten constant for O2 at 25◦C</t>
  </si>
  <si>
    <t xml:space="preserve"> µmol mol^−1 mbar^-1</t>
  </si>
  <si>
    <t>micromols per mol per mbar</t>
  </si>
  <si>
    <t>yes</t>
  </si>
  <si>
    <t>KC25</t>
  </si>
  <si>
    <t>Lists</t>
  </si>
  <si>
    <t>is parameterized</t>
  </si>
  <si>
    <t>no</t>
  </si>
  <si>
    <t>Maintenance coefficient at reference temperature</t>
  </si>
  <si>
    <t>a fraction</t>
  </si>
  <si>
    <t>VCMAX</t>
  </si>
  <si>
    <t>Maximum Rubisco activity at 25 degrees celsius</t>
  </si>
  <si>
    <t>micromols per square meter per second</t>
  </si>
  <si>
    <t>umol m^-2 s^-1</t>
  </si>
  <si>
    <t xml:space="preserve">Specific interception capacity of foliage </t>
  </si>
  <si>
    <t>meters per square meter of LAI</t>
  </si>
  <si>
    <t>m m^-2 LAI</t>
  </si>
  <si>
    <t>FRACTION_FOLIAGE</t>
  </si>
  <si>
    <t>fraction</t>
  </si>
  <si>
    <t>Maximum relative growth rate for foliage</t>
  </si>
  <si>
    <t>Biomass fraction of fruit at maturity.</t>
  </si>
  <si>
    <t>GDD_EMERG</t>
  </si>
  <si>
    <t>GDD_STEM_ELONGATION</t>
  </si>
  <si>
    <t>GDDFOLEND</t>
  </si>
  <si>
    <t>Foliage biomass under optimal, closed canopy condition (kg m-2)</t>
  </si>
  <si>
    <t>kg per square meter</t>
  </si>
  <si>
    <t>kg m^-2</t>
  </si>
  <si>
    <t>days</t>
  </si>
  <si>
    <t>https://explorer.natureserve.org/Taxon/ELEMENT_GLOBAL.2.150510/Cynodon_dactylon</t>
  </si>
  <si>
    <t>https://www.google.com/search?q=studies+which+report+the+Time+interval+necessary+to+complete+growth+of+new+foliage+in+days+()+%2C+and+the+values+reported+therein%2C+of+cynodon+dactylon+(Bermuda+grass)+under+semi-arid+environments.+Please+also+provide+the+link+to+the+scientific+article&amp;ie=UTF-8</t>
  </si>
  <si>
    <t>Lresources entry no</t>
  </si>
  <si>
    <t>Common name</t>
  </si>
  <si>
    <t>Bermuda grass</t>
  </si>
  <si>
    <t>https://www.google.com/search?q=studies+which+report+the+time+interval+necessary+to+complete+litterfall+in+days+and+the+values+reported+therein+for+cenchrus+species+of+grasses+%28Cenchrus+ciliaris%2C+Cenchrus+purpureus%2C+Cenchrus+setiger%2C+Cenchrus+setaceus%2C+Cenchrus+biflorus%2C+Cenchrus+Mezianus+%29+under+semi-arid+environments.+Please+also+provide+the+link+to+the+scientific+articles&amp;sxsrf=ANbL-n4etfIN5Ko5si4ZWwr6jQSPIcwAYQ%3A1771922293914</t>
  </si>
  <si>
    <t>Cenchrus grass species</t>
  </si>
  <si>
    <t xml:space="preserve">Cenchrus ciliaris, Cenchrus purpureus, Cenchrus setiger, Cenchrus setaceus, Cenchrus biflorus, Cenchrus Mezianus </t>
  </si>
  <si>
    <t>https://www.google.com/search?q=studies+which+report+the+minimum+stomatal+conductivity++as+millimols+of+h2o+per+square+meter+per+second++%28mmol+H%E2%82%82O+m%E2%81%BB%C2%B2+s%E2%81%BB%C2%B9%C2%A0%29+%2C+and+the+values+reported+therein%2C+of+Cenchrus+grass+species+%28Cenchrus+ciliaris%2C+Cenchrus+purpureus%2C+Cenchrus+setiger%2C+Cenchrus+setaceus%2C+Cenchrus+biflorus%2C+Cenchrus+Mezianus+%29+under+semi-arid+environments.+Please+also+provide+the+link+to+the+scientific+article%0D%0A&amp;sxsrf=ANbL-n66yIWv8FcW79MWWZp8-PIIfab_dQ%3A1771923361229</t>
  </si>
  <si>
    <t>https://www.google.com/search?q=studies+which+report+the+Growing+degree+days+to+complete+foliar+production.+as+days+()+%2C+and+the+values+reported+therein%2C+of+Cenchrus+grass+species+(Cenchrus+ciliaris%2C+Cenchrus+purpureus%2C+Cenchrus+setiger%2C+Cenchrus+setaceus%2C+Cenchrus+biflorus%2C+Cenchrus+Mezianus+)+under+semi-arid+environments.+Please+also+provide+the+link+to+the+scientific+article&amp;ie=UTF-8</t>
  </si>
  <si>
    <t>https://www.google.com/search?q=studies+which+report+the+Growing+degree+days+until+begin+of+stem+elongation.+as+%28%29+%2C+and+the+values+reported+therein%2C+of+Cenchrus+grass+species+%28Cenchrus+ciliaris%2C+Cenchrus+purpureus%2C+Cenchrus+setiger%2C+Cenchrus+setaceus%2C+Cenchrus+biflorus%2C+Cenchrus+Mezianus+%29+under+semi-arid+environments.+Please+also+provide+the+link+to+the+scientific+articles&amp;sxsrf=ANbL-n4G3k24auADRhosyp_RXf4nOBIawA%3A1771924614861</t>
  </si>
  <si>
    <t>https://www.google.com/search?q=studies+which+report+the+Biomass+fraction+of+roots+at+maturity+as+fraction+()+%2C+and+the+values+reported+therein%2C+of+Cenchrus+grass+species+(Cenchrus+ciliaris%2C+Cenchrus+purpureus%2C+Cenchrus+setiger%2C+Cenchrus+setaceus%2C+Cenchrus+biflorus%2C+Cenchrus+Mezianus+)+under+semi-arid+environments.+Please+also+provide+the+link+to+the+scientific+article&amp;ie=UTF-8</t>
  </si>
  <si>
    <t>Category</t>
  </si>
  <si>
    <t>Search text</t>
  </si>
  <si>
    <t>Photosynthesis and light interception</t>
  </si>
  <si>
    <t>https://gemini.google.com/app/c7066ed2c53b6e7c</t>
  </si>
  <si>
    <t>Vachellia drepanolobium</t>
  </si>
  <si>
    <t>species.ACTO.mnemonic = "ACTO"</t>
  </si>
  <si>
    <t>species.ACTO.group = "wood"</t>
  </si>
  <si>
    <t>species.ACTO.parent = ":ACACIA:"</t>
  </si>
  <si>
    <t>species.ACTO.parameter.C4_TYPE.value = "false"</t>
  </si>
  <si>
    <t>species.ACTO.parameter.CONIFEROUS.value = "false"</t>
  </si>
  <si>
    <t>species.ACTO.parameter.DECIDUOUS.value = "true"</t>
  </si>
  <si>
    <t>species.ACTO.parameter.FREEGROWTH.value = "false"</t>
  </si>
  <si>
    <t>species.ACTO.parameter.RATOON.value = "false"</t>
  </si>
  <si>
    <t>species.ACTO.parameter.ROOTS_ENVIRONMENTAL.value = "false"</t>
  </si>
  <si>
    <t>species.ACTO.parameter.SAVANNA.value = "true"</t>
  </si>
  <si>
    <t>species.ACTO.parameter.TUBER.value = "false"</t>
  </si>
  <si>
    <t>species.ACTO.parameter.AEIS.value = "51164.8"</t>
  </si>
  <si>
    <t>species.ACTO.parameter.AEJM.value = "79500"</t>
  </si>
  <si>
    <t>species.ACTO.parameter.AEKC.value = "79430"</t>
  </si>
  <si>
    <t>species.ACTO.parameter.AEKO.value = "36380"</t>
  </si>
  <si>
    <t>species.ACTO.parameter.AERD.value = "46390"</t>
  </si>
  <si>
    <t>species.ACTO.parameter.AEVC.value = "65330"</t>
  </si>
  <si>
    <t>species.ACTO.parameter.AEVO.value = "37530"</t>
  </si>
  <si>
    <t>species.ACTO.parameter.ALB.value = "0.12"</t>
  </si>
  <si>
    <t>species.ACTO.parameter.ALPHA0_IS.value = "0.014"</t>
  </si>
  <si>
    <t>species.ACTO.parameter.ALPHA0_MT.value = "0.014"</t>
  </si>
  <si>
    <t>species.ACTO.parameter.AMAXA.value = "5.73"</t>
  </si>
  <si>
    <t>species.ACTO.parameter.AMAXB.value = "18.1"</t>
  </si>
  <si>
    <t>species.ACTO.parameter.AMAXFRAC.value = "0.76"</t>
  </si>
  <si>
    <t>species.ACTO.parameter.A_EXP.value = "0"</t>
  </si>
  <si>
    <t>species.ACTO.parameter.A_REF.value = "-1"</t>
  </si>
  <si>
    <t>species.ACTO.parameter.BASEFOLRESPFRAC.value = "0.1"</t>
  </si>
  <si>
    <t>species.ACTO.parameter.CB.value = "0.5"</t>
  </si>
  <si>
    <t>species.ACTO.parameter.CDAMP.value = "1.5"</t>
  </si>
  <si>
    <t>species.ACTO.parameter.CDR_P1.value = "4.2"</t>
  </si>
  <si>
    <t>species.ACTO.parameter.CDR_P2.value = "1"</t>
  </si>
  <si>
    <t>species.ACTO.parameter.CDR_P3.value = "-0.4"</t>
  </si>
  <si>
    <t>species.ACTO.parameter.CELLULOSE.value = "0.5"</t>
  </si>
  <si>
    <t>species.ACTO.parameter.CFCROPT.value = "0"</t>
  </si>
  <si>
    <t>species.ACTO.parameter.CHILL_TEMP_MAX.value = "8"</t>
  </si>
  <si>
    <t>species.ACTO.parameter.CHILL_UNITS.value = "0"</t>
  </si>
  <si>
    <t>species.ACTO.parameter.CL_P1.value = "0.75"</t>
  </si>
  <si>
    <t>species.ACTO.parameter.CL_P2.value = "0.85"</t>
  </si>
  <si>
    <t>species.ACTO.parameter.CSR_REF.value = "-2"</t>
  </si>
  <si>
    <t>species.ACTO.parameter.CT_IS.value = "32.86"</t>
  </si>
  <si>
    <t>species.ACTO.parameter.CT_MT.value = "32.86"</t>
  </si>
  <si>
    <t>species.ACTO.parameter.CWP_REF.value = "0.08"</t>
  </si>
  <si>
    <t>species.ACTO.parameter.DBRANCH.value = "0.2"</t>
  </si>
  <si>
    <t>species.ACTO.parameter.DFOL.value = "1"</t>
  </si>
  <si>
    <t>species.ACTO.parameter.DFRTOPT.value = "0.1"</t>
  </si>
  <si>
    <t>species.ACTO.parameter.DF_EXP.value = "0.4"</t>
  </si>
  <si>
    <t>species.ACTO.parameter.DF_LIMIT.value = "5000"</t>
  </si>
  <si>
    <t>species.ACTO.parameter.DIAMMAX.value = "0.4"</t>
  </si>
  <si>
    <t>species.ACTO.parameter.DOC_RESP_RATIO.value = "0.5"</t>
  </si>
  <si>
    <t>species.ACTO.parameter.DRAGC.value = "0.03"</t>
  </si>
  <si>
    <t>species.ACTO.parameter.DSAP.value = "0.69"</t>
  </si>
  <si>
    <t>species.ACTO.parameter.DS_IS.value = "887.5"</t>
  </si>
  <si>
    <t>species.ACTO.parameter.DS_MT.value = "887.5"</t>
  </si>
  <si>
    <t>species.ACTO.parameter.DVPD1.value = "0.05"</t>
  </si>
  <si>
    <t>species.ACTO.parameter.DVPD2.value = "2"</t>
  </si>
  <si>
    <t>species.ACTO.parameter.EF_ISO.value = "0.5"</t>
  </si>
  <si>
    <t>species.ACTO.parameter.EF_MONO.value = "8.8"</t>
  </si>
  <si>
    <t>species.ACTO.parameter.EF_MONOS.value = "0"</t>
  </si>
  <si>
    <t>species.ACTO.parameter.EF_OVOC.value = "1.5"</t>
  </si>
  <si>
    <t>species.ACTO.parameter.EXPL_NH4.value = "0.01"</t>
  </si>
  <si>
    <t>species.ACTO.parameter.EXPL_NO3.value = "0.01"</t>
  </si>
  <si>
    <t>species.ACTO.parameter.EXP_ROOT_DISTRIBUTION.value = "0"</t>
  </si>
  <si>
    <t>species.ACTO.parameter.EXT.value = "0.4256"</t>
  </si>
  <si>
    <t>species.ACTO.parameter.FAGE.value = "1"</t>
  </si>
  <si>
    <t>species.ACTO.parameter.FBRAF_M.value = "0.2"</t>
  </si>
  <si>
    <t>species.ACTO.parameter.FBRAF_Y.value = "0.5"</t>
  </si>
  <si>
    <t>species.ACTO.parameter.FFACMAX.value = "0.105"</t>
  </si>
  <si>
    <t>species.ACTO.parameter.FIRE_BARKA.value = "0.0347"</t>
  </si>
  <si>
    <t>species.ACTO.parameter.FIRE_BARKB.value = "0.1086"</t>
  </si>
  <si>
    <t>species.ACTO.parameter.FIRE_DENSFUEL.value = "22"</t>
  </si>
  <si>
    <t>species.ACTO.parameter.FIRE_EM_CH4.value = "4.8"</t>
  </si>
  <si>
    <t>species.ACTO.parameter.FIRE_EM_CO2.value = "1568"</t>
  </si>
  <si>
    <t>species.ACTO.parameter.FIRE_EM_CO.value = "106"</t>
  </si>
  <si>
    <t>species.ACTO.parameter.FIRE_EM_N2.value = "1.6"</t>
  </si>
  <si>
    <t>species.ACTO.parameter.FIRE_EM_N2O.value = "1.6"</t>
  </si>
  <si>
    <t>species.ACTO.parameter.FIRE_EM_NOX.value = "3.24"</t>
  </si>
  <si>
    <t>species.ACTO.parameter.FIRE_EM_TPM.value = "17.6"</t>
  </si>
  <si>
    <t>species.ACTO.parameter.FIRE_EM_VOC.value = "5.7"</t>
  </si>
  <si>
    <t>species.ACTO.parameter.FIRE_FIRERESIST.value = "0.1"</t>
  </si>
  <si>
    <t>species.ACTO.parameter.FIRE_FLAME.value = "0.094"</t>
  </si>
  <si>
    <t>species.ACTO.parameter.FIRE_P.value = "3"</t>
  </si>
  <si>
    <t>species.ACTO.parameter.FIRE_RCK.value = "0.95"</t>
  </si>
  <si>
    <t>species.ACTO.parameter.FOLRELGROMAX.value = "0.1"</t>
  </si>
  <si>
    <t>species.ACTO.parameter.FRACTION_FOLIAGE.value = "0.4"</t>
  </si>
  <si>
    <t>species.ACTO.parameter.FRACTION_FRUIT.value = "0"</t>
  </si>
  <si>
    <t>species.ACTO.parameter.FRACTION_ROOT.value = "0.5"</t>
  </si>
  <si>
    <t>species.ACTO.parameter.FRET_N.value = "0.45"</t>
  </si>
  <si>
    <t>species.ACTO.parameter.FROSTA.value = "0"</t>
  </si>
  <si>
    <t>species.ACTO.parameter.FROSTB.value = "0"</t>
  </si>
  <si>
    <t>species.ACTO.parameter.FRTALLOC_BASE.value = "0"</t>
  </si>
  <si>
    <t>species.ACTO.parameter.FRTALLOC_REL.value = "2"</t>
  </si>
  <si>
    <t>species.ACTO.parameter.FRTLOSS_SCALE.value = "4"</t>
  </si>
  <si>
    <t>species.ACTO.parameter.FRTMASSINIT.value = "50"</t>
  </si>
  <si>
    <t>species.ACTO.parameter.FYIELD.value = "0.25"</t>
  </si>
  <si>
    <t>species.ACTO.parameter.GDDFOLEND.value = "900"</t>
  </si>
  <si>
    <t>species.ACTO.parameter.GDDFOLSTART.value = "2000"</t>
  </si>
  <si>
    <t>species.ACTO.parameter.GDDWODEND.value = "900"</t>
  </si>
  <si>
    <t>species.ACTO.parameter.GDDWODSTART.value = "2100"</t>
  </si>
  <si>
    <t>species.ACTO.parameter.GDD_BASE_TEMPERATURE.value = "0"</t>
  </si>
  <si>
    <t>species.ACTO.parameter.GDD_EMERGENCE.value = "10"</t>
  </si>
  <si>
    <t>species.ACTO.parameter.GDD_FLOWERING.value = "0"</t>
  </si>
  <si>
    <t>species.ACTO.parameter.GDD_GRAIN_FILLING.value = "-1"</t>
  </si>
  <si>
    <t>species.ACTO.parameter.GDD_MATURITY.value = "-1"</t>
  </si>
  <si>
    <t>species.ACTO.parameter.GDD_MAX_TEMPERATURE.value = "40"</t>
  </si>
  <si>
    <t>species.ACTO.parameter.GDD_ROOTS_GROWN.value = "1400"</t>
  </si>
  <si>
    <t>species.ACTO.parameter.GDD_STEM_ELONGATION.value = "0"</t>
  </si>
  <si>
    <t>species.ACTO.parameter.GGDPS_B.value = "0.000437"</t>
  </si>
  <si>
    <t>species.ACTO.parameter.GSMAX.value = "125.5"</t>
  </si>
  <si>
    <t>species.ACTO.parameter.GSMIN.value = "3.2"</t>
  </si>
  <si>
    <t>species.ACTO.parameter.GZRTZ.value = "0.01"</t>
  </si>
  <si>
    <t>species.ACTO.parameter.H2OREF_A.value = "0.4"</t>
  </si>
  <si>
    <t>species.ACTO.parameter.H2OREF_FLUSHING.value = "0"</t>
  </si>
  <si>
    <t>species.ACTO.parameter.H2OREF_GS.value = "0.31"</t>
  </si>
  <si>
    <t>species.ACTO.parameter.H2OREF_LEAF_GROWTH.value = "0"</t>
  </si>
  <si>
    <t>species.ACTO.parameter.H2OREF_SENESCENCE.value = "0"</t>
  </si>
  <si>
    <t>species.ACTO.parameter.HALFSAT.value = "200"</t>
  </si>
  <si>
    <t>species.ACTO.parameter.HA_IS.value = "83129"</t>
  </si>
  <si>
    <t>species.ACTO.parameter.HA_MT.value = "83129"</t>
  </si>
  <si>
    <t>species.ACTO.parameter.HDJ.value = "201950"</t>
  </si>
  <si>
    <t>species.ACTO.parameter.HD_EXP.value = "7"</t>
  </si>
  <si>
    <t>species.ACTO.parameter.HD_IS.value = "284600"</t>
  </si>
  <si>
    <t>species.ACTO.parameter.HD_MAX.value = "60"</t>
  </si>
  <si>
    <t>species.ACTO.parameter.HD_MIN.value = "26"</t>
  </si>
  <si>
    <t>species.ACTO.parameter.HD_MT.value = "284600"</t>
  </si>
  <si>
    <t>species.ACTO.parameter.HEIGHT_MAX.value = "100"</t>
  </si>
  <si>
    <t>species.ACTO.parameter.HLEAFCRIT.value = "0"</t>
  </si>
  <si>
    <t>species.ACTO.parameter.HREF.value = "2.9"</t>
  </si>
  <si>
    <t>species.ACTO.parameter.HYPOXIA.value = "0.4"</t>
  </si>
  <si>
    <t>species.ACTO.parameter.INI_N_FIX.value = "0.1"</t>
  </si>
  <si>
    <t>species.ACTO.parameter.KC25.value = "275"</t>
  </si>
  <si>
    <t>species.ACTO.parameter.KCOMPINIT.value = "0"</t>
  </si>
  <si>
    <t>species.ACTO.parameter.KM20.value = "0.1"</t>
  </si>
  <si>
    <t>species.ACTO.parameter.KM_GDPS_DMADP.value = "0"</t>
  </si>
  <si>
    <t>species.ACTO.parameter.KM_GDPS_IDP.value = "0"</t>
  </si>
  <si>
    <t>species.ACTO.parameter.KM_IS.value = "0"</t>
  </si>
  <si>
    <t>species.ACTO.parameter.KM_MT.value = "0"</t>
  </si>
  <si>
    <t>species.ACTO.parameter.KO25.value = "420"</t>
  </si>
  <si>
    <t>species.ACTO.parameter.KRC_WOOD.value = "0.00025"</t>
  </si>
  <si>
    <t>species.ACTO.parameter.KRSCOMP.value = "0"</t>
  </si>
  <si>
    <t>species.ACTO.parameter.KRSINIT.value = "0"</t>
  </si>
  <si>
    <t>species.ACTO.parameter.K_MM_NITROGEN_UPTAKE.value = "0.0002"</t>
  </si>
  <si>
    <t>species.ACTO.parameter.LIGNIN.value = "0.27"</t>
  </si>
  <si>
    <t>species.ACTO.parameter.MAINTENANCE_TEMP_REF.value = "25"</t>
  </si>
  <si>
    <t>species.ACTO.parameter.MC_LEAF.value = "0.03"</t>
  </si>
  <si>
    <t>species.ACTO.parameter.MC_ROOT.value = "0.01"</t>
  </si>
  <si>
    <t>species.ACTO.parameter.MC_STEM.value = "0.015"</t>
  </si>
  <si>
    <t>species.ACTO.parameter.MC_STORAGE.value = "0.001"</t>
  </si>
  <si>
    <t>species.ACTO.parameter.MFOLOPT.value = "1.5"</t>
  </si>
  <si>
    <t>species.ACTO.parameter.MORTCROWD.value = "2.5"</t>
  </si>
  <si>
    <t>species.ACTO.parameter.MORTNORM.value = "0.002"</t>
  </si>
  <si>
    <t>species.ACTO.parameter.MUE_IS.value = "0.175"</t>
  </si>
  <si>
    <t>species.ACTO.parameter.MUE_MT.value = "0.175"</t>
  </si>
  <si>
    <t>species.ACTO.parameter.MWFM.value = "5e-05"</t>
  </si>
  <si>
    <t>species.ACTO.parameter.MWWM.value = "1e-09"</t>
  </si>
  <si>
    <t>species.ACTO.parameter.M_FRUIT_OPT.value = "0"</t>
  </si>
  <si>
    <t>species.ACTO.parameter.NCFOLOPT.value = "0.0286"</t>
  </si>
  <si>
    <t>species.ACTO.parameter.NCSAPOPT.value = "0.002"</t>
  </si>
  <si>
    <t>species.ACTO.parameter.NC_FINEROOTS_MAX.value = "0.009"</t>
  </si>
  <si>
    <t>species.ACTO.parameter.NC_FINEROOTS_MIN.value = "0.009"</t>
  </si>
  <si>
    <t>species.ACTO.parameter.NC_FOLIAGE_MAX.value = "0.037"</t>
  </si>
  <si>
    <t>species.ACTO.parameter.NC_FOLIAGE_MIN.value = "0.0037"</t>
  </si>
  <si>
    <t>species.ACTO.parameter.NC_FRUIT_MAX.value = "0.018"</t>
  </si>
  <si>
    <t>species.ACTO.parameter.NC_FRUIT_MIN.value = "0.018"</t>
  </si>
  <si>
    <t>species.ACTO.parameter.NC_STRUCTURAL_TISSUE_MAX.value = "0.032"</t>
  </si>
  <si>
    <t>species.ACTO.parameter.NC_STRUCTURAL_TISSUE_MIN.value = "0.0015"</t>
  </si>
  <si>
    <t>species.ACTO.parameter.NFIX_CEFF.value = "5"</t>
  </si>
  <si>
    <t>species.ACTO.parameter.NFIX_RATE.value = "0"</t>
  </si>
  <si>
    <t>species.ACTO.parameter.NFIX_TMAX.value = "44"</t>
  </si>
  <si>
    <t>species.ACTO.parameter.NFIX_TMIN.value = "5"</t>
  </si>
  <si>
    <t>species.ACTO.parameter.NFIX_TOPT.value = "35"</t>
  </si>
  <si>
    <t>species.ACTO.parameter.NFIX_W.value = "-6"</t>
  </si>
  <si>
    <t>species.ACTO.parameter.N_DEF_FACTOR.value = "2"</t>
  </si>
  <si>
    <t>species.ACTO.parameter.N_DEMAND_REPROD.value = "5"</t>
  </si>
  <si>
    <t>species.ACTO.parameter.N_DEMAND_VEG.value = "5"</t>
  </si>
  <si>
    <t>species.ACTO.parameter.PA.value = "0"</t>
  </si>
  <si>
    <t>species.ACTO.parameter.PEXS.value = "0.05"</t>
  </si>
  <si>
    <t>species.ACTO.parameter.PFL.value = "1.8"</t>
  </si>
  <si>
    <t>species.ACTO.parameter.PHOTOPERIODISM.value = "0"</t>
  </si>
  <si>
    <t>species.ACTO.parameter.PSI_EXP.value = "2.8"</t>
  </si>
  <si>
    <t>species.ACTO.parameter.PSI_REF.value = "-14"</t>
  </si>
  <si>
    <t>species.ACTO.parameter.PSL.value = "0.9"</t>
  </si>
  <si>
    <t>species.ACTO.parameter.PSNTFROST.value = "-30"</t>
  </si>
  <si>
    <t>species.ACTO.parameter.PSNTMAX.value = "37"</t>
  </si>
  <si>
    <t>species.ACTO.parameter.PSNTMIN.value = "13"</t>
  </si>
  <si>
    <t>species.ACTO.parameter.PSNTOPT.value = "24"</t>
  </si>
  <si>
    <t>species.ACTO.parameter.QHRD.value = "0.36"</t>
  </si>
  <si>
    <t>species.ACTO.parameter.QJVC.value = "3.65"</t>
  </si>
  <si>
    <t>species.ACTO.parameter.QRD25.value = "0.03"</t>
  </si>
  <si>
    <t>species.ACTO.parameter.QRF.value = "0.5"</t>
  </si>
  <si>
    <t>species.ACTO.parameter.QSF_P1.value = "1"</t>
  </si>
  <si>
    <t>species.ACTO.parameter.QSF_P2.value = "0.53"</t>
  </si>
  <si>
    <t>species.ACTO.parameter.QVOVC.value = "0.21"</t>
  </si>
  <si>
    <t>species.ACTO.parameter.QWODFOLMIN.value = "1.5"</t>
  </si>
  <si>
    <t>species.ACTO.parameter.RBUDDEM.value = "1"</t>
  </si>
  <si>
    <t>species.ACTO.parameter.REDISTRIBUTION_ROOT.value = "0.01"</t>
  </si>
  <si>
    <t>species.ACTO.parameter.RESP.value = "70"</t>
  </si>
  <si>
    <t>species.ACTO.parameter.RESPQ10.value = "2"</t>
  </si>
  <si>
    <t>species.ACTO.parameter.ROOTMRESPFRAC.value = "1"</t>
  </si>
  <si>
    <t>species.ACTO.parameter.RPMIN.value = "5.3"</t>
  </si>
  <si>
    <t>species.ACTO.parameter.RS_CONDUCT.value = "0"</t>
  </si>
  <si>
    <t>species.ACTO.parameter.SCALE_I.value = "1"</t>
  </si>
  <si>
    <t>species.ACTO.parameter.SCALE_M.value = "1"</t>
  </si>
  <si>
    <t>species.ACTO.parameter.SDJ.value = "650"</t>
  </si>
  <si>
    <t>species.ACTO.parameter.SENESCENCE_AGE.value = "0"</t>
  </si>
  <si>
    <t>species.ACTO.parameter.SENESCENCE_DROUGHT.value = "0"</t>
  </si>
  <si>
    <t>species.ACTO.parameter.SENESCENCE_FROST.value = "0"</t>
  </si>
  <si>
    <t>species.ACTO.parameter.SENESCENCE_HEAT.value = "0"</t>
  </si>
  <si>
    <t>species.ACTO.parameter.SENESCENCE_WATER.value = "0"</t>
  </si>
  <si>
    <t>species.ACTO.parameter.SENESCSTART.value = "270"</t>
  </si>
  <si>
    <t>species.ACTO.parameter.SHOOT_STIMULATION_REPROD.value = "0"</t>
  </si>
  <si>
    <t>species.ACTO.parameter.SLADECLINE.value = "0"</t>
  </si>
  <si>
    <t>species.ACTO.parameter.SLAMAX.value = "10.8"</t>
  </si>
  <si>
    <t>species.ACTO.parameter.SLAMIN.value = "10.6"</t>
  </si>
  <si>
    <t>species.ACTO.parameter.SLOPE_GSA.value = "9.5"</t>
  </si>
  <si>
    <t>species.ACTO.parameter.SLOPE_GSCO2.value = "1"</t>
  </si>
  <si>
    <t>species.ACTO.parameter.SLOPE_GSH2O.value = "3.3"</t>
  </si>
  <si>
    <t>species.ACTO.parameter.SLOPE_NC.value = "0.625"</t>
  </si>
  <si>
    <t>species.ACTO.parameter.SRLMAX.value = "70000"</t>
  </si>
  <si>
    <t>species.ACTO.parameter.SRLMIN.value = "5000"</t>
  </si>
  <si>
    <t>species.ACTO.parameter.TAP_P1.value = "1.95"</t>
  </si>
  <si>
    <t>species.ACTO.parameter.TAP_P2.value = "0.75"</t>
  </si>
  <si>
    <t>species.ACTO.parameter.TAP_P3.value = "-2.4"</t>
  </si>
  <si>
    <t>species.ACTO.parameter.TAU.value = "0.03"</t>
  </si>
  <si>
    <t>species.ACTO.parameter.THETA.value = "0.9"</t>
  </si>
  <si>
    <t>species.ACTO.parameter.TLIMIT.value = "5"</t>
  </si>
  <si>
    <t>species.ACTO.parameter.TMINCRIT.value = "50"</t>
  </si>
  <si>
    <t>species.ACTO.parameter.TOFRTBAS.value = "0.0014"</t>
  </si>
  <si>
    <t>species.ACTO.parameter.TOSAPMAX.value = "2.7e-05"</t>
  </si>
  <si>
    <t>species.ACTO.parameter.UCMAX.value = "0"</t>
  </si>
  <si>
    <t>species.ACTO.parameter.UGWDF.value = "0.62"</t>
  </si>
  <si>
    <t>species.ACTO.parameter.US_DON.value = "0"</t>
  </si>
  <si>
    <t>species.ACTO.parameter.US_NH4.value = "0.012"</t>
  </si>
  <si>
    <t>species.ACTO.parameter.US_NH4MYC.value = "0.06"</t>
  </si>
  <si>
    <t>species.ACTO.parameter.US_NO3.value = "0.006"</t>
  </si>
  <si>
    <t>species.ACTO.parameter.US_NO3MYC.value = "0.0075"</t>
  </si>
  <si>
    <t>species.ACTO.parameter.VCFACT.value = "1"</t>
  </si>
  <si>
    <t>species.ACTO.parameter.VCMAX25.value = "49.63"</t>
  </si>
  <si>
    <t>species.ACTO.parameter.VPDREF.value = "3.1"</t>
  </si>
  <si>
    <t>species.ACTO.parameter.WINTERLIMIT.value = "0"</t>
  </si>
  <si>
    <t>species.ACTO.parameter.WOODMRESPA.value = "0.07"</t>
  </si>
  <si>
    <t>species.ACTO.parameter.WUECMAX.value = "31.8"</t>
  </si>
  <si>
    <t>species.ACTO.parameter.WUECMIN.value = "9.8"</t>
  </si>
  <si>
    <t>species.ACTO.parameter.ZRTMC.value = "10"</t>
  </si>
  <si>
    <t>species.ACTO.parameter.DLEAFSHED.value = "380"</t>
  </si>
  <si>
    <t>species.ACTO.parameter.NDFLUSH.value = "150"</t>
  </si>
  <si>
    <t>species.ACTO.parameter.NDMORTA.value = "160"</t>
  </si>
  <si>
    <t>specific leaf area in the shade</t>
  </si>
  <si>
    <t>square meters per kilogram</t>
  </si>
  <si>
    <t>m^2 kg^-1</t>
  </si>
  <si>
    <t>specific leaf area under full sun</t>
  </si>
  <si>
    <t>Biomass proportions</t>
  </si>
  <si>
    <t>milligrams of carbon dioxide per gram of water</t>
  </si>
  <si>
    <t>mg CO2 g^-1 H2O</t>
  </si>
  <si>
    <t>FOLRELGROMAX</t>
  </si>
  <si>
    <t xml:space="preserve">fraction </t>
  </si>
  <si>
    <t>growing degree days until downwards root growth ceases</t>
  </si>
  <si>
    <t>growing degree days to complete foliar production</t>
  </si>
  <si>
    <t>growing degree days</t>
  </si>
  <si>
    <t>GDD</t>
  </si>
  <si>
    <t>growing degree days until begin of stem elongation</t>
  </si>
  <si>
    <t>growing degree days until maturity</t>
  </si>
  <si>
    <t>growing degree days until beginning of emergence</t>
  </si>
  <si>
    <t>base tempeature for growing degree days</t>
  </si>
  <si>
    <t>H2OREF_A</t>
  </si>
  <si>
    <t>H2OREF_GS</t>
  </si>
  <si>
    <t>relative available soil water content at which drought affects photosynthesis activity</t>
  </si>
  <si>
    <t>minimum instantaneous water use efficiency</t>
  </si>
  <si>
    <t>relative available soil water content at which stomata are fully closed</t>
  </si>
  <si>
    <t>minimum temperature sum for foliage activity onset</t>
  </si>
  <si>
    <t>GDDFOLSTART</t>
  </si>
  <si>
    <t>Cencnrus</t>
  </si>
  <si>
    <t>5 months</t>
  </si>
  <si>
    <t>early matturing</t>
  </si>
  <si>
    <t>https://www.google.com/search?q=are+cenchrus+grass+species+considered+early+growing+grasses&amp;ie=UTF-8</t>
  </si>
  <si>
    <t>cynodon dactylon</t>
  </si>
  <si>
    <t>4 months</t>
  </si>
  <si>
    <t xml:space="preserve">not early growing </t>
  </si>
  <si>
    <t>https://www.google.com/search?q=is+cynodon+dactylon+considered+early+growing+grasses&amp;sxsrf=ANbL-n4zFjR1u6A_0zZOofCI_UdmF4kKqA%3A1772181311880</t>
  </si>
  <si>
    <t>Themeda</t>
  </si>
  <si>
    <t>https://www.google.com/search?q=is+themeda+triandra+considered+early+growing+grasses&amp;sxsrf=ANbL-n6NKd4x_sPFx7c5IJlthtfndn_J1w%3A1772181439996</t>
  </si>
  <si>
    <t>growing period</t>
  </si>
  <si>
    <t>3 months to peak biomas</t>
  </si>
  <si>
    <t>Panicum</t>
  </si>
  <si>
    <t>6 months</t>
  </si>
  <si>
    <t>https://www.google.com/search?q=is+panicum+spp.+considered+early+growing+grasses&amp;sxsrf=ANbL-n4hb4gdXC8u-rONz-eUEXENk_XzmQ%3A1772181497682</t>
  </si>
  <si>
    <t>early growing?</t>
  </si>
  <si>
    <t>fast maturing?</t>
  </si>
  <si>
    <t>https://www.google.com/search?q=is+panicum+spp.+considered+early+maturing+grass+species&amp;sxsrf=ANbL-n7nWS3_acwK7oP3flR2Z6rgk3acsA%3A1772181694805</t>
  </si>
  <si>
    <t>https://www.google.com/search?q=is+themeda+triandra+considered+early+maturing+grass+species&amp;sxsrf=ANbL-n7ZfhCBGTR_GqoP9tKHhSDuI79hCA%3A1772181871714</t>
  </si>
  <si>
    <t>https://www.google.com/search?q=is+cynodon+dactylon+considered+early+maturing+grass+species&amp;sxsrf=ANbL-n5Grg8qySvNofUzD6cB51zH1JC4cw%3A1772181942803</t>
  </si>
  <si>
    <t>https://www.google.com/search?q=are+cenchrus+grass+species+considered+early+maturing+grass+species&amp;sxsrf=ANbL-n6UZU6TYyQwQUN7DPIuMMBiLHdBMg%3A1772181970470</t>
  </si>
  <si>
    <t>activation energy for electron transport</t>
  </si>
  <si>
    <t>Joules per mol</t>
  </si>
  <si>
    <t>J mol^-1</t>
  </si>
  <si>
    <t>AEKO</t>
  </si>
  <si>
    <t>AERD</t>
  </si>
  <si>
    <t>AEVC</t>
  </si>
  <si>
    <t>AEVO</t>
  </si>
  <si>
    <t>activation energy for photosynthesis</t>
  </si>
  <si>
    <t>Sonawane et al</t>
  </si>
  <si>
    <t>Herbivores</t>
  </si>
  <si>
    <t>Cattle -- ambient</t>
  </si>
  <si>
    <t>Cattle - boma predicted</t>
  </si>
  <si>
    <t>Total AU</t>
  </si>
  <si>
    <t>Cenchrus ciliaris</t>
  </si>
  <si>
    <t xml:space="preserve">red oat grass </t>
  </si>
  <si>
    <t>Species 2 - common name</t>
  </si>
  <si>
    <t>Species 2 - scientific name</t>
  </si>
  <si>
    <t>Danckwerts, J. E., &amp; Aucamp, A. J. (1985). Growth and development of Themeda triandra and Sporobolus fimbriatus in semi-arid grassveld. Journal of the Grassland Society of Southern Africa, 4(3), 89–94.</t>
  </si>
  <si>
    <t>https://gemini.google.com/app/28139fba9da3f50c</t>
  </si>
  <si>
    <t>https://www.tandfonline.com/doi/full/10.1080/23311932.2022.2153964</t>
  </si>
  <si>
    <r>
      <t>BioRxiv (2026).</t>
    </r>
    <r>
      <rPr>
        <sz val="11"/>
        <color theme="1"/>
        <rFont val="Aptos Narrow"/>
        <family val="2"/>
        <scheme val="minor"/>
      </rPr>
      <t xml:space="preserve"> </t>
    </r>
    <r>
      <rPr>
        <i/>
        <sz val="11"/>
        <color theme="1"/>
        <rFont val="Aptos Narrow"/>
        <family val="2"/>
        <scheme val="minor"/>
      </rPr>
      <t>Trait-climate relations in Themeda triandra</t>
    </r>
  </si>
  <si>
    <t>https://gemini.google.com/app/deaf4b3578bead76</t>
  </si>
  <si>
    <t>https://www.researchgate.net/publication/227985456_Nutrient_acquisition_and_physiological_responses_of_dominant_Serengeti_grasses_to_variation_in_soil_texture_and_grazing</t>
  </si>
  <si>
    <t>https://gemini.google.com/app/3697bfaef119f744</t>
  </si>
  <si>
    <t>https://gemini.google.com/app/c28f742a0beba41e</t>
  </si>
  <si>
    <t>Mapfumo, S., et al. (2021). Ranking Species for Veld Restoration in Semi-Arid Regions Using Agronomic, Morphological and Chemical Parameters of Selected Grass Species. Agronomy, 11(1), 52. https://doi.org/10.3390/agronomy11010052</t>
  </si>
  <si>
    <t>https://canoncollins.ams3.digitaloceanspaces.com/media/2021/08/16104229/Tsitsi_Sithandiwe_Maponga_PhD_1741059.pdf</t>
  </si>
  <si>
    <t>https://gemini.google.com/app/bc4f64346bdf2847</t>
  </si>
  <si>
    <t>https://gemini.google.com/app/65d67ab27403c0a4</t>
  </si>
  <si>
    <t>Snyman, H. A. (2003). Revegetation of bare patches in a semi-arid rangeland of South Africa: an evaluation. Journal of Arid Environments, 54(3), 557-571. https://doi.org/10.1016/S0140-1963(02)00295-1</t>
  </si>
  <si>
    <t>Van Rensburg, W. L. J. (2002). Index values and Gaussian models for the water-use efficiency of the 04 grasses Themeda triandra Forsk. University of the Free State. https://www.researchgate.net/scientific-contributions/W-L-J-Van-Rensburg-2002356944</t>
  </si>
  <si>
    <t>https://gemini.google.com/app/63660f38e1e24e65</t>
  </si>
  <si>
    <t>https://www.fao.org/4/x5491e/x5491e0t.htmand University of Nairobi. (n.d.). Primary Production of a Grassland in Nairobi National Park, Kenya. https://erepository.uonbi.ac.ke/bitstream/handle/11295/73119/Full%20Text.pdf</t>
  </si>
  <si>
    <t>https://gemini.google.com/app/8e7f22ebecab03ea</t>
  </si>
  <si>
    <t xml:space="preserve">Buffel grass </t>
  </si>
  <si>
    <t>Min</t>
  </si>
  <si>
    <t>Max</t>
  </si>
  <si>
    <t>Midpoint</t>
  </si>
  <si>
    <t>https://gemini.google.com/app/9552e3de88b8010d</t>
  </si>
  <si>
    <t>Ghannoum, O., Conroy, J. P., Driscoll, S. P., Paul, M. J., Foyer, C. H., &amp; Lawlor, D. W. (2003). Non-stomatal limitations are responsible for drought-induced photosynthetic inhibition in C4 grasses. Agriculture, Ecosystems &amp; Environment, 99(1-3), 195–211. Taylor, S. H., Ripley, B. S., Martin, T., De-Wet, B. C., Woodward, F. I., &amp; Osborne, C. P. (2014). Physiological advantages of C4 grasses in the field: a comparative experiment demonstrating the importance of drought. Journal of Experimental Botany, 65(7), 1903–1914. https://doi.org/10.1093/jxb/eru063</t>
  </si>
  <si>
    <t>https://gemini.google.com/app/aad2b10450a6c928</t>
  </si>
  <si>
    <t>Taylor (above)</t>
  </si>
  <si>
    <t>https://gemini.google.com/app/823ff50b7d51906c</t>
  </si>
  <si>
    <r>
      <t>Sadras, V. O., &amp; Milroy, S. P.</t>
    </r>
    <r>
      <rPr>
        <sz val="11"/>
        <color theme="1"/>
        <rFont val="Aptos Narrow"/>
        <family val="2"/>
        <scheme val="minor"/>
      </rPr>
      <t xml:space="preserve"> (1996). </t>
    </r>
    <r>
      <rPr>
        <i/>
        <sz val="11"/>
        <color theme="1"/>
        <rFont val="Aptos Narrow"/>
        <family val="2"/>
        <scheme val="minor"/>
      </rPr>
      <t>Soil-water thresholds for the responses of leaf expansion and gas exchange: A review</t>
    </r>
    <r>
      <rPr>
        <sz val="11"/>
        <color theme="1"/>
        <rFont val="Aptos Narrow"/>
        <family val="2"/>
        <scheme val="minor"/>
      </rPr>
      <t xml:space="preserve">. </t>
    </r>
    <r>
      <rPr>
        <b/>
        <sz val="11"/>
        <color theme="1"/>
        <rFont val="Aptos Narrow"/>
        <family val="2"/>
        <scheme val="minor"/>
      </rPr>
      <t>Field Crops Research</t>
    </r>
    <r>
      <rPr>
        <sz val="11"/>
        <color theme="1"/>
        <rFont val="Aptos Narrow"/>
        <family val="2"/>
        <scheme val="minor"/>
      </rPr>
      <t>, 47(2-3), 113-127.</t>
    </r>
  </si>
  <si>
    <t>Link to Article (PDF via INRAE)</t>
  </si>
  <si>
    <t>https://gemini.google.com/app/7971f1e62f57f59f</t>
  </si>
  <si>
    <t>FRACTION_ROOT</t>
  </si>
  <si>
    <t>https://gemini.google.com/app</t>
  </si>
  <si>
    <t>Barbieri, C. W., et al. (2014). Sward Structural Characteristics and Performance of Beef Heifers Reared under Rotational Grazing Management on Campos Grassland. ResearchGate. Link to Article</t>
  </si>
  <si>
    <t>https://gemini.google.com/app/27f9462a43e23bc5</t>
  </si>
  <si>
    <r>
      <t>Snyman, H. A. (2006).</t>
    </r>
    <r>
      <rPr>
        <sz val="11"/>
        <color theme="1"/>
        <rFont val="Aptos Narrow"/>
        <family val="2"/>
        <scheme val="minor"/>
      </rPr>
      <t xml:space="preserve"> Leaf appearance and leaf elongation of </t>
    </r>
    <r>
      <rPr>
        <i/>
        <sz val="11"/>
        <color theme="1"/>
        <rFont val="Aptos Narrow"/>
        <family val="2"/>
        <scheme val="minor"/>
      </rPr>
      <t>Themeda triandra</t>
    </r>
    <r>
      <rPr>
        <sz val="11"/>
        <color theme="1"/>
        <rFont val="Aptos Narrow"/>
        <family val="2"/>
        <scheme val="minor"/>
      </rPr>
      <t xml:space="preserve"> and </t>
    </r>
    <r>
      <rPr>
        <i/>
        <sz val="11"/>
        <color theme="1"/>
        <rFont val="Aptos Narrow"/>
        <family val="2"/>
        <scheme val="minor"/>
      </rPr>
      <t>Digitaria eriantha</t>
    </r>
    <r>
      <rPr>
        <sz val="11"/>
        <color theme="1"/>
        <rFont val="Aptos Narrow"/>
        <family val="2"/>
        <scheme val="minor"/>
      </rPr>
      <t xml:space="preserve">. </t>
    </r>
    <r>
      <rPr>
        <i/>
        <sz val="11"/>
        <color theme="1"/>
        <rFont val="Aptos Narrow"/>
        <family val="2"/>
        <scheme val="minor"/>
      </rPr>
      <t>African Journal of Range &amp; Forage Science</t>
    </r>
    <r>
      <rPr>
        <sz val="11"/>
        <color theme="1"/>
        <rFont val="Aptos Narrow"/>
        <family val="2"/>
        <scheme val="minor"/>
      </rPr>
      <t xml:space="preserve">, </t>
    </r>
    <r>
      <rPr>
        <i/>
        <sz val="11"/>
        <color theme="1"/>
        <rFont val="Aptos Narrow"/>
        <family val="2"/>
        <scheme val="minor"/>
      </rPr>
      <t>23</t>
    </r>
    <r>
      <rPr>
        <sz val="11"/>
        <color theme="1"/>
        <rFont val="Aptos Narrow"/>
        <family val="2"/>
        <scheme val="minor"/>
      </rPr>
      <t>(1), 35-44.</t>
    </r>
  </si>
  <si>
    <r>
      <t xml:space="preserve">Snyman, H. A. (2002). Short-term response of rangeland botanical composition and productivity to water stress. </t>
    </r>
    <r>
      <rPr>
        <i/>
        <sz val="11"/>
        <color theme="1"/>
        <rFont val="Aptos Narrow"/>
        <family val="2"/>
        <scheme val="minor"/>
      </rPr>
      <t>South African Journal of Range and Forage Science</t>
    </r>
    <r>
      <rPr>
        <sz val="11"/>
        <color theme="1"/>
        <rFont val="Aptos Narrow"/>
        <family val="2"/>
        <scheme val="minor"/>
      </rPr>
      <t xml:space="preserve">, </t>
    </r>
    <r>
      <rPr>
        <i/>
        <sz val="11"/>
        <color theme="1"/>
        <rFont val="Aptos Narrow"/>
        <family val="2"/>
        <scheme val="minor"/>
      </rPr>
      <t>19</t>
    </r>
    <r>
      <rPr>
        <sz val="11"/>
        <color theme="1"/>
        <rFont val="Aptos Narrow"/>
        <family val="2"/>
        <scheme val="minor"/>
      </rPr>
      <t>(1), 1-11.</t>
    </r>
  </si>
  <si>
    <t>https://gemini.google.com/app/7773e1b05bcf9349</t>
  </si>
  <si>
    <t>https://gemini.google.com/app/ec0e8322c79c3a7d</t>
  </si>
  <si>
    <r>
      <t>von Caemmerer, S. (2000).</t>
    </r>
    <r>
      <rPr>
        <sz val="11"/>
        <color theme="1"/>
        <rFont val="Aptos Narrow"/>
        <family val="2"/>
        <scheme val="minor"/>
      </rPr>
      <t xml:space="preserve"> </t>
    </r>
    <r>
      <rPr>
        <i/>
        <sz val="11"/>
        <color theme="1"/>
        <rFont val="Aptos Narrow"/>
        <family val="2"/>
        <scheme val="minor"/>
      </rPr>
      <t>Biochemical Models of Leaf Photosynthesis</t>
    </r>
    <r>
      <rPr>
        <sz val="11"/>
        <color theme="1"/>
        <rFont val="Aptos Narrow"/>
        <family val="2"/>
        <scheme val="minor"/>
      </rPr>
      <t>. CSIRO Publishing.</t>
    </r>
  </si>
  <si>
    <t>https://gemini.google.com/app/fb1a10812441293e</t>
  </si>
  <si>
    <t>Differences in drought sensitivities and photosynthetic limitations between co-occurring C3 and C4 (NADP-ME) Panicoid grasses. (2010). Journal of Experimental Botany. https://doi.org/10.1093/jxb/erq002, Trait - climate relations in Themeda triandra. (2026). bioRxiv. https://doi.org/10.64898/2026.03.04.709158</t>
  </si>
  <si>
    <t>https://gemini.google.com/app/e0934cabf6e8e065</t>
  </si>
  <si>
    <t>Ripley, B., Frole, K., &amp; Gilbert, M. (2010). Differences in drought sensitivities and photosynthetic limitations between co-occurring C3 and C4 (NADP-ME) Panicoid grasses. Journal of Experimental Botany, 61(4), 1093–1103. https://doi.org/10.1093/jxb/erp373 Cited by: 124</t>
  </si>
  <si>
    <t>https://gemini.google.com/app/5be94ff5b24eec83</t>
  </si>
  <si>
    <r>
      <t>Snyman, H. A., Ingram, L. J., &amp; Kirkman, K. P. (2013). Themeda triandra: A keystone grass species. This comprehensive review discusses the physiological ecology of the species across semi-arid environments in Africa and Australia.
Link: ResearchGate - Article Summary ,Bellasio, C., Beerling, D. J., &amp; Griffiths, H. (2017).</t>
    </r>
    <r>
      <rPr>
        <sz val="11"/>
        <color theme="1"/>
        <rFont val="Aptos Narrow"/>
        <family val="2"/>
        <scheme val="minor"/>
      </rPr>
      <t xml:space="preserve"> </t>
    </r>
    <r>
      <rPr>
        <i/>
        <sz val="11"/>
        <color theme="1"/>
        <rFont val="Arial"/>
        <family val="2"/>
      </rPr>
      <t>A dynamic hydro-mechanical and biochemical model of stomatal conductance for C4 photosynthesis.</t>
    </r>
    <r>
      <rPr>
        <sz val="11"/>
        <color theme="1"/>
        <rFont val="Aptos Narrow"/>
        <family val="2"/>
        <scheme val="minor"/>
      </rPr>
      <t xml:space="preserve"> This study provides specific kinetic parameters for </t>
    </r>
    <r>
      <rPr>
        <i/>
        <sz val="11"/>
        <color theme="1"/>
        <rFont val="Arial"/>
        <family val="2"/>
      </rPr>
      <t>T. triandra</t>
    </r>
    <r>
      <rPr>
        <sz val="11"/>
        <color theme="1"/>
        <rFont val="Aptos Narrow"/>
        <family val="2"/>
        <scheme val="minor"/>
      </rPr>
      <t xml:space="preserve">, including </t>
    </r>
    <r>
      <rPr>
        <sz val="11"/>
        <color theme="1"/>
        <rFont val="Arial"/>
        <family val="2"/>
      </rPr>
      <t>$J_{max}$</t>
    </r>
    <r>
      <rPr>
        <sz val="11"/>
        <color theme="1"/>
        <rFont val="Aptos Narrow"/>
        <family val="2"/>
        <scheme val="minor"/>
      </rPr>
      <t xml:space="preserve"> activation energies.</t>
    </r>
  </si>
  <si>
    <t>https://gemini.google.com/app/d49597d5a6ac4e7d</t>
  </si>
  <si>
    <t>https://academic.oup.com/aob/article-abstract/87/1/136/2588428</t>
  </si>
  <si>
    <t>https://gemini.google.com/app/63b2950859a5cb62</t>
  </si>
  <si>
    <r>
      <t>Massad, R. S., Tuzet, A., &amp; Bethenod, O. (2007).</t>
    </r>
    <r>
      <rPr>
        <sz val="11"/>
        <color theme="1"/>
        <rFont val="Aptos Narrow"/>
        <family val="2"/>
        <scheme val="minor"/>
      </rPr>
      <t xml:space="preserve"> </t>
    </r>
    <r>
      <rPr>
        <i/>
        <sz val="11"/>
        <color theme="1"/>
        <rFont val="Aptos Narrow"/>
        <family val="2"/>
        <scheme val="minor"/>
      </rPr>
      <t>The temperature response of C4 photosynthesis: a review.</t>
    </r>
  </si>
  <si>
    <t>https://gemini.google.com/app/58fdbab3b0d8c0b5</t>
  </si>
  <si>
    <t>(2026). Trait-climate relations in Themeda triandra. bioRxiv. https://doi.org/10.1101/2026.03.04.709158</t>
  </si>
  <si>
    <t>https://gemini.google.com/app/ff95520e6b559c20</t>
  </si>
  <si>
    <t>Semantic Scholar. (2025). Changes in the Responses of Leaf Gas Exchange to Temperature and Photosynthesis Model Parameters in Four C3 Species in the Field. Semantic Scholar. https://pdfs.semanticscholar.org/463f/37a939256257e0dbd380d64517aab19156b9.pdf</t>
  </si>
  <si>
    <t>https://gemini.google.com/app/60f938f5de050869</t>
  </si>
  <si>
    <r>
      <t>Ghannoum et al. (2005):</t>
    </r>
    <r>
      <rPr>
        <sz val="11"/>
        <color theme="1"/>
        <rFont val="Aptos Narrow"/>
        <family val="2"/>
        <scheme val="minor"/>
      </rPr>
      <t xml:space="preserve"> "The photosynthesis–leaf nitrogen relationship in C4 grasses of contrasting NADP-ME and NAD-ME subtypes." This study provides extensive kinetic data for </t>
    </r>
    <r>
      <rPr>
        <i/>
        <sz val="11"/>
        <color theme="1"/>
        <rFont val="Aptos Narrow"/>
        <family val="2"/>
        <scheme val="minor"/>
      </rPr>
      <t>Themeda triandra</t>
    </r>
    <r>
      <rPr>
        <sz val="11"/>
        <color theme="1"/>
        <rFont val="Aptos Narrow"/>
        <family val="2"/>
        <scheme val="minor"/>
      </rPr>
      <t xml:space="preserve"> (an NADP-ME species), including how Rubisco efficiency scales with temperature and nitrogen in semi-arid adapted grasses.</t>
    </r>
  </si>
  <si>
    <t xml:space="preserve">duration of senescence </t>
  </si>
  <si>
    <t>https://gemini.google.com/app/72a729ad6ab62739</t>
  </si>
  <si>
    <t>Snyman, H. A. (2002). Short-term response of Themeda triandra Forssk. and Eragrostis lehmanniana Nees to water stress in a semi-arid climate. Journal of Arid Environments, 52(2), 249–262. https://doi.org/10.1006/jare.2002.0999
Snyman, H. A. (2005). A greenhouse study on the effect of water stress on the growth, water-use efficiency and phenology of Themeda triandra Forssk. African Journal of Range &amp; Forage Science, 22(1), 17–25. https://doi.org/10.2989/10220110509485858</t>
  </si>
  <si>
    <t>Woody species</t>
  </si>
  <si>
    <t>Whistling thorn</t>
  </si>
  <si>
    <t xml:space="preserve"> </t>
  </si>
  <si>
    <t>https://gemini.google.com/app/125462ed64a755d9</t>
  </si>
  <si>
    <t>https://gemini.google.com/app/52a91f8d1b86b398</t>
  </si>
  <si>
    <t>https://gemini.google.com/app/e35837d9300f9a5f</t>
  </si>
  <si>
    <t>https://gemini.google.com/app/c398965404c517db</t>
  </si>
  <si>
    <t>https://gemini.google.com/app/64b474499ea5dfb9</t>
  </si>
  <si>
    <t>https://gemini.google.com/app/db693a554cac7485</t>
  </si>
  <si>
    <t>THETA</t>
  </si>
  <si>
    <r>
      <t>Curvature Parameter:</t>
    </r>
    <r>
      <rPr>
        <sz val="11"/>
        <color theme="1"/>
        <rFont val="Aptos Narrow"/>
        <family val="2"/>
        <scheme val="minor"/>
      </rPr>
      <t xml:space="preserve">  the shape of the light-response curve, which determines how quickly the electron transport rate (</t>
    </r>
    <r>
      <rPr>
        <sz val="11"/>
        <color theme="1"/>
        <rFont val="Arial"/>
        <family val="2"/>
      </rPr>
      <t>J</t>
    </r>
    <r>
      <rPr>
        <sz val="11"/>
        <color theme="1"/>
        <rFont val="Aptos Narrow"/>
        <family val="2"/>
        <scheme val="minor"/>
      </rPr>
      <t>) approaches its maximum (</t>
    </r>
    <r>
      <rPr>
        <sz val="11"/>
        <color theme="1"/>
        <rFont val="Arial"/>
        <family val="2"/>
      </rPr>
      <t>J_max</t>
    </r>
    <r>
      <rPr>
        <sz val="11"/>
        <color theme="1"/>
        <rFont val="Aptos Narrow"/>
        <family val="2"/>
        <scheme val="minor"/>
      </rPr>
      <t>) as Photosynthetically Active Radiation (PAR) increases.</t>
    </r>
  </si>
  <si>
    <t>species.PERG.parent = ":C3:"</t>
  </si>
  <si>
    <t>species.PERG.parameter.C4_TYPE.value = "false"</t>
  </si>
  <si>
    <t>species.PERG.parameter.SAVANNA.value = "false"</t>
  </si>
  <si>
    <t>species.PERG.parameter.TUBER.value = "true"</t>
  </si>
  <si>
    <t>species.COWP.mnemonic = "COWP"</t>
  </si>
  <si>
    <t>species.COWP.group = "crop"</t>
  </si>
  <si>
    <t>species.COWP.parent = ":LEGUME:"</t>
  </si>
  <si>
    <t>species.COWP.parameter.C4_TYPE.value = "false"</t>
  </si>
  <si>
    <t>species.COWP.parameter.CONIFEROUS.value = "false"</t>
  </si>
  <si>
    <t>species.COWP.parameter.DECIDUOUS.value = "true"</t>
  </si>
  <si>
    <t>species.COWP.parameter.FREEGROWTH.value = "true"</t>
  </si>
  <si>
    <t>species.COWP.parameter.RATOON.value = "false"</t>
  </si>
  <si>
    <t>species.COWP.parameter.ROOTS_ENVIRONMENTAL.value = "false"</t>
  </si>
  <si>
    <t>species.COWP.parameter.SAVANNA.value = "false"</t>
  </si>
  <si>
    <t>species.COWP.parameter.TUBER.value = "false"</t>
  </si>
  <si>
    <t>species.COWP.parameter.AEIS.value = "0"</t>
  </si>
  <si>
    <t>species.COWP.parameter.AEJM.value = "45000"</t>
  </si>
  <si>
    <t>species.COWP.parameter.AEKC.value = "59356"</t>
  </si>
  <si>
    <t>species.COWP.parameter.AEKO.value = "35948"</t>
  </si>
  <si>
    <t>species.COWP.parameter.AERD.value = "66405"</t>
  </si>
  <si>
    <t>species.COWP.parameter.AEVC.value = "58520"</t>
  </si>
  <si>
    <t>species.COWP.parameter.AEVO.value = "37530"</t>
  </si>
  <si>
    <t>species.COWP.parameter.ALB.value = "0.19"</t>
  </si>
  <si>
    <t>species.COWP.parameter.ALPHA0_IS.value = "0"</t>
  </si>
  <si>
    <t>species.COWP.parameter.ALPHA0_MT.value = "0"</t>
  </si>
  <si>
    <t>species.COWP.parameter.AMAXA.value = "5.3"</t>
  </si>
  <si>
    <t>species.COWP.parameter.AMAXB.value = "21.5"</t>
  </si>
  <si>
    <t>species.COWP.parameter.AMAXFRAC.value = "0.76"</t>
  </si>
  <si>
    <t>species.COWP.parameter.A_EXP.value = "0"</t>
  </si>
  <si>
    <t>species.COWP.parameter.A_REF.value = "-1"</t>
  </si>
  <si>
    <t>species.COWP.parameter.BASEFOLRESPFRAC.value = "0.1"</t>
  </si>
  <si>
    <t>species.COWP.parameter.CB.value = "0.5"</t>
  </si>
  <si>
    <t>species.COWP.parameter.CDAMP.value = "1.5"</t>
  </si>
  <si>
    <t>species.COWP.parameter.CDR_P1.value = "0"</t>
  </si>
  <si>
    <t>species.COWP.parameter.CDR_P2.value = "0"</t>
  </si>
  <si>
    <t>species.COWP.parameter.CDR_P3.value = "0"</t>
  </si>
  <si>
    <t>species.COWP.parameter.CELLULOSE.value = "0.7"</t>
  </si>
  <si>
    <t>species.COWP.parameter.CFCROPT.value = "0"</t>
  </si>
  <si>
    <t>species.COWP.parameter.CHILL_TEMP_MAX.value = "8"</t>
  </si>
  <si>
    <t>species.COWP.parameter.CHILL_UNITS.value = "0"</t>
  </si>
  <si>
    <t>species.COWP.parameter.CL_P1.value = "2.15"</t>
  </si>
  <si>
    <t>species.COWP.parameter.CL_P2.value = "0.9"</t>
  </si>
  <si>
    <t>species.COWP.parameter.CSR_REF.value = "-2"</t>
  </si>
  <si>
    <t>species.COWP.parameter.CT_IS.value = "32.86"</t>
  </si>
  <si>
    <t>species.COWP.parameter.CT_MT.value = "32.86"</t>
  </si>
  <si>
    <t>species.COWP.parameter.CWP_REF.value = "0.01"</t>
  </si>
  <si>
    <t>species.COWP.parameter.DBRANCH.value = "0.2"</t>
  </si>
  <si>
    <t>species.COWP.parameter.DFOL.value = "1"</t>
  </si>
  <si>
    <t>species.COWP.parameter.DFRTOPT.value = "0.1"</t>
  </si>
  <si>
    <t>species.COWP.parameter.DF_EXP.value = "0.4"</t>
  </si>
  <si>
    <t>species.COWP.parameter.DF_LIMIT.value = "5000"</t>
  </si>
  <si>
    <t>species.COWP.parameter.DIAMMAX.value = "0.01"</t>
  </si>
  <si>
    <t>species.COWP.parameter.DOC_RESP_RATIO.value = "0.025"</t>
  </si>
  <si>
    <t>species.COWP.parameter.DRAGC.value = "0.03"</t>
  </si>
  <si>
    <t>species.COWP.parameter.DSAP.value = "0.45"</t>
  </si>
  <si>
    <t>species.COWP.parameter.DS_IS.value = "887.5"</t>
  </si>
  <si>
    <t>species.COWP.parameter.DS_MT.value = "887.5"</t>
  </si>
  <si>
    <t>species.COWP.parameter.DVPD1.value = "0.05"</t>
  </si>
  <si>
    <t>species.COWP.parameter.DVPD2.value = "2"</t>
  </si>
  <si>
    <t>species.COWP.parameter.EF_ISO.value = "0"</t>
  </si>
  <si>
    <t>species.COWP.parameter.EF_MONO.value = "0"</t>
  </si>
  <si>
    <t>species.COWP.parameter.EF_MONOS.value = "0"</t>
  </si>
  <si>
    <t>species.COWP.parameter.EF_OVOC.value = "1.5"</t>
  </si>
  <si>
    <t>species.COWP.parameter.EXPL_NH4.value = "0.01"</t>
  </si>
  <si>
    <t>species.COWP.parameter.EXPL_NO3.value = "0.01"</t>
  </si>
  <si>
    <t>species.COWP.parameter.EXP_ROOT_DISTRIBUTION.value = "0"</t>
  </si>
  <si>
    <t>species.COWP.parameter.EXT.value = "0.62"</t>
  </si>
  <si>
    <t>species.COWP.parameter.FAGE.value = "1"</t>
  </si>
  <si>
    <t>species.COWP.parameter.FBRAF_M.value = "0"</t>
  </si>
  <si>
    <t>species.COWP.parameter.FBRAF_Y.value = "0"</t>
  </si>
  <si>
    <t>species.COWP.parameter.FFACMAX.value = "0.2"</t>
  </si>
  <si>
    <t>species.COWP.parameter.FIRE_BARKA.value = "0.0347"</t>
  </si>
  <si>
    <t>species.COWP.parameter.FIRE_BARKB.value = "0.1086"</t>
  </si>
  <si>
    <t>species.COWP.parameter.FIRE_DENSFUEL.value = "22"</t>
  </si>
  <si>
    <t>species.COWP.parameter.FIRE_EM_CH4.value = "4.8"</t>
  </si>
  <si>
    <t>species.COWP.parameter.FIRE_EM_CO2.value = "1568"</t>
  </si>
  <si>
    <t>species.COWP.parameter.FIRE_EM_CO.value = "106"</t>
  </si>
  <si>
    <t>species.COWP.parameter.FIRE_EM_N2.value = "1.6"</t>
  </si>
  <si>
    <t>species.COWP.parameter.FIRE_EM_N2O.value = "1.6"</t>
  </si>
  <si>
    <t>species.COWP.parameter.FIRE_EM_NOX.value = "3.24"</t>
  </si>
  <si>
    <t>species.COWP.parameter.FIRE_EM_TPM.value = "17.6"</t>
  </si>
  <si>
    <t>species.COWP.parameter.FIRE_EM_VOC.value = "5.7"</t>
  </si>
  <si>
    <t>species.COWP.parameter.FIRE_FIRERESIST.value = "0.1"</t>
  </si>
  <si>
    <t>species.COWP.parameter.FIRE_FLAME.value = "0.094"</t>
  </si>
  <si>
    <t>species.COWP.parameter.FIRE_P.value = "3"</t>
  </si>
  <si>
    <t>species.COWP.parameter.FIRE_RCK.value = "0.95"</t>
  </si>
  <si>
    <t>species.COWP.parameter.FOLRELGROMAX.value = "0.1"</t>
  </si>
  <si>
    <t>species.COWP.parameter.FRACTION_FOLIAGE.value = "0.15"</t>
  </si>
  <si>
    <t>species.COWP.parameter.FRACTION_FRUIT.value = "0.4"</t>
  </si>
  <si>
    <t>species.COWP.parameter.FRACTION_ROOT.value = "0.1"</t>
  </si>
  <si>
    <t>species.COWP.parameter.FRET_N.value = "0.54"</t>
  </si>
  <si>
    <t>species.COWP.parameter.FROSTA.value = "0"</t>
  </si>
  <si>
    <t>species.COWP.parameter.FROSTB.value = "0"</t>
  </si>
  <si>
    <t>species.COWP.parameter.FRTALLOC_BASE.value = "0"</t>
  </si>
  <si>
    <t>species.COWP.parameter.FRTALLOC_REL.value = "2"</t>
  </si>
  <si>
    <t>species.COWP.parameter.FRTLOSS_SCALE.value = "4"</t>
  </si>
  <si>
    <t>species.COWP.parameter.FRTMASSINIT.value = "50"</t>
  </si>
  <si>
    <t>species.COWP.parameter.FYIELD.value = "0.25"</t>
  </si>
  <si>
    <t>species.COWP.parameter.GDDFOLEND.value = "1100"</t>
  </si>
  <si>
    <t>species.COWP.parameter.GDDFOLSTART.value = "150"</t>
  </si>
  <si>
    <t>species.COWP.parameter.GDDWODEND.value = "1100"</t>
  </si>
  <si>
    <t>species.COWP.parameter.GDDWODSTART.value = "250"</t>
  </si>
  <si>
    <t>species.COWP.parameter.GDD_BASE_TEMPERATURE.value = "8"</t>
  </si>
  <si>
    <t>species.COWP.parameter.GDD_EMERGENCE.value = "70"</t>
  </si>
  <si>
    <t>species.COWP.parameter.GDD_FLOWERING.value = "730"</t>
  </si>
  <si>
    <t>species.COWP.parameter.GDD_GRAIN_FILLING.value = "-1"</t>
  </si>
  <si>
    <t>species.COWP.parameter.GDD_MATURITY.value = "1360"</t>
  </si>
  <si>
    <t>species.COWP.parameter.GDD_MAX_TEMPERATURE.value = "40"</t>
  </si>
  <si>
    <t>species.COWP.parameter.GDD_ROOTS_GROWN.value = "1400"</t>
  </si>
  <si>
    <t>species.COWP.parameter.GDD_STEM_ELONGATION.value = "500"</t>
  </si>
  <si>
    <t>species.COWP.parameter.GGDPS_B.value = "0.000437"</t>
  </si>
  <si>
    <t>species.COWP.parameter.GSMAX.value = "234"</t>
  </si>
  <si>
    <t>species.COWP.parameter.GSMIN.value = "10.4"</t>
  </si>
  <si>
    <t>species.COWP.parameter.GZRTZ.value = "0.01"</t>
  </si>
  <si>
    <t>species.COWP.parameter.H2OREF_A.value = "0.5"</t>
  </si>
  <si>
    <t>species.COWP.parameter.H2OREF_FLUSHING.value = "0"</t>
  </si>
  <si>
    <t>species.COWP.parameter.H2OREF_GS.value = "0.33"</t>
  </si>
  <si>
    <t>species.COWP.parameter.H2OREF_LEAF_GROWTH.value = "0"</t>
  </si>
  <si>
    <t>species.COWP.parameter.H2OREF_SENESCENCE.value = "0"</t>
  </si>
  <si>
    <t>species.COWP.parameter.HALFSAT.value = "200"</t>
  </si>
  <si>
    <t>species.COWP.parameter.HA_IS.value = "83129"</t>
  </si>
  <si>
    <t>species.COWP.parameter.HA_MT.value = "83129"</t>
  </si>
  <si>
    <t>species.COWP.parameter.HDJ.value = "200000"</t>
  </si>
  <si>
    <t>species.COWP.parameter.HD_EXP.value = "6"</t>
  </si>
  <si>
    <t>species.COWP.parameter.HD_IS.value = "284600"</t>
  </si>
  <si>
    <t>species.COWP.parameter.HD_MAX.value = "120"</t>
  </si>
  <si>
    <t>species.COWP.parameter.HD_MIN.value = "50"</t>
  </si>
  <si>
    <t>species.COWP.parameter.HD_MT.value = "284600"</t>
  </si>
  <si>
    <t>species.COWP.parameter.HEIGHT_MAX.value = "1"</t>
  </si>
  <si>
    <t>species.COWP.parameter.HLEAFCRIT.value = "0"</t>
  </si>
  <si>
    <t>species.COWP.parameter.HREF.value = "0.2"</t>
  </si>
  <si>
    <t>species.COWP.parameter.HYPOXIA.value = "0.4"</t>
  </si>
  <si>
    <t>species.COWP.parameter.INI_N_FIX.value = "0.76"</t>
  </si>
  <si>
    <t>species.COWP.parameter.KC25.value = "460"</t>
  </si>
  <si>
    <t>species.COWP.parameter.KCOMPINIT.value = "0"</t>
  </si>
  <si>
    <t>species.COWP.parameter.KM20.value = "0.1"</t>
  </si>
  <si>
    <t>species.COWP.parameter.KM_GDPS_DMADP.value = "0"</t>
  </si>
  <si>
    <t>species.COWP.parameter.KM_GDPS_IDP.value = "0"</t>
  </si>
  <si>
    <t>species.COWP.parameter.KM_IS.value = "0"</t>
  </si>
  <si>
    <t>species.COWP.parameter.KM_MT.value = "0"</t>
  </si>
  <si>
    <t>species.COWP.parameter.KO25.value = "330"</t>
  </si>
  <si>
    <t>species.COWP.parameter.KRC_WOOD.value = "0.00025"</t>
  </si>
  <si>
    <t>species.COWP.parameter.KRSCOMP.value = "0"</t>
  </si>
  <si>
    <t>species.COWP.parameter.KRSINIT.value = "0"</t>
  </si>
  <si>
    <t>species.COWP.parameter.K_MM_NITROGEN_UPTAKE.value = "0.0002"</t>
  </si>
  <si>
    <t>species.COWP.parameter.LIGNIN.value = "0.1"</t>
  </si>
  <si>
    <t>species.COWP.parameter.MAINTENANCE_TEMP_REF.value = "35"</t>
  </si>
  <si>
    <t>species.COWP.parameter.MC_LEAF.value = "0.03"</t>
  </si>
  <si>
    <t>species.COWP.parameter.MC_ROOT.value = "0.01"</t>
  </si>
  <si>
    <t>species.COWP.parameter.MC_STEM.value = "0.015"</t>
  </si>
  <si>
    <t>species.COWP.parameter.MC_STORAGE.value = "0.001"</t>
  </si>
  <si>
    <t>species.COWP.parameter.MFOLOPT.value = "0.5"</t>
  </si>
  <si>
    <t>species.COWP.parameter.MORTCROWD.value = "100000000"</t>
  </si>
  <si>
    <t>species.COWP.parameter.MORTNORM.value = "0"</t>
  </si>
  <si>
    <t>species.COWP.parameter.MUE_IS.value = "0.175"</t>
  </si>
  <si>
    <t>species.COWP.parameter.MUE_MT.value = "0.175"</t>
  </si>
  <si>
    <t>species.COWP.parameter.MWFM.value = "0.0005"</t>
  </si>
  <si>
    <t>species.COWP.parameter.MWWM.value = "1e-09"</t>
  </si>
  <si>
    <t>species.COWP.parameter.M_FRUIT_OPT.value = "0.195"</t>
  </si>
  <si>
    <t>species.COWP.parameter.NCFOLOPT.value = "0.02"</t>
  </si>
  <si>
    <t>species.COWP.parameter.NCSAPOPT.value = "0"</t>
  </si>
  <si>
    <t>species.COWP.parameter.NC_FINEROOTS_MAX.value = "0.027"</t>
  </si>
  <si>
    <t>species.COWP.parameter.NC_FINEROOTS_MIN.value = "0.008"</t>
  </si>
  <si>
    <t>species.COWP.parameter.NC_FOLIAGE_MAX.value = "0.027"</t>
  </si>
  <si>
    <t>species.COWP.parameter.NC_FOLIAGE_MIN.value = "0.008"</t>
  </si>
  <si>
    <t>species.COWP.parameter.NC_FRUIT_MAX.value = "0.047"</t>
  </si>
  <si>
    <t>species.COWP.parameter.NC_FRUIT_MIN.value = "0.03"</t>
  </si>
  <si>
    <t>species.COWP.parameter.NC_STRUCTURAL_TISSUE_MAX.value = "0.027"</t>
  </si>
  <si>
    <t>species.COWP.parameter.NC_STRUCTURAL_TISSUE_MIN.value = "0.008"</t>
  </si>
  <si>
    <t>species.COWP.parameter.NFIX_CEFF.value = "5"</t>
  </si>
  <si>
    <t>species.COWP.parameter.NFIX_RATE.value = "0"</t>
  </si>
  <si>
    <t>species.COWP.parameter.NFIX_TMAX.value = "44"</t>
  </si>
  <si>
    <t>species.COWP.parameter.NFIX_TMIN.value = "5"</t>
  </si>
  <si>
    <t>species.COWP.parameter.NFIX_TOPT.value = "35"</t>
  </si>
  <si>
    <t>species.COWP.parameter.NFIX_W.value = "-6"</t>
  </si>
  <si>
    <t>species.COWP.parameter.N_DEF_FACTOR.value = "2"</t>
  </si>
  <si>
    <t>species.COWP.parameter.N_DEMAND_REPROD.value = "5"</t>
  </si>
  <si>
    <t>species.COWP.parameter.N_DEMAND_VEG.value = "5"</t>
  </si>
  <si>
    <t>species.COWP.parameter.PA.value = "0"</t>
  </si>
  <si>
    <t>species.COWP.parameter.PEXS.value = "0.25"</t>
  </si>
  <si>
    <t>species.COWP.parameter.PFL.value = "1.1"</t>
  </si>
  <si>
    <t>species.COWP.parameter.PHOTOPERIODISM.value = "0"</t>
  </si>
  <si>
    <t>species.COWP.parameter.PSI_EXP.value = "5.3"</t>
  </si>
  <si>
    <t>species.COWP.parameter.PSI_REF.value = "-3.2"</t>
  </si>
  <si>
    <t>species.COWP.parameter.PSL.value = "1"</t>
  </si>
  <si>
    <t>species.COWP.parameter.PSNTFROST.value = "-30"</t>
  </si>
  <si>
    <t>species.COWP.parameter.PSNTMAX.value = "40"</t>
  </si>
  <si>
    <t>species.COWP.parameter.PSNTMIN.value = "0"</t>
  </si>
  <si>
    <t>species.COWP.parameter.PSNTOPT.value = "20"</t>
  </si>
  <si>
    <t>species.COWP.parameter.QHRD.value = "0.4"</t>
  </si>
  <si>
    <t>species.COWP.parameter.QJVC.value = "1.8"</t>
  </si>
  <si>
    <t>species.COWP.parameter.QRD25.value = "0.0125"</t>
  </si>
  <si>
    <t>species.COWP.parameter.QRF.value = "1"</t>
  </si>
  <si>
    <t>species.COWP.parameter.QSF_P1.value = "4"</t>
  </si>
  <si>
    <t>species.COWP.parameter.QSF_P2.value = "0"</t>
  </si>
  <si>
    <t>species.COWP.parameter.QVOVC.value = "0.21"</t>
  </si>
  <si>
    <t>species.COWP.parameter.QWODFOLMIN.value = "1.25"</t>
  </si>
  <si>
    <t>species.COWP.parameter.RBUDDEM.value = "5"</t>
  </si>
  <si>
    <t>species.COWP.parameter.REDISTRIBUTION_ROOT.value = "0.01"</t>
  </si>
  <si>
    <t>species.COWP.parameter.RESP.value = "70"</t>
  </si>
  <si>
    <t>species.COWP.parameter.RESPQ10.value = "2"</t>
  </si>
  <si>
    <t>species.COWP.parameter.ROOTMRESPFRAC.value = "1"</t>
  </si>
  <si>
    <t>species.COWP.parameter.RPMIN.value = "6.25"</t>
  </si>
  <si>
    <t>species.COWP.parameter.RS_CONDUCT.value = "0"</t>
  </si>
  <si>
    <t>species.COWP.parameter.SCALE_I.value = "1"</t>
  </si>
  <si>
    <t>species.COWP.parameter.SCALE_M.value = "1"</t>
  </si>
  <si>
    <t>species.COWP.parameter.SDJ.value = "646.2"</t>
  </si>
  <si>
    <t>species.COWP.parameter.SENESCENCE_AGE.value = "0"</t>
  </si>
  <si>
    <t>species.COWP.parameter.SENESCENCE_DROUGHT.value = "0"</t>
  </si>
  <si>
    <t>species.COWP.parameter.SENESCENCE_FROST.value = "0"</t>
  </si>
  <si>
    <t>species.COWP.parameter.SENESCENCE_HEAT.value = "0"</t>
  </si>
  <si>
    <t>species.COWP.parameter.SENESCENCE_WATER.value = "0.01"</t>
  </si>
  <si>
    <t>species.COWP.parameter.SENESCSTART.value = "270"</t>
  </si>
  <si>
    <t>species.COWP.parameter.SHOOT_STIMULATION_REPROD.value = "0"</t>
  </si>
  <si>
    <t>species.COWP.parameter.SLADECLINE.value = "0.2"</t>
  </si>
  <si>
    <t>species.COWP.parameter.SLAMAX.value = "28.1"</t>
  </si>
  <si>
    <t>species.COWP.parameter.SLAMIN.value = "28.1"</t>
  </si>
  <si>
    <t>species.COWP.parameter.SLOPE_GSA.value = "10.4"</t>
  </si>
  <si>
    <t>species.COWP.parameter.SLOPE_GSCO2.value = "1"</t>
  </si>
  <si>
    <t>species.COWP.parameter.SLOPE_GSH2O.value = "3.3"</t>
  </si>
  <si>
    <t>species.COWP.parameter.SLOPE_NC.value = "1"</t>
  </si>
  <si>
    <t>species.COWP.parameter.SRLMAX.value = "70000"</t>
  </si>
  <si>
    <t>species.COWP.parameter.SRLMIN.value = "5000"</t>
  </si>
  <si>
    <t>species.COWP.parameter.TAP_P1.value = "1.75"</t>
  </si>
  <si>
    <t>species.COWP.parameter.TAP_P2.value = "1.1"</t>
  </si>
  <si>
    <t>species.COWP.parameter.TAP_P3.value = "-2.75"</t>
  </si>
  <si>
    <t>species.COWP.parameter.TAU.value = "0.03"</t>
  </si>
  <si>
    <t>species.COWP.parameter.THETA.value = "0.9"</t>
  </si>
  <si>
    <t>species.COWP.parameter.TLIMIT.value = "5"</t>
  </si>
  <si>
    <t>species.COWP.parameter.TMINCRIT.value = "50"</t>
  </si>
  <si>
    <t>species.COWP.parameter.TOFRTBAS.value = "0.0027"</t>
  </si>
  <si>
    <t>species.COWP.parameter.TOSAPMAX.value = "0.0005"</t>
  </si>
  <si>
    <t>species.COWP.parameter.UCMAX.value = "0"</t>
  </si>
  <si>
    <t>species.COWP.parameter.UGWDF.value = "0"</t>
  </si>
  <si>
    <t>species.COWP.parameter.US_DON.value = "0"</t>
  </si>
  <si>
    <t>species.COWP.parameter.US_NH4.value = "0.012"</t>
  </si>
  <si>
    <t>species.COWP.parameter.US_NH4MYC.value = "0.06"</t>
  </si>
  <si>
    <t>species.COWP.parameter.US_NO3.value = "0.006"</t>
  </si>
  <si>
    <t>species.COWP.parameter.US_NO3MYC.value = "0.0075"</t>
  </si>
  <si>
    <t>species.COWP.parameter.VCFACT.value = "1"</t>
  </si>
  <si>
    <t>species.COWP.parameter.VCMAX25.value = "122"</t>
  </si>
  <si>
    <t>species.COWP.parameter.VPDREF.value = "3.1"</t>
  </si>
  <si>
    <t>species.COWP.parameter.WINTERLIMIT.value = "0"</t>
  </si>
  <si>
    <t>species.COWP.parameter.WOODMRESPA.value = "0.07"</t>
  </si>
  <si>
    <t>species.COWP.parameter.WUECMAX.value = "10.9"</t>
  </si>
  <si>
    <t>species.COWP.parameter.WUECMIN.value = "10.9"</t>
  </si>
  <si>
    <t>species.COWP.parameter.ZRTMC.value = "1.2"</t>
  </si>
  <si>
    <t>species.COWP.parameter.DLEAFSHED.value = "300"</t>
  </si>
  <si>
    <t>species.COWP.parameter.NDFLUSH.value = "40"</t>
  </si>
  <si>
    <t>species.COWP.parameter.NDMORTA.value = "40"</t>
  </si>
  <si>
    <t>species.SORG.mnemonic = "SORG"</t>
  </si>
  <si>
    <t>species.SORG.group = "crop"</t>
  </si>
  <si>
    <t>species.SORG.parent = ":MILLETS:"</t>
  </si>
  <si>
    <t>species.SORG.parameter.C4_TYPE.value = "true"</t>
  </si>
  <si>
    <t>species.SORG.parameter.CONIFEROUS.value = "false"</t>
  </si>
  <si>
    <t>species.SORG.parameter.DECIDUOUS.value = "true"</t>
  </si>
  <si>
    <t>species.SORG.parameter.FREEGROWTH.value = "true"</t>
  </si>
  <si>
    <t>species.SORG.parameter.RATOON.value = "false"</t>
  </si>
  <si>
    <t>species.SORG.parameter.ROOTS_ENVIRONMENTAL.value = "false"</t>
  </si>
  <si>
    <t>species.SORG.parameter.SAVANNA.value = "false"</t>
  </si>
  <si>
    <t>species.SORG.parameter.TUBER.value = "false"</t>
  </si>
  <si>
    <t>species.SORG.parameter.AEIS.value = "0"</t>
  </si>
  <si>
    <t>species.SORG.parameter.AEJM.value = "77900"</t>
  </si>
  <si>
    <t>species.SORG.parameter.AEKC.value = "59356"</t>
  </si>
  <si>
    <t>species.SORG.parameter.AEKO.value = "36000"</t>
  </si>
  <si>
    <t>species.SORG.parameter.AERD.value = "50967"</t>
  </si>
  <si>
    <t>species.SORG.parameter.AEVC.value = "36000"</t>
  </si>
  <si>
    <t>species.SORG.parameter.AEVO.value = "55300"</t>
  </si>
  <si>
    <t>species.SORG.parameter.ALB.value = "0.19"</t>
  </si>
  <si>
    <t>species.SORG.parameter.ALPHA0_IS.value = "0"</t>
  </si>
  <si>
    <t>species.SORG.parameter.ALPHA0_MT.value = "0"</t>
  </si>
  <si>
    <t>species.SORG.parameter.AMAXA.value = "5.3"</t>
  </si>
  <si>
    <t>species.SORG.parameter.AMAXB.value = "21.5"</t>
  </si>
  <si>
    <t>species.SORG.parameter.AMAXFRAC.value = "0.76"</t>
  </si>
  <si>
    <t>species.SORG.parameter.A_EXP.value = "0"</t>
  </si>
  <si>
    <t>species.SORG.parameter.A_REF.value = "-1"</t>
  </si>
  <si>
    <t>species.SORG.parameter.BASEFOLRESPFRAC.value = "0.1"</t>
  </si>
  <si>
    <t>species.SORG.parameter.CB.value = "0.5"</t>
  </si>
  <si>
    <t>species.SORG.parameter.CDAMP.value = "1.5"</t>
  </si>
  <si>
    <t>species.SORG.parameter.CDR_P1.value = "0"</t>
  </si>
  <si>
    <t>species.SORG.parameter.CDR_P2.value = "0"</t>
  </si>
  <si>
    <t>species.SORG.parameter.CDR_P3.value = "0"</t>
  </si>
  <si>
    <t>species.SORG.parameter.CELLULOSE.value = "0.7"</t>
  </si>
  <si>
    <t>species.SORG.parameter.CFCROPT.value = "0"</t>
  </si>
  <si>
    <t>species.SORG.parameter.CHILL_TEMP_MAX.value = "8"</t>
  </si>
  <si>
    <t>species.SORG.parameter.CHILL_UNITS.value = "0"</t>
  </si>
  <si>
    <t>species.SORG.parameter.CL_P1.value = "2.15"</t>
  </si>
  <si>
    <t>species.SORG.parameter.CL_P2.value = "0.9"</t>
  </si>
  <si>
    <t>species.SORG.parameter.CSR_REF.value = "-2"</t>
  </si>
  <si>
    <t>species.SORG.parameter.CT_IS.value = "32.86"</t>
  </si>
  <si>
    <t>species.SORG.parameter.CT_MT.value = "32.86"</t>
  </si>
  <si>
    <t>species.SORG.parameter.CWP_REF.value = "0.01"</t>
  </si>
  <si>
    <t>species.SORG.parameter.DBRANCH.value = "0.2"</t>
  </si>
  <si>
    <t>species.SORG.parameter.DFOL.value = "1"</t>
  </si>
  <si>
    <t>species.SORG.parameter.DFRTOPT.value = "0.1"</t>
  </si>
  <si>
    <t>species.SORG.parameter.DF_EXP.value = "0.4"</t>
  </si>
  <si>
    <t>species.SORG.parameter.DF_LIMIT.value = "5000"</t>
  </si>
  <si>
    <t>species.SORG.parameter.DIAMMAX.value = "0.01"</t>
  </si>
  <si>
    <t>species.SORG.parameter.DOC_RESP_RATIO.value = "0.025"</t>
  </si>
  <si>
    <t>species.SORG.parameter.DRAGC.value = "0.03"</t>
  </si>
  <si>
    <t>species.SORG.parameter.DSAP.value = "0.45"</t>
  </si>
  <si>
    <t>species.SORG.parameter.DS_IS.value = "887.5"</t>
  </si>
  <si>
    <t>species.SORG.parameter.DS_MT.value = "887.5"</t>
  </si>
  <si>
    <t>species.SORG.parameter.DVPD1.value = "0.05"</t>
  </si>
  <si>
    <t>species.SORG.parameter.DVPD2.value = "2"</t>
  </si>
  <si>
    <t>species.SORG.parameter.EF_ISO.value = "0"</t>
  </si>
  <si>
    <t>species.SORG.parameter.EF_MONO.value = "0"</t>
  </si>
  <si>
    <t>species.SORG.parameter.EF_MONOS.value = "0"</t>
  </si>
  <si>
    <t>species.SORG.parameter.EF_OVOC.value = "1.5"</t>
  </si>
  <si>
    <t>species.SORG.parameter.EXPL_NH4.value = "0.01"</t>
  </si>
  <si>
    <t>species.SORG.parameter.EXPL_NO3.value = "0.01"</t>
  </si>
  <si>
    <t>species.SORG.parameter.EXP_ROOT_DISTRIBUTION.value = "0"</t>
  </si>
  <si>
    <t>species.SORG.parameter.EXT.value = "0.63"</t>
  </si>
  <si>
    <t>species.SORG.parameter.FAGE.value = "1"</t>
  </si>
  <si>
    <t>species.SORG.parameter.FBRAF_M.value = "0"</t>
  </si>
  <si>
    <t>species.SORG.parameter.FBRAF_Y.value = "0"</t>
  </si>
  <si>
    <t>species.SORG.parameter.FFACMAX.value = "0.5"</t>
  </si>
  <si>
    <t>species.SORG.parameter.FIRE_BARKA.value = "0.0347"</t>
  </si>
  <si>
    <t>species.SORG.parameter.FIRE_BARKB.value = "0.1086"</t>
  </si>
  <si>
    <t>species.SORG.parameter.FIRE_DENSFUEL.value = "22"</t>
  </si>
  <si>
    <t>species.SORG.parameter.FIRE_EM_CH4.value = "4.8"</t>
  </si>
  <si>
    <t>species.SORG.parameter.FIRE_EM_CO2.value = "1568"</t>
  </si>
  <si>
    <t>species.SORG.parameter.FIRE_EM_CO.value = "106"</t>
  </si>
  <si>
    <t>species.SORG.parameter.FIRE_EM_N2.value = "1.6"</t>
  </si>
  <si>
    <t>species.SORG.parameter.FIRE_EM_N2O.value = "1.6"</t>
  </si>
  <si>
    <t>species.SORG.parameter.FIRE_EM_NOX.value = "3.24"</t>
  </si>
  <si>
    <t>species.SORG.parameter.FIRE_EM_TPM.value = "17.6"</t>
  </si>
  <si>
    <t>species.SORG.parameter.FIRE_EM_VOC.value = "5.7"</t>
  </si>
  <si>
    <t>species.SORG.parameter.FIRE_FIRERESIST.value = "0.1"</t>
  </si>
  <si>
    <t>species.SORG.parameter.FIRE_FLAME.value = "0.094"</t>
  </si>
  <si>
    <t>species.SORG.parameter.FIRE_P.value = "3"</t>
  </si>
  <si>
    <t>species.SORG.parameter.FIRE_RCK.value = "0.95"</t>
  </si>
  <si>
    <t>species.SORG.parameter.FOLRELGROMAX.value = "0.1"</t>
  </si>
  <si>
    <t>species.SORG.parameter.FRACTION_FOLIAGE.value = "0.085"</t>
  </si>
  <si>
    <t>species.SORG.parameter.FRACTION_FRUIT.value = "0.37"</t>
  </si>
  <si>
    <t>species.SORG.parameter.FRACTION_ROOT.value = "0.15"</t>
  </si>
  <si>
    <t>species.SORG.parameter.FRET_N.value = "0.54"</t>
  </si>
  <si>
    <t>species.SORG.parameter.FROSTA.value = "0"</t>
  </si>
  <si>
    <t>species.SORG.parameter.FROSTB.value = "0"</t>
  </si>
  <si>
    <t>species.SORG.parameter.FRTALLOC_BASE.value = "0"</t>
  </si>
  <si>
    <t>species.SORG.parameter.FRTALLOC_REL.value = "2"</t>
  </si>
  <si>
    <t>species.SORG.parameter.FRTLOSS_SCALE.value = "4"</t>
  </si>
  <si>
    <t>species.SORG.parameter.FRTMASSINIT.value = "50"</t>
  </si>
  <si>
    <t>species.SORG.parameter.FYIELD.value = "0.13"</t>
  </si>
  <si>
    <t>species.SORG.parameter.GDDFOLEND.value = "1100"</t>
  </si>
  <si>
    <t>species.SORG.parameter.GDDFOLSTART.value = "150"</t>
  </si>
  <si>
    <t>species.SORG.parameter.GDDWODEND.value = "1100"</t>
  </si>
  <si>
    <t>species.SORG.parameter.GDDWODSTART.value = "250"</t>
  </si>
  <si>
    <t>species.SORG.parameter.GDD_BASE_TEMPERATURE.value = "11"</t>
  </si>
  <si>
    <t>species.SORG.parameter.GDD_EMERGENCE.value = "70"</t>
  </si>
  <si>
    <t>species.SORG.parameter.GDD_FLOWERING.value = "670"</t>
  </si>
  <si>
    <t>species.SORG.parameter.GDD_GRAIN_FILLING.value = "820"</t>
  </si>
  <si>
    <t>species.SORG.parameter.GDD_MATURITY.value = "1460"</t>
  </si>
  <si>
    <t>species.SORG.parameter.GDD_MAX_TEMPERATURE.value = "34"</t>
  </si>
  <si>
    <t>species.SORG.parameter.GDD_ROOTS_GROWN.value = "1400"</t>
  </si>
  <si>
    <t>species.SORG.parameter.GDD_STEM_ELONGATION.value = "500"</t>
  </si>
  <si>
    <t>species.SORG.parameter.GGDPS_B.value = "0.000437"</t>
  </si>
  <si>
    <t>species.SORG.parameter.GSMAX.value = "340"</t>
  </si>
  <si>
    <t>species.SORG.parameter.GSMIN.value = "10.4"</t>
  </si>
  <si>
    <t>species.SORG.parameter.GZRTZ.value = "0.01"</t>
  </si>
  <si>
    <t>species.SORG.parameter.H2OREF_A.value = "0.45"</t>
  </si>
  <si>
    <t>species.SORG.parameter.H2OREF_FLUSHING.value = "0"</t>
  </si>
  <si>
    <t>species.SORG.parameter.H2OREF_GS.value = "0.33"</t>
  </si>
  <si>
    <t>species.SORG.parameter.H2OREF_LEAF_GROWTH.value = "0"</t>
  </si>
  <si>
    <t>species.SORG.parameter.H2OREF_SENESCENCE.value = "0"</t>
  </si>
  <si>
    <t>species.SORG.parameter.HALFSAT.value = "200"</t>
  </si>
  <si>
    <t>species.SORG.parameter.HA_IS.value = "83129"</t>
  </si>
  <si>
    <t>species.SORG.parameter.HA_MT.value = "83129"</t>
  </si>
  <si>
    <t>species.SORG.parameter.HDJ.value = "200000"</t>
  </si>
  <si>
    <t>species.SORG.parameter.HD_EXP.value = "6"</t>
  </si>
  <si>
    <t>species.SORG.parameter.HD_IS.value = "284600"</t>
  </si>
  <si>
    <t>species.SORG.parameter.HD_MAX.value = "120"</t>
  </si>
  <si>
    <t>species.SORG.parameter.HD_MIN.value = "50"</t>
  </si>
  <si>
    <t>species.SORG.parameter.HD_MT.value = "284600"</t>
  </si>
  <si>
    <t>species.SORG.parameter.HEIGHT_MAX.value = "2"</t>
  </si>
  <si>
    <t>species.SORG.parameter.HLEAFCRIT.value = "0"</t>
  </si>
  <si>
    <t>species.SORG.parameter.HREF.value = "1"</t>
  </si>
  <si>
    <t>species.SORG.parameter.HYPOXIA.value = "0.4"</t>
  </si>
  <si>
    <t>species.SORG.parameter.INI_N_FIX.value = "0"</t>
  </si>
  <si>
    <t>species.SORG.parameter.KC25.value = "650"</t>
  </si>
  <si>
    <t>species.SORG.parameter.KCOMPINIT.value = "0"</t>
  </si>
  <si>
    <t>species.SORG.parameter.KM20.value = "0.1"</t>
  </si>
  <si>
    <t>species.SORG.parameter.KM_GDPS_DMADP.value = "0"</t>
  </si>
  <si>
    <t>species.SORG.parameter.KM_GDPS_IDP.value = "0"</t>
  </si>
  <si>
    <t>species.SORG.parameter.KM_IS.value = "0"</t>
  </si>
  <si>
    <t>species.SORG.parameter.KM_MT.value = "0"</t>
  </si>
  <si>
    <t>species.SORG.parameter.KO25.value = "450"</t>
  </si>
  <si>
    <t>species.SORG.parameter.KRC_WOOD.value = "0.00025"</t>
  </si>
  <si>
    <t>species.SORG.parameter.KRSCOMP.value = "0"</t>
  </si>
  <si>
    <t>species.SORG.parameter.KRSINIT.value = "0"</t>
  </si>
  <si>
    <t>species.SORG.parameter.K_MM_NITROGEN_UPTAKE.value = "0.0002"</t>
  </si>
  <si>
    <t>species.SORG.parameter.LIGNIN.value = "0.1"</t>
  </si>
  <si>
    <t>species.SORG.parameter.MAINTENANCE_TEMP_REF.value = "35"</t>
  </si>
  <si>
    <t>species.SORG.parameter.MC_LEAF.value = "0.02"</t>
  </si>
  <si>
    <t>species.SORG.parameter.MC_ROOT.value = "0.01"</t>
  </si>
  <si>
    <t>species.SORG.parameter.MC_STEM.value = "0.01"</t>
  </si>
  <si>
    <t>species.SORG.parameter.MC_STORAGE.value = "0.001"</t>
  </si>
  <si>
    <t>species.SORG.parameter.MFOLOPT.value = "0.4"</t>
  </si>
  <si>
    <t>species.SORG.parameter.MORTCROWD.value = "100000000"</t>
  </si>
  <si>
    <t>species.SORG.parameter.MORTNORM.value = "0"</t>
  </si>
  <si>
    <t>species.SORG.parameter.MUE_IS.value = "0.175"</t>
  </si>
  <si>
    <t>species.SORG.parameter.MUE_MT.value = "0.175"</t>
  </si>
  <si>
    <t>species.SORG.parameter.MWFM.value = "0.0005"</t>
  </si>
  <si>
    <t>species.SORG.parameter.MWWM.value = "1e-09"</t>
  </si>
  <si>
    <t>species.SORG.parameter.M_FRUIT_OPT.value = "0.432"</t>
  </si>
  <si>
    <t>species.SORG.parameter.NCFOLOPT.value = "0.02"</t>
  </si>
  <si>
    <t>species.SORG.parameter.NCSAPOPT.value = "0"</t>
  </si>
  <si>
    <t>species.SORG.parameter.NC_FINEROOTS_MAX.value = "0.012"</t>
  </si>
  <si>
    <t>species.SORG.parameter.NC_FINEROOTS_MIN.value = "0.0035"</t>
  </si>
  <si>
    <t>species.SORG.parameter.NC_FOLIAGE_MAX.value = "0.012"</t>
  </si>
  <si>
    <t>species.SORG.parameter.NC_FOLIAGE_MIN.value = "0.0035"</t>
  </si>
  <si>
    <t>species.SORG.parameter.NC_FRUIT_MAX.value = "0.032"</t>
  </si>
  <si>
    <t>species.SORG.parameter.NC_FRUIT_MIN.value = "0.01"</t>
  </si>
  <si>
    <t>species.SORG.parameter.NC_STRUCTURAL_TISSUE_MAX.value = "0.012"</t>
  </si>
  <si>
    <t>species.SORG.parameter.NC_STRUCTURAL_TISSUE_MIN.value = "0.0035"</t>
  </si>
  <si>
    <t>species.SORG.parameter.NFIX_CEFF.value = "5"</t>
  </si>
  <si>
    <t>species.SORG.parameter.NFIX_RATE.value = "0"</t>
  </si>
  <si>
    <t>species.SORG.parameter.NFIX_TMAX.value = "44"</t>
  </si>
  <si>
    <t>species.SORG.parameter.NFIX_TMIN.value = "5"</t>
  </si>
  <si>
    <t>species.SORG.parameter.NFIX_TOPT.value = "35"</t>
  </si>
  <si>
    <t>species.SORG.parameter.NFIX_W.value = "-6"</t>
  </si>
  <si>
    <t>species.SORG.parameter.N_DEF_FACTOR.value = "1"</t>
  </si>
  <si>
    <t>species.SORG.parameter.N_DEMAND_REPROD.value = "5"</t>
  </si>
  <si>
    <t>species.SORG.parameter.N_DEMAND_VEG.value = "5"</t>
  </si>
  <si>
    <t>species.SORG.parameter.PA.value = "0"</t>
  </si>
  <si>
    <t>species.SORG.parameter.PEXS.value = "0.25"</t>
  </si>
  <si>
    <t>species.SORG.parameter.PFL.value = "1.1"</t>
  </si>
  <si>
    <t>species.SORG.parameter.PHOTOPERIODISM.value = "0"</t>
  </si>
  <si>
    <t>species.SORG.parameter.PSI_EXP.value = "5.3"</t>
  </si>
  <si>
    <t>species.SORG.parameter.PSI_REF.value = "-3.2"</t>
  </si>
  <si>
    <t>species.SORG.parameter.PSL.value = "1"</t>
  </si>
  <si>
    <t>species.SORG.parameter.PSNTFROST.value = "-30"</t>
  </si>
  <si>
    <t>species.SORG.parameter.PSNTMAX.value = "48"</t>
  </si>
  <si>
    <t>species.SORG.parameter.PSNTMIN.value = "10"</t>
  </si>
  <si>
    <t>species.SORG.parameter.PSNTOPT.value = "28"</t>
  </si>
  <si>
    <t>species.SORG.parameter.QHRD.value = "0.4"</t>
  </si>
  <si>
    <t>species.SORG.parameter.QJVC.value = "6.7"</t>
  </si>
  <si>
    <t>species.SORG.parameter.QRD25.value = "0.02"</t>
  </si>
  <si>
    <t>species.SORG.parameter.QRF.value = "0.21"</t>
  </si>
  <si>
    <t>species.SORG.parameter.QSF_P1.value = "4"</t>
  </si>
  <si>
    <t>species.SORG.parameter.QSF_P2.value = "0"</t>
  </si>
  <si>
    <t>species.SORG.parameter.QVOVC.value = "0.21"</t>
  </si>
  <si>
    <t>species.SORG.parameter.QWODFOLMIN.value = "1.25"</t>
  </si>
  <si>
    <t>species.SORG.parameter.RBUDDEM.value = "5"</t>
  </si>
  <si>
    <t>species.SORG.parameter.REDISTRIBUTION_ROOT.value = "0.01"</t>
  </si>
  <si>
    <t>species.SORG.parameter.RESP.value = "70"</t>
  </si>
  <si>
    <t>species.SORG.parameter.RESPQ10.value = "2"</t>
  </si>
  <si>
    <t>species.SORG.parameter.ROOTMRESPFRAC.value = "1"</t>
  </si>
  <si>
    <t>species.SORG.parameter.RPMIN.value = "6.25"</t>
  </si>
  <si>
    <t>species.SORG.parameter.RS_CONDUCT.value = "0"</t>
  </si>
  <si>
    <t>species.SORG.parameter.SCALE_I.value = "1"</t>
  </si>
  <si>
    <t>species.SORG.parameter.SCALE_M.value = "1"</t>
  </si>
  <si>
    <t>species.SORG.parameter.SDJ.value = "620"</t>
  </si>
  <si>
    <t>species.SORG.parameter.SENESCENCE_AGE.value = "0"</t>
  </si>
  <si>
    <t>species.SORG.parameter.SENESCENCE_DROUGHT.value = "0"</t>
  </si>
  <si>
    <t>species.SORG.parameter.SENESCENCE_FROST.value = "0"</t>
  </si>
  <si>
    <t>species.SORG.parameter.SENESCENCE_HEAT.value = "0"</t>
  </si>
  <si>
    <t>species.SORG.parameter.SENESCENCE_WATER.value = "0.01"</t>
  </si>
  <si>
    <t>species.SORG.parameter.SENESCSTART.value = "270"</t>
  </si>
  <si>
    <t>species.SORG.parameter.SHOOT_STIMULATION_REPROD.value = "0"</t>
  </si>
  <si>
    <t>species.SORG.parameter.SLADECLINE.value = "0.5"</t>
  </si>
  <si>
    <t>species.SORG.parameter.SLAMAX.value = "35"</t>
  </si>
  <si>
    <t>species.SORG.parameter.SLAMIN.value = "8"</t>
  </si>
  <si>
    <t>species.SORG.parameter.SLOPE_GSA.value = "4"</t>
  </si>
  <si>
    <t>species.SORG.parameter.SLOPE_GSCO2.value = "1"</t>
  </si>
  <si>
    <t>species.SORG.parameter.SLOPE_GSH2O.value = "3.3"</t>
  </si>
  <si>
    <t>species.SORG.parameter.SLOPE_NC.value = "1"</t>
  </si>
  <si>
    <t>species.SORG.parameter.SRLMAX.value = "70000"</t>
  </si>
  <si>
    <t>species.SORG.parameter.SRLMIN.value = "5000"</t>
  </si>
  <si>
    <t>species.SORG.parameter.TAP_P1.value = "1.75"</t>
  </si>
  <si>
    <t>species.SORG.parameter.TAP_P2.value = "1.1"</t>
  </si>
  <si>
    <t>species.SORG.parameter.TAP_P3.value = "-2.75"</t>
  </si>
  <si>
    <t>species.SORG.parameter.TAU.value = "0.03"</t>
  </si>
  <si>
    <t>species.SORG.parameter.THETA.value = "0.7"</t>
  </si>
  <si>
    <t>species.SORG.parameter.TLIMIT.value = "5"</t>
  </si>
  <si>
    <t>species.SORG.parameter.TMINCRIT.value = "50"</t>
  </si>
  <si>
    <t>species.SORG.parameter.TOFRTBAS.value = "0.0013"</t>
  </si>
  <si>
    <t>species.SORG.parameter.TOSAPMAX.value = "0.0005"</t>
  </si>
  <si>
    <t>species.SORG.parameter.UCMAX.value = "0"</t>
  </si>
  <si>
    <t>species.SORG.parameter.UGWDF.value = "0"</t>
  </si>
  <si>
    <t>species.SORG.parameter.US_DON.value = "0"</t>
  </si>
  <si>
    <t>species.SORG.parameter.US_NH4.value = "0.012"</t>
  </si>
  <si>
    <t>species.SORG.parameter.US_NH4MYC.value = "0.06"</t>
  </si>
  <si>
    <t>species.SORG.parameter.US_NO3.value = "0.006"</t>
  </si>
  <si>
    <t>species.SORG.parameter.US_NO3MYC.value = "0.0075"</t>
  </si>
  <si>
    <t>species.SORG.parameter.VCFACT.value = "1"</t>
  </si>
  <si>
    <t>species.SORG.parameter.VCMAX25.value = "50"</t>
  </si>
  <si>
    <t>species.SORG.parameter.VPDREF.value = "3.1"</t>
  </si>
  <si>
    <t>species.SORG.parameter.WINTERLIMIT.value = "0"</t>
  </si>
  <si>
    <t>species.SORG.parameter.WOODMRESPA.value = "0.07"</t>
  </si>
  <si>
    <t>species.SORG.parameter.WUECMAX.value = "5"</t>
  </si>
  <si>
    <t>species.SORG.parameter.WUECMIN.value = "5.45"</t>
  </si>
  <si>
    <t>species.SORG.parameter.ZRTMC.value = "2"</t>
  </si>
  <si>
    <t>species.SORG.parameter.DLEAFSHED.value = "300"</t>
  </si>
  <si>
    <t>species.SORG.parameter.NDFLUSH.value = "40"</t>
  </si>
  <si>
    <t>species.SORG.parameter.NDMORTA.value = "40"</t>
  </si>
  <si>
    <t>AEIS</t>
  </si>
  <si>
    <t>value = "0</t>
  </si>
  <si>
    <t>ALPHA0_MT</t>
  </si>
  <si>
    <t>value = "5</t>
  </si>
  <si>
    <t>value = "21</t>
  </si>
  <si>
    <t>A_EXP</t>
  </si>
  <si>
    <t>A_REF</t>
  </si>
  <si>
    <t>value = "1</t>
  </si>
  <si>
    <t>CDR_P1</t>
  </si>
  <si>
    <t>CDR_P2</t>
  </si>
  <si>
    <t>CDR_P3</t>
  </si>
  <si>
    <t>CFCROPT</t>
  </si>
  <si>
    <t>CHILL_TEMP_MAX</t>
  </si>
  <si>
    <t>CHILL_UNITS</t>
  </si>
  <si>
    <t>value = "2</t>
  </si>
  <si>
    <t>CSR_REF</t>
  </si>
  <si>
    <t>value = "32</t>
  </si>
  <si>
    <t>DFOL</t>
  </si>
  <si>
    <t>DF_LIMIT</t>
  </si>
  <si>
    <t>value = "887</t>
  </si>
  <si>
    <t>DVPD2</t>
  </si>
  <si>
    <t>EF_ISO</t>
  </si>
  <si>
    <t>EF_MONO</t>
  </si>
  <si>
    <t>EF_MONOS</t>
  </si>
  <si>
    <t>EXP_ROOT_DISTRIBUTION</t>
  </si>
  <si>
    <t>FAGE</t>
  </si>
  <si>
    <t>FBRAF_M</t>
  </si>
  <si>
    <t>FBRAF_Y</t>
  </si>
  <si>
    <t>FIRE_DENSFUEL</t>
  </si>
  <si>
    <t>value = "4</t>
  </si>
  <si>
    <t>FIRE_EM_CO2</t>
  </si>
  <si>
    <t>FIRE_EM_CO</t>
  </si>
  <si>
    <t>value = "3</t>
  </si>
  <si>
    <t>value = "17</t>
  </si>
  <si>
    <t>FIRE_P</t>
  </si>
  <si>
    <t>FROSTA</t>
  </si>
  <si>
    <t>FROSTB</t>
  </si>
  <si>
    <t>FRTALLOC_BASE</t>
  </si>
  <si>
    <t>FRTALLOC_REL</t>
  </si>
  <si>
    <t>FRTLOSS_SCALE</t>
  </si>
  <si>
    <t>FRTMASSINIT</t>
  </si>
  <si>
    <t>GDDWODEND</t>
  </si>
  <si>
    <t>GDDWODSTART</t>
  </si>
  <si>
    <t>GDD_FLOWERING</t>
  </si>
  <si>
    <t>GDD_GRAIN_FILLING</t>
  </si>
  <si>
    <t>GDD_MAX_TEMPERATURE</t>
  </si>
  <si>
    <t>H2OREF_LEAF_GROWTH</t>
  </si>
  <si>
    <t>HALFSAT</t>
  </si>
  <si>
    <t>HA_IS</t>
  </si>
  <si>
    <t>HA_MT</t>
  </si>
  <si>
    <t>HDJ</t>
  </si>
  <si>
    <t>HD_EXP</t>
  </si>
  <si>
    <t>HD_IS</t>
  </si>
  <si>
    <t>HD_MAX</t>
  </si>
  <si>
    <t>HD_MIN</t>
  </si>
  <si>
    <t>HD_MT</t>
  </si>
  <si>
    <t>HLEAFCRIT</t>
  </si>
  <si>
    <t>INI_N_FIX</t>
  </si>
  <si>
    <t>KCOMPINIT</t>
  </si>
  <si>
    <t>KM_GDPS_DMADP</t>
  </si>
  <si>
    <t>KM_GDPS_IDP</t>
  </si>
  <si>
    <t>KM_IS</t>
  </si>
  <si>
    <t>KM_MT</t>
  </si>
  <si>
    <t>KRSCOMP</t>
  </si>
  <si>
    <t>KRSINIT</t>
  </si>
  <si>
    <t>K_MM_NITROGEN_UPTAKE</t>
  </si>
  <si>
    <t>MAINTENANCE_TEMP_REF</t>
  </si>
  <si>
    <t>MORTCROWD</t>
  </si>
  <si>
    <t>MORTNORM</t>
  </si>
  <si>
    <t>MWWM</t>
  </si>
  <si>
    <t>M_FRUIT_OPT</t>
  </si>
  <si>
    <t>NCSAPOPT</t>
  </si>
  <si>
    <t>NFIX_CEFF</t>
  </si>
  <si>
    <t>NFIX_TMAX</t>
  </si>
  <si>
    <t>NFIX_TMIN</t>
  </si>
  <si>
    <t>NFIX_TOPT</t>
  </si>
  <si>
    <t>NFIX_W</t>
  </si>
  <si>
    <t>N_DEF_FACTOR</t>
  </si>
  <si>
    <t>N_DEMAND_REPROD</t>
  </si>
  <si>
    <t>N_DEMAND_VEG</t>
  </si>
  <si>
    <t>PA</t>
  </si>
  <si>
    <t>PHOTOPERIODISM</t>
  </si>
  <si>
    <t>value = "-3</t>
  </si>
  <si>
    <t>PSNTFROST</t>
  </si>
  <si>
    <t>PSNTMAX</t>
  </si>
  <si>
    <t>PSNTMIN</t>
  </si>
  <si>
    <t>QSF_P1</t>
  </si>
  <si>
    <t>QSF_P2</t>
  </si>
  <si>
    <t>RBUDDEM</t>
  </si>
  <si>
    <t>RESP</t>
  </si>
  <si>
    <t>RESPQ10</t>
  </si>
  <si>
    <t>ROOTMRESPFRAC</t>
  </si>
  <si>
    <t>value = "6</t>
  </si>
  <si>
    <t>RS_CONDUCT</t>
  </si>
  <si>
    <t>SCALE_I</t>
  </si>
  <si>
    <t>SCALE_M</t>
  </si>
  <si>
    <t>value = "650</t>
  </si>
  <si>
    <t>SENESCENCE_HEAT</t>
  </si>
  <si>
    <t>SENESCENCE_WATER</t>
  </si>
  <si>
    <t>SENESCSTART</t>
  </si>
  <si>
    <t>SLADECLINE</t>
  </si>
  <si>
    <t>value = "10</t>
  </si>
  <si>
    <t>SLOPE_GSCO2</t>
  </si>
  <si>
    <t>SLOPE_NC</t>
  </si>
  <si>
    <t>SRLMAX</t>
  </si>
  <si>
    <t>SRLMIN</t>
  </si>
  <si>
    <t>value = "-2</t>
  </si>
  <si>
    <t>TLIMIT</t>
  </si>
  <si>
    <t>TMINCRIT</t>
  </si>
  <si>
    <t>TOSAPMAX</t>
  </si>
  <si>
    <t>UCMAX</t>
  </si>
  <si>
    <t>UGWDF</t>
  </si>
  <si>
    <t>US_DON</t>
  </si>
  <si>
    <t>VCFACT</t>
  </si>
  <si>
    <t>value = "71</t>
  </si>
  <si>
    <t>WINTERLIMIT</t>
  </si>
  <si>
    <t>ZRTMC</t>
  </si>
  <si>
    <t>wagv</t>
  </si>
  <si>
    <t>ALB</t>
  </si>
  <si>
    <t>A</t>
  </si>
  <si>
    <t>AMAXA</t>
  </si>
  <si>
    <t>QRD25</t>
  </si>
  <si>
    <t>Relation between maximum electron transport rate and RubP saturated rate of carboxylation</t>
  </si>
  <si>
    <t>Relation between dark respiration rate and RubP saturated rate of carboxyla tion at 25 oC</t>
  </si>
  <si>
    <t>https://gemini.google.com/app/566e13247b64da49</t>
  </si>
  <si>
    <t>AMAXB</t>
  </si>
  <si>
    <t>maximal net photosynthesis</t>
  </si>
  <si>
    <t>nanomols of CO2 per gram per second</t>
  </si>
  <si>
    <t>SENESCENCE_AGE</t>
  </si>
  <si>
    <t>Maximum percentage of living biomass being subject to senescence due to age</t>
  </si>
  <si>
    <t>Total leaf longevity from the first day of the emergend year on</t>
  </si>
  <si>
    <t>Curvature Parameter:  the shape of the light-response curve, which determines how quickly the electron transport rate (J) approaches its maximum (J_max) as Photosynthetically Active Radiation (PAR) increases.</t>
  </si>
  <si>
    <t>unitless</t>
  </si>
  <si>
    <t>https://gemini.google.com/app/5b003771d1f9befe</t>
  </si>
  <si>
    <t>Relative available soil water content below which leaf growth is affected.</t>
  </si>
  <si>
    <t>Relative available soil water content below which flushing is affected by water
availability</t>
  </si>
  <si>
    <t>PERG</t>
  </si>
  <si>
    <t>species.:C4:.mnemonic = ":C4:"</t>
  </si>
  <si>
    <t>species.:C4:.group = "grass"</t>
  </si>
  <si>
    <t>species.:C4:.parent = ":GRASS:"</t>
  </si>
  <si>
    <t>species.:C4:.parameter.C4_TYPE.value = "true"</t>
  </si>
  <si>
    <t>species.:C4:.parameter.CONIFEROUS.value = "false"</t>
  </si>
  <si>
    <t>species.:C4:.parameter.DECIDUOUS.value = "true"</t>
  </si>
  <si>
    <t>species.:C4:.parameter.FREEGROWTH.value = "true"</t>
  </si>
  <si>
    <t>species.:C4:.parameter.RATOON.value = "false"</t>
  </si>
  <si>
    <t>species.:C4:.parameter.ROOTS_ENVIRONMENTAL.value = "false"</t>
  </si>
  <si>
    <t>species.:C4:.parameter.SAVANNA.value = "false"</t>
  </si>
  <si>
    <t>species.:C4:.parameter.TUBER.value = "true"</t>
  </si>
  <si>
    <t>species.:C4:.parameter.AEIS.value = "0"</t>
  </si>
  <si>
    <t>species.:C4:.parameter.AEJM.value = "77900"</t>
  </si>
  <si>
    <t>species.:C4:.parameter.AEKC.value = "64200"</t>
  </si>
  <si>
    <t>species.:C4:.parameter.AEKO.value = "10500"</t>
  </si>
  <si>
    <t>species.:C4:.parameter.AERD.value = "50967"</t>
  </si>
  <si>
    <t>species.:C4:.parameter.AEVC.value = "78000"</t>
  </si>
  <si>
    <t>species.:C4:.parameter.AEVO.value = "55300"</t>
  </si>
  <si>
    <t>species.:C4:.parameter.ALB.value = "0.19"</t>
  </si>
  <si>
    <t>species.:C4:.parameter.ALPHA0_IS.value = "0"</t>
  </si>
  <si>
    <t>species.:C4:.parameter.ALPHA0_MT.value = "0"</t>
  </si>
  <si>
    <t>species.:C4:.parameter.AMAXA.value = "5.3"</t>
  </si>
  <si>
    <t>species.:C4:.parameter.AMAXB.value = "21.5"</t>
  </si>
  <si>
    <t>species.:C4:.parameter.AMAXFRAC.value = "0.76"</t>
  </si>
  <si>
    <t>species.:C4:.parameter.A_EXP.value = "0"</t>
  </si>
  <si>
    <t>species.:C4:.parameter.A_REF.value = "-1"</t>
  </si>
  <si>
    <t>species.:C4:.parameter.BASEFOLRESPFRAC.value = "0.1"</t>
  </si>
  <si>
    <t>species.:C4:.parameter.CB.value = "0.5"</t>
  </si>
  <si>
    <t>species.:C4:.parameter.CDAMP.value = "1.5"</t>
  </si>
  <si>
    <t>species.:C4:.parameter.CDR_P1.value = "0"</t>
  </si>
  <si>
    <t>species.:C4:.parameter.CDR_P2.value = "0"</t>
  </si>
  <si>
    <t>species.:C4:.parameter.CDR_P3.value = "0"</t>
  </si>
  <si>
    <t>species.:C4:.parameter.CELLULOSE.value = "0.7"</t>
  </si>
  <si>
    <t>species.:C4:.parameter.CFCROPT.value = "0"</t>
  </si>
  <si>
    <t>species.:C4:.parameter.CHILL_TEMP_MAX.value = "8"</t>
  </si>
  <si>
    <t>species.:C4:.parameter.CHILL_UNITS.value = "0"</t>
  </si>
  <si>
    <t>species.:C4:.parameter.CL_P1.value = "2.15"</t>
  </si>
  <si>
    <t>species.:C4:.parameter.CL_P2.value = "0.9"</t>
  </si>
  <si>
    <t>species.:C4:.parameter.CSR_REF.value = "-2"</t>
  </si>
  <si>
    <t>species.:C4:.parameter.CT_IS.value = "32.86"</t>
  </si>
  <si>
    <t>species.:C4:.parameter.CT_MT.value = "32.86"</t>
  </si>
  <si>
    <t>species.:C4:.parameter.CWP_REF.value = "0.01"</t>
  </si>
  <si>
    <t>species.:C4:.parameter.DBRANCH.value = "0.2"</t>
  </si>
  <si>
    <t>species.:C4:.parameter.DFOL.value = "1"</t>
  </si>
  <si>
    <t>species.:C4:.parameter.DFRTOPT.value = "0.1"</t>
  </si>
  <si>
    <t>species.:C4:.parameter.DF_EXP.value = "0.4"</t>
  </si>
  <si>
    <t>species.:C4:.parameter.DF_LIMIT.value = "5000"</t>
  </si>
  <si>
    <t>species.:C4:.parameter.DIAMMAX.value = "0.01"</t>
  </si>
  <si>
    <t>species.:C4:.parameter.DOC_RESP_RATIO.value = "0.5"</t>
  </si>
  <si>
    <t>species.:C4:.parameter.DRAGC.value = "0.03"</t>
  </si>
  <si>
    <t>species.:C4:.parameter.DSAP.value = "0.45"</t>
  </si>
  <si>
    <t>species.:C4:.parameter.DS_IS.value = "887.5"</t>
  </si>
  <si>
    <t>species.:C4:.parameter.DS_MT.value = "887.5"</t>
  </si>
  <si>
    <t>species.:C4:.parameter.DVPD1.value = "0.05"</t>
  </si>
  <si>
    <t>species.:C4:.parameter.DVPD2.value = "2"</t>
  </si>
  <si>
    <t>species.:C4:.parameter.EF_ISO.value = "0"</t>
  </si>
  <si>
    <t>species.:C4:.parameter.EF_MONO.value = "0"</t>
  </si>
  <si>
    <t>species.:C4:.parameter.EF_MONOS.value = "0"</t>
  </si>
  <si>
    <t>species.:C4:.parameter.EF_OVOC.value = "1.5"</t>
  </si>
  <si>
    <t>species.:C4:.parameter.EXPL_NH4.value = "0.01"</t>
  </si>
  <si>
    <t>species.:C4:.parameter.EXPL_NO3.value = "0.01"</t>
  </si>
  <si>
    <t>species.:C4:.parameter.EXP_ROOT_DISTRIBUTION.value = "0"</t>
  </si>
  <si>
    <t>species.:C4:.parameter.EXT.value = "0.5"</t>
  </si>
  <si>
    <t>species.:C4:.parameter.FAGE.value = "1"</t>
  </si>
  <si>
    <t>species.:C4:.parameter.FBRAF_M.value = "0"</t>
  </si>
  <si>
    <t>species.:C4:.parameter.FBRAF_Y.value = "0"</t>
  </si>
  <si>
    <t>species.:C4:.parameter.FFACMAX.value = "0.5"</t>
  </si>
  <si>
    <t>species.:C4:.parameter.FIRE_BARKA.value = "0.0347"</t>
  </si>
  <si>
    <t>species.:C4:.parameter.FIRE_BARKB.value = "0.1086"</t>
  </si>
  <si>
    <t>species.:C4:.parameter.FIRE_DENSFUEL.value = "2"</t>
  </si>
  <si>
    <t>species.:C4:.parameter.FIRE_EM_CH4.value = "4.8"</t>
  </si>
  <si>
    <t>species.:C4:.parameter.FIRE_EM_CO2.value = "1568"</t>
  </si>
  <si>
    <t>species.:C4:.parameter.FIRE_EM_CO.value = "106"</t>
  </si>
  <si>
    <t>species.:C4:.parameter.FIRE_EM_N2.value = "1.6"</t>
  </si>
  <si>
    <t>species.:C4:.parameter.FIRE_EM_N2O.value = "1.6"</t>
  </si>
  <si>
    <t>species.:C4:.parameter.FIRE_EM_NOX.value = "3.24"</t>
  </si>
  <si>
    <t>species.:C4:.parameter.FIRE_EM_TPM.value = "17.6"</t>
  </si>
  <si>
    <t>species.:C4:.parameter.FIRE_EM_VOC.value = "5.7"</t>
  </si>
  <si>
    <t>species.:C4:.parameter.FIRE_FIRERESIST.value = "0.1"</t>
  </si>
  <si>
    <t>species.:C4:.parameter.FIRE_FLAME.value = "0.094"</t>
  </si>
  <si>
    <t>species.:C4:.parameter.FIRE_P.value = "3"</t>
  </si>
  <si>
    <t>species.:C4:.parameter.FIRE_RCK.value = "0.95"</t>
  </si>
  <si>
    <t>species.:C4:.parameter.FOLRELGROMAX.value = "0.1"</t>
  </si>
  <si>
    <t>species.:C4:.parameter.FRACTION_FOLIAGE.value = "0.6"</t>
  </si>
  <si>
    <t>species.:C4:.parameter.FRACTION_FRUIT.value = "0.1"</t>
  </si>
  <si>
    <t>species.:C4:.parameter.FRACTION_ROOT.value = "0.24"</t>
  </si>
  <si>
    <t>species.:C4:.parameter.FRET_N.value = "0.8"</t>
  </si>
  <si>
    <t>species.:C4:.parameter.FROSTA.value = "0"</t>
  </si>
  <si>
    <t>species.:C4:.parameter.FROSTB.value = "0"</t>
  </si>
  <si>
    <t>species.:C4:.parameter.FRTALLOC_BASE.value = "0"</t>
  </si>
  <si>
    <t>species.:C4:.parameter.FRTALLOC_REL.value = "2"</t>
  </si>
  <si>
    <t>species.:C4:.parameter.FRTLOSS_SCALE.value = "4"</t>
  </si>
  <si>
    <t>species.:C4:.parameter.FRTMASSINIT.value = "50"</t>
  </si>
  <si>
    <t>species.:C4:.parameter.FYIELD.value = "0.25"</t>
  </si>
  <si>
    <t>species.:C4:.parameter.GDDFOLEND.value = "1100"</t>
  </si>
  <si>
    <t>species.:C4:.parameter.GDDFOLSTART.value = "150"</t>
  </si>
  <si>
    <t>species.:C4:.parameter.GDDWODEND.value = "0"</t>
  </si>
  <si>
    <t>species.:C4:.parameter.GDDWODSTART.value = "0"</t>
  </si>
  <si>
    <t>species.:C4:.parameter.GDD_BASE_TEMPERATURE.value = "0"</t>
  </si>
  <si>
    <t>species.:C4:.parameter.GDD_EMERGENCE.value = "10"</t>
  </si>
  <si>
    <t>species.:C4:.parameter.GDD_FLOWERING.value = "0"</t>
  </si>
  <si>
    <t>species.:C4:.parameter.GDD_GRAIN_FILLING.value = "-1"</t>
  </si>
  <si>
    <t>species.:C4:.parameter.GDD_MATURITY.value = "8000"</t>
  </si>
  <si>
    <t>species.:C4:.parameter.GDD_MAX_TEMPERATURE.value = "40"</t>
  </si>
  <si>
    <t>species.:C4:.parameter.GDD_ROOTS_GROWN.value = "1400"</t>
  </si>
  <si>
    <t>species.:C4:.parameter.GDD_STEM_ELONGATION.value = "0"</t>
  </si>
  <si>
    <t>species.:C4:.parameter.GGDPS_B.value = "0.000437"</t>
  </si>
  <si>
    <t>species.:C4:.parameter.GSMAX.value = "273"</t>
  </si>
  <si>
    <t>species.:C4:.parameter.GSMIN.value = "10.4"</t>
  </si>
  <si>
    <t>species.:C4:.parameter.GZRTZ.value = "0.01"</t>
  </si>
  <si>
    <t>species.:C4:.parameter.H2OREF_A.value = "0.7"</t>
  </si>
  <si>
    <t>species.:C4:.parameter.H2OREF_FLUSHING.value = "0"</t>
  </si>
  <si>
    <t>species.:C4:.parameter.H2OREF_GS.value = "0.33"</t>
  </si>
  <si>
    <t>species.:C4:.parameter.H2OREF_LEAF_GROWTH.value = "0"</t>
  </si>
  <si>
    <t>species.:C4:.parameter.H2OREF_SENESCENCE.value = "0"</t>
  </si>
  <si>
    <t>species.:C4:.parameter.HALFSAT.value = "200"</t>
  </si>
  <si>
    <t>species.:C4:.parameter.HA_IS.value = "83129"</t>
  </si>
  <si>
    <t>species.:C4:.parameter.HA_MT.value = "83129"</t>
  </si>
  <si>
    <t>species.:C4:.parameter.HDJ.value = "210000"</t>
  </si>
  <si>
    <t>species.:C4:.parameter.HD_EXP.value = "6"</t>
  </si>
  <si>
    <t>species.:C4:.parameter.HD_IS.value = "284600"</t>
  </si>
  <si>
    <t>species.:C4:.parameter.HD_MAX.value = "120"</t>
  </si>
  <si>
    <t>species.:C4:.parameter.HD_MIN.value = "50"</t>
  </si>
  <si>
    <t>species.:C4:.parameter.HD_MT.value = "284600"</t>
  </si>
  <si>
    <t>species.:C4:.parameter.HEIGHT_MAX.value = "2"</t>
  </si>
  <si>
    <t>species.:C4:.parameter.HLEAFCRIT.value = "0"</t>
  </si>
  <si>
    <t>species.:C4:.parameter.HREF.value = "0.2"</t>
  </si>
  <si>
    <t>species.:C4:.parameter.HYPOXIA.value = "0.4"</t>
  </si>
  <si>
    <t>species.:C4:.parameter.INI_N_FIX.value = "0"</t>
  </si>
  <si>
    <t>species.:C4:.parameter.KC25.value = "650"</t>
  </si>
  <si>
    <t>species.:C4:.parameter.KCOMPINIT.value = "0"</t>
  </si>
  <si>
    <t>species.:C4:.parameter.KM20.value = "0.1"</t>
  </si>
  <si>
    <t>species.:C4:.parameter.KM_GDPS_DMADP.value = "0"</t>
  </si>
  <si>
    <t>species.:C4:.parameter.KM_GDPS_IDP.value = "0"</t>
  </si>
  <si>
    <t>species.:C4:.parameter.KM_IS.value = "0"</t>
  </si>
  <si>
    <t>species.:C4:.parameter.KM_MT.value = "0"</t>
  </si>
  <si>
    <t>species.:C4:.parameter.KO25.value = "450"</t>
  </si>
  <si>
    <t>species.:C4:.parameter.KRC_WOOD.value = "0.00025"</t>
  </si>
  <si>
    <t>species.:C4:.parameter.KRSCOMP.value = "0"</t>
  </si>
  <si>
    <t>species.:C4:.parameter.KRSINIT.value = "0"</t>
  </si>
  <si>
    <t>species.:C4:.parameter.K_MM_NITROGEN_UPTAKE.value = "0.0002"</t>
  </si>
  <si>
    <t>species.:C4:.parameter.LIGNIN.value = "0.07"</t>
  </si>
  <si>
    <t>species.:C4:.parameter.MAINTENANCE_TEMP_REF.value = "25"</t>
  </si>
  <si>
    <t>species.:C4:.parameter.MC_LEAF.value = "0.03"</t>
  </si>
  <si>
    <t>species.:C4:.parameter.MC_ROOT.value = "0.01"</t>
  </si>
  <si>
    <t>species.:C4:.parameter.MC_STEM.value = "0.015"</t>
  </si>
  <si>
    <t>species.:C4:.parameter.MC_STORAGE.value = "0.001"</t>
  </si>
  <si>
    <t>species.:C4:.parameter.MFOLOPT.value = "0.25"</t>
  </si>
  <si>
    <t>species.:C4:.parameter.MORTCROWD.value = "100000000"</t>
  </si>
  <si>
    <t>species.:C4:.parameter.MORTNORM.value = "0"</t>
  </si>
  <si>
    <t>species.:C4:.parameter.MUE_IS.value = "0.175"</t>
  </si>
  <si>
    <t>species.:C4:.parameter.MUE_MT.value = "0.175"</t>
  </si>
  <si>
    <t>species.:C4:.parameter.MWFM.value = "0.00035"</t>
  </si>
  <si>
    <t>species.:C4:.parameter.MWWM.value = "1e-09"</t>
  </si>
  <si>
    <t>species.:C4:.parameter.M_FRUIT_OPT.value = "0"</t>
  </si>
  <si>
    <t>species.:C4:.parameter.NCFOLOPT.value = "0.0134"</t>
  </si>
  <si>
    <t>species.:C4:.parameter.NCSAPOPT.value = "0"</t>
  </si>
  <si>
    <t>species.:C4:.parameter.NC_FINEROOTS_MAX.value = "0.0175"</t>
  </si>
  <si>
    <t>species.:C4:.parameter.NC_FINEROOTS_MIN.value = "0.005"</t>
  </si>
  <si>
    <t>species.:C4:.parameter.NC_FOLIAGE_MAX.value = "0.026"</t>
  </si>
  <si>
    <t>species.:C4:.parameter.NC_FOLIAGE_MIN.value = "0.018"</t>
  </si>
  <si>
    <t>species.:C4:.parameter.NC_FRUIT_MAX.value = "0.015"</t>
  </si>
  <si>
    <t>species.:C4:.parameter.NC_FRUIT_MIN.value = "0.015"</t>
  </si>
  <si>
    <t>species.:C4:.parameter.NC_STRUCTURAL_TISSUE_MAX.value = "0.02"</t>
  </si>
  <si>
    <t>species.:C4:.parameter.NC_STRUCTURAL_TISSUE_MIN.value = "0.02"</t>
  </si>
  <si>
    <t>species.:C4:.parameter.NFIX_CEFF.value = "5"</t>
  </si>
  <si>
    <t>species.:C4:.parameter.NFIX_RATE.value = "0"</t>
  </si>
  <si>
    <t>species.:C4:.parameter.NFIX_TMAX.value = "44"</t>
  </si>
  <si>
    <t>species.:C4:.parameter.NFIX_TMIN.value = "5"</t>
  </si>
  <si>
    <t>species.:C4:.parameter.NFIX_TOPT.value = "35"</t>
  </si>
  <si>
    <t>species.:C4:.parameter.NFIX_W.value = "-6"</t>
  </si>
  <si>
    <t>species.:C4:.parameter.N_DEF_FACTOR.value = "2"</t>
  </si>
  <si>
    <t>species.:C4:.parameter.N_DEMAND_REPROD.value = "5"</t>
  </si>
  <si>
    <t>species.:C4:.parameter.N_DEMAND_VEG.value = "5"</t>
  </si>
  <si>
    <t>species.:C4:.parameter.PA.value = "0"</t>
  </si>
  <si>
    <t>species.:C4:.parameter.PEXS.value = "0.25"</t>
  </si>
  <si>
    <t>species.:C4:.parameter.PFL.value = "1.1"</t>
  </si>
  <si>
    <t>species.:C4:.parameter.PHOTOPERIODISM.value = "0"</t>
  </si>
  <si>
    <t>species.:C4:.parameter.PSI_EXP.value = "5.3"</t>
  </si>
  <si>
    <t>species.:C4:.parameter.PSI_REF.value = "-3.2"</t>
  </si>
  <si>
    <t>species.:C4:.parameter.PSL.value = "0.84"</t>
  </si>
  <si>
    <t>species.:C4:.parameter.PSNTFROST.value = "-30"</t>
  </si>
  <si>
    <t>species.:C4:.parameter.PSNTMAX.value = "53"</t>
  </si>
  <si>
    <t>species.:C4:.parameter.PSNTMIN.value = "10"</t>
  </si>
  <si>
    <t>species.:C4:.parameter.PSNTOPT.value = "35"</t>
  </si>
  <si>
    <t>species.:C4:.parameter.QHRD.value = "0.44"</t>
  </si>
  <si>
    <t>species.:C4:.parameter.QJVC.value = "3.36"</t>
  </si>
  <si>
    <t>species.:C4:.parameter.QRD25.value = "0.02"</t>
  </si>
  <si>
    <t>species.:C4:.parameter.QRF.value = "0.17"</t>
  </si>
  <si>
    <t>species.:C4:.parameter.QSF_P1.value = "20"</t>
  </si>
  <si>
    <t>species.:C4:.parameter.QSF_P2.value = "0"</t>
  </si>
  <si>
    <t>species.:C4:.parameter.QVOVC.value = "0.21"</t>
  </si>
  <si>
    <t>species.:C4:.parameter.QWODFOLMIN.value = "1.25"</t>
  </si>
  <si>
    <t>species.:C4:.parameter.RBUDDEM.value = "5"</t>
  </si>
  <si>
    <t>species.:C4:.parameter.REDISTRIBUTION_ROOT.value = "0.01"</t>
  </si>
  <si>
    <t>species.:C4:.parameter.RESP.value = "70"</t>
  </si>
  <si>
    <t>species.:C4:.parameter.RESPQ10.value = "2"</t>
  </si>
  <si>
    <t>species.:C4:.parameter.ROOTMRESPFRAC.value = "1"</t>
  </si>
  <si>
    <t>species.:C4:.parameter.RPMIN.value = "6.25"</t>
  </si>
  <si>
    <t>species.:C4:.parameter.RS_CONDUCT.value = "0"</t>
  </si>
  <si>
    <t>species.:C4:.parameter.SCALE_I.value = "1"</t>
  </si>
  <si>
    <t>species.:C4:.parameter.SCALE_M.value = "1"</t>
  </si>
  <si>
    <t>species.:C4:.parameter.SDJ.value = "645"</t>
  </si>
  <si>
    <t>species.:C4:.parameter.SENESCENCE_AGE.value = "0.01"</t>
  </si>
  <si>
    <t>species.:C4:.parameter.SENESCENCE_DROUGHT.value = "0.01"</t>
  </si>
  <si>
    <t>species.:C4:.parameter.SENESCENCE_FROST.value = "0.01"</t>
  </si>
  <si>
    <t>species.:C4:.parameter.SENESCENCE_HEAT.value = "0"</t>
  </si>
  <si>
    <t>species.:C4:.parameter.SENESCENCE_WATER.value = "0"</t>
  </si>
  <si>
    <t>species.:C4:.parameter.SENESCSTART.value = "270"</t>
  </si>
  <si>
    <t>species.:C4:.parameter.SHOOT_STIMULATION_REPROD.value = "0"</t>
  </si>
  <si>
    <t>species.:C4:.parameter.SLADECLINE.value = "0"</t>
  </si>
  <si>
    <t>species.:C4:.parameter.SLAMAX.value = "10.2"</t>
  </si>
  <si>
    <t>species.:C4:.parameter.SLAMIN.value = "10.2"</t>
  </si>
  <si>
    <t>species.:C4:.parameter.SLOPE_GSA.value = "4"</t>
  </si>
  <si>
    <t>species.:C4:.parameter.SLOPE_GSCO2.value = "1"</t>
  </si>
  <si>
    <t>species.:C4:.parameter.SLOPE_GSH2O.value = "3.3"</t>
  </si>
  <si>
    <t>species.:C4:.parameter.SLOPE_NC.value = "1"</t>
  </si>
  <si>
    <t>species.:C4:.parameter.SRLMAX.value = "70000"</t>
  </si>
  <si>
    <t>species.:C4:.parameter.SRLMIN.value = "5000"</t>
  </si>
  <si>
    <t>species.:C4:.parameter.TAP_P1.value = "1.75"</t>
  </si>
  <si>
    <t>species.:C4:.parameter.TAP_P2.value = "1.1"</t>
  </si>
  <si>
    <t>species.:C4:.parameter.TAP_P3.value = "-2.75"</t>
  </si>
  <si>
    <t>species.:C4:.parameter.TAU.value = "0.03"</t>
  </si>
  <si>
    <t>species.:C4:.parameter.THETA.value = "0.7"</t>
  </si>
  <si>
    <t>species.:C4:.parameter.TLIMIT.value = "5"</t>
  </si>
  <si>
    <t>species.:C4:.parameter.TMINCRIT.value = "50"</t>
  </si>
  <si>
    <t>species.:C4:.parameter.TOFRTBAS.value = "0.0013"</t>
  </si>
  <si>
    <t>species.:C4:.parameter.TOSAPMAX.value = "0"</t>
  </si>
  <si>
    <t>species.:C4:.parameter.UCMAX.value = "0"</t>
  </si>
  <si>
    <t>species.:C4:.parameter.UGWDF.value = "0"</t>
  </si>
  <si>
    <t>species.:C4:.parameter.US_DON.value = "0"</t>
  </si>
  <si>
    <t>species.:C4:.parameter.US_NH4.value = "0.012"</t>
  </si>
  <si>
    <t>species.:C4:.parameter.US_NH4MYC.value = "0.06"</t>
  </si>
  <si>
    <t>species.:C4:.parameter.US_NO3.value = "0.006"</t>
  </si>
  <si>
    <t>species.:C4:.parameter.US_NO3MYC.value = "0.0075"</t>
  </si>
  <si>
    <t>species.:C4:.parameter.VCFACT.value = "1"</t>
  </si>
  <si>
    <t>species.:C4:.parameter.VCMAX25.value = "39"</t>
  </si>
  <si>
    <t>species.:C4:.parameter.VPDREF.value = "3.1"</t>
  </si>
  <si>
    <t>species.:C4:.parameter.WINTERLIMIT.value = "0"</t>
  </si>
  <si>
    <t>species.:C4:.parameter.WOODMRESPA.value = "0.07"</t>
  </si>
  <si>
    <t>species.:C4:.parameter.WUECMAX.value = "6.7"</t>
  </si>
  <si>
    <t>species.:C4:.parameter.WUECMIN.value = "5.1"</t>
  </si>
  <si>
    <t>species.:C4:.parameter.ZRTMC.value = "1"</t>
  </si>
  <si>
    <t>species.:C4:.parameter.DLEAFSHED.value = "300"</t>
  </si>
  <si>
    <t>species.:C4:.parameter.NDFLUSH.value = "40"</t>
  </si>
  <si>
    <t>species.:C4:.parameter.NDMORTA.value = "40"</t>
  </si>
  <si>
    <t>hybrid.1</t>
  </si>
  <si>
    <t>hybrid.2</t>
  </si>
  <si>
    <t>hybrid.3</t>
  </si>
  <si>
    <t>hybrid.4</t>
  </si>
  <si>
    <t>FRACTION_FRUIT</t>
  </si>
  <si>
    <t>hybrid.include</t>
  </si>
  <si>
    <t>https://gemini.google.com/app/7e166b6971e8ad52</t>
  </si>
  <si>
    <t>Forbs</t>
  </si>
  <si>
    <t>indigofera</t>
  </si>
  <si>
    <t>examples</t>
  </si>
  <si>
    <t>Indigofera voharamensis, indigofera volkensii</t>
  </si>
  <si>
    <t>Species 1 - common name</t>
  </si>
  <si>
    <t>tephrosia</t>
  </si>
  <si>
    <t>tephrosia elata</t>
  </si>
  <si>
    <t>Gemini link</t>
  </si>
  <si>
    <t>LDNC defalt</t>
  </si>
  <si>
    <t>https://gemini.google.com/app/9041c7014109f1fb</t>
  </si>
  <si>
    <t>https://www.researchgate.net/publication/233455090_Influence_of_moisture_stress_on_growth_dry_matter_yield_and_allocation_water_use_and_water-use_efficiency_of_four_Indigofera_species</t>
  </si>
  <si>
    <t>https://gemini.google.com/app/06a64c7fdb070ffb</t>
  </si>
  <si>
    <t>GRASS.HYBRID.1</t>
  </si>
  <si>
    <t>GRASS.HYBRID.2</t>
  </si>
  <si>
    <t>GRASS.HYBRID.3</t>
  </si>
  <si>
    <t>GRASS.HYBRID.4</t>
  </si>
  <si>
    <t>FORB.HYBRID.1</t>
  </si>
  <si>
    <t>FORB.HYBRID.2</t>
  </si>
  <si>
    <t>FORB.HYBRID.3</t>
  </si>
  <si>
    <t>FORB.HYBRID.4</t>
  </si>
  <si>
    <t>weights</t>
  </si>
  <si>
    <t>biomass fraction of foliage at maturity</t>
  </si>
  <si>
    <t>LDNDC default</t>
  </si>
  <si>
    <t>https://gemini.google.com/app/f414b2e6f8747b12</t>
  </si>
  <si>
    <t>biomass fraction of roots at maturity</t>
  </si>
  <si>
    <t>https://gemini.google.com/app/46393c30f28624ba</t>
  </si>
  <si>
    <t>https://gemini.google.com/app/8c8fb42277c1ea2f</t>
  </si>
  <si>
    <t>https://gemini.google.com/app/bc37a3758bc91047</t>
  </si>
  <si>
    <t>GRASS SPECIES</t>
  </si>
  <si>
    <t>Species 3 - common name</t>
  </si>
  <si>
    <t>bermuda grass</t>
  </si>
  <si>
    <t>https://gemini.google.com/app/0d34a7f83c58b770</t>
  </si>
  <si>
    <t>https://gemini.google.com/app/042661190faa6928</t>
  </si>
  <si>
    <t>https://gemini.google.com/app/a46665c0e8ebb8e3</t>
  </si>
  <si>
    <t>https://gemini.google.com/app/20d8ef0afc214c30</t>
  </si>
  <si>
    <t>https://gemini.google.com/app/fc8b541a1910863c</t>
  </si>
  <si>
    <t>https://gemini.google.com/app/60600e248ba3a312</t>
  </si>
  <si>
    <t>https://gemini.google.com/app/ffadd991daa721ad</t>
  </si>
  <si>
    <t>https://gemini.google.com/app/c1af78a9d1991ecf</t>
  </si>
  <si>
    <t>https://gemini.google.com/app/f4df76a6bf5c90fc</t>
  </si>
  <si>
    <t>https://gemini.google.com/app/25564ef45a018cb5</t>
  </si>
  <si>
    <t>https://gemini.google.com/app/d2321b563aca158e</t>
  </si>
  <si>
    <t>https://gemini.google.com/app/0ef4ec208864b341</t>
  </si>
  <si>
    <t>https://gemini.google.com/app/62623f6520ff455a</t>
  </si>
  <si>
    <t>Carmo-Silva, A. E., Keys, A. J., Andralojc, P. J., Powers, S. J., Arrabaça, M. C., &amp; Parry, M. A. J. (2010). Rubisco activities, properties, and regulation in three different C4 grasses under drought. Journal of Experimental Botany, 61(9), 2355–2366. https://doi.org/10.1093/jxb/erq071</t>
  </si>
  <si>
    <t>https://gemini.google.com/app/231d22360cad714b</t>
  </si>
  <si>
    <t>https://gemini.google.com/app/eb6575ff453309c4</t>
  </si>
  <si>
    <t>Activation energy for Michaelis-Menten constant for CO2</t>
  </si>
  <si>
    <t>Activation energy for dark respiration (</t>
  </si>
  <si>
    <t>https://gemini.google.com/app/57f2aeb3d8bfd3fe</t>
  </si>
  <si>
    <t>activation energy for Michaelis-Menten constant for O2</t>
  </si>
  <si>
    <t>https://gemini.google.com/app/47e2cffefc9c5e07</t>
  </si>
  <si>
    <t>https://gemini.google.com/app/872a6d3e780e094c</t>
  </si>
  <si>
    <t>C4 defalt</t>
  </si>
  <si>
    <t>https://gemini.google.com/app/d2b5401ed41a0d3a</t>
  </si>
  <si>
    <t>Family</t>
  </si>
  <si>
    <t>Tribe</t>
  </si>
  <si>
    <t>Acacieae</t>
  </si>
  <si>
    <t xml:space="preserve">Mimosoideae  </t>
  </si>
  <si>
    <t>Middle</t>
  </si>
  <si>
    <t>van genuchten parameter</t>
  </si>
  <si>
    <t>Fraction of daily runoff from surface water</t>
  </si>
  <si>
    <t>meters per day</t>
  </si>
  <si>
    <t>GEMINI link</t>
  </si>
  <si>
    <t>https://gemini.google.com/app/0c598a444ed2a5ad</t>
  </si>
  <si>
    <t>Fraction of surface water that goes into runof</t>
  </si>
  <si>
    <t>liters water per day</t>
  </si>
  <si>
    <t>https://gemini.google.com/app/197f6721c634301d</t>
  </si>
  <si>
    <t>source</t>
  </si>
  <si>
    <t>Lipiec, J., Usowicz, B., &amp; Siczek, A. (2024). Fitting the van Genuchten model to the measured hydraulic parameters in soils of different genesis and texture at the regional scale. International Agrophysics, 38, 373–382. https://doi.org/10.31545/intagr/191380</t>
  </si>
  <si>
    <t>van genuchten parameter alpha</t>
  </si>
  <si>
    <t>1/m</t>
  </si>
  <si>
    <t>https://gemini.google.com/app/c2a92930c2a26de6</t>
  </si>
  <si>
    <t>https://gemini.google.com/app/5fc2606a93a9412d</t>
  </si>
  <si>
    <t>CRACK_DEPTH</t>
  </si>
  <si>
    <t>CRACK_FRACTION</t>
  </si>
  <si>
    <t>Fraction of water that infiltrates via cracks</t>
  </si>
  <si>
    <t>maximum depth of cracks</t>
  </si>
  <si>
    <t xml:space="preserve">meters   </t>
  </si>
  <si>
    <t>https://gemini.google.com/app/12b54f3d42cde5c1</t>
  </si>
  <si>
    <t>https://gemini.google.com/app/39735c7d4984dd0f</t>
  </si>
  <si>
    <t>TLU Equivalent</t>
  </si>
  <si>
    <t>Total.TLU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</si>
</sst>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
  </numFmts>
  <fonts count="21"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FF0000"/>
      <name val="Aptos Narrow"/>
      <family val="2"/>
      <scheme val="minor"/>
    </font>
    <font>
      <sz val="11"/>
      <color theme="1"/>
      <name val="Arial"/>
      <family val="2"/>
    </font>
    <font>
      <sz val="11"/>
      <name val="Arial"/>
      <family val="2"/>
    </font>
    <font>
      <b/>
      <sz val="11"/>
      <color theme="1"/>
      <name val="Times New Roman"/>
      <family val="1"/>
    </font>
    <font>
      <sz val="11"/>
      <color theme="1"/>
      <name val="Times New Roman"/>
      <family val="1"/>
    </font>
    <font>
      <u/>
      <sz val="11"/>
      <color theme="10"/>
      <name val="Aptos Narrow"/>
      <family val="2"/>
      <scheme val="minor"/>
    </font>
    <font>
      <i/>
      <sz val="11"/>
      <color theme="1"/>
      <name val="Aptos"/>
      <family val="2"/>
    </font>
    <font>
      <sz val="10"/>
      <name val="Arial"/>
      <family val="2"/>
    </font>
    <font>
      <b/>
      <sz val="12"/>
      <color theme="1"/>
      <name val="Aptos Narrow"/>
      <family val="2"/>
      <scheme val="minor"/>
    </font>
    <font>
      <b/>
      <sz val="14"/>
      <color theme="1"/>
      <name val="Aptos Narrow"/>
      <family val="2"/>
      <scheme val="minor"/>
    </font>
    <font>
      <sz val="8"/>
      <name val="Aptos Narrow"/>
      <family val="2"/>
      <scheme val="minor"/>
    </font>
    <font>
      <i/>
      <sz val="11"/>
      <color theme="1"/>
      <name val="Aptos Narrow"/>
      <family val="2"/>
      <scheme val="minor"/>
    </font>
    <font>
      <sz val="12"/>
      <color theme="1"/>
      <name val="Aptos Narrow"/>
      <family val="2"/>
      <scheme val="minor"/>
    </font>
    <font>
      <b/>
      <sz val="11"/>
      <color theme="1"/>
      <name val="Arial"/>
      <family val="2"/>
    </font>
    <font>
      <i/>
      <sz val="11"/>
      <color theme="1"/>
      <name val="Arial"/>
      <family val="2"/>
    </font>
    <font>
      <sz val="10.5"/>
      <color theme="1"/>
      <name val="Arial"/>
      <family val="2"/>
    </font>
    <font>
      <sz val="22"/>
      <color theme="1"/>
      <name val="Aptos Narrow"/>
      <family val="2"/>
      <scheme val="minor"/>
    </font>
    <font>
      <sz val="11"/>
      <color theme="1" tint="0.14999847407452621"/>
      <name val="Arial"/>
      <family val="2"/>
    </font>
  </fonts>
  <fills count="13">
    <fill>
      <patternFill patternType="none"/>
    </fill>
    <fill>
      <patternFill patternType="gray125"/>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8" fillId="0" borderId="0" applyNumberFormat="0" applyFill="0" applyBorder="0" applyAlignment="0" applyProtection="0"/>
  </cellStyleXfs>
  <cellXfs count="56">
    <xf numFmtId="0" fontId="0" fillId="0" borderId="0" xfId="0"/>
    <xf numFmtId="0" fontId="0" fillId="0" borderId="0" xfId="0" quotePrefix="1"/>
    <xf numFmtId="2" fontId="0" fillId="0" borderId="0" xfId="0" quotePrefix="1" applyNumberFormat="1"/>
    <xf numFmtId="0" fontId="1" fillId="0" borderId="0" xfId="0" applyFont="1" applyAlignment="1">
      <alignment horizontal="center"/>
    </xf>
    <xf numFmtId="0" fontId="2" fillId="0" borderId="0" xfId="0" applyFont="1" applyAlignment="1">
      <alignment horizontal="center"/>
    </xf>
    <xf numFmtId="16" fontId="2" fillId="0" borderId="0" xfId="0" quotePrefix="1" applyNumberFormat="1" applyFont="1" applyAlignment="1">
      <alignment horizontal="center"/>
    </xf>
    <xf numFmtId="0" fontId="2" fillId="0" borderId="0" xfId="0" quotePrefix="1" applyFont="1" applyAlignment="1">
      <alignment horizontal="center"/>
    </xf>
    <xf numFmtId="0" fontId="0" fillId="2" borderId="0" xfId="0" applyFill="1"/>
    <xf numFmtId="0" fontId="0" fillId="3" borderId="0" xfId="0" applyFill="1"/>
    <xf numFmtId="0" fontId="0" fillId="3" borderId="0" xfId="0" quotePrefix="1" applyFill="1"/>
    <xf numFmtId="0" fontId="0" fillId="4" borderId="0" xfId="0" applyFill="1"/>
    <xf numFmtId="0" fontId="0" fillId="5" borderId="0" xfId="0" applyFill="1"/>
    <xf numFmtId="0" fontId="0" fillId="6" borderId="0" xfId="0" applyFill="1"/>
    <xf numFmtId="0" fontId="3" fillId="0" borderId="0" xfId="0" applyFont="1"/>
    <xf numFmtId="0" fontId="0" fillId="5" borderId="0" xfId="0" quotePrefix="1" applyFill="1"/>
    <xf numFmtId="0" fontId="4" fillId="0" borderId="0" xfId="0" applyFont="1"/>
    <xf numFmtId="0" fontId="5" fillId="0" borderId="0" xfId="0" applyFont="1"/>
    <xf numFmtId="0" fontId="4" fillId="7" borderId="0" xfId="0" applyFont="1" applyFill="1"/>
    <xf numFmtId="2" fontId="0" fillId="5" borderId="0" xfId="0" applyNumberFormat="1" applyFill="1"/>
    <xf numFmtId="0" fontId="1" fillId="0" borderId="0" xfId="0" applyFont="1"/>
    <xf numFmtId="0" fontId="0" fillId="8" borderId="0" xfId="0" applyFill="1"/>
    <xf numFmtId="0" fontId="6" fillId="9" borderId="1" xfId="0" applyFont="1" applyFill="1" applyBorder="1"/>
    <xf numFmtId="17" fontId="1" fillId="0" borderId="0" xfId="0" quotePrefix="1" applyNumberFormat="1" applyFont="1"/>
    <xf numFmtId="17" fontId="1" fillId="0" borderId="0" xfId="0" applyNumberFormat="1" applyFont="1"/>
    <xf numFmtId="0" fontId="7" fillId="9" borderId="1" xfId="0" applyFont="1" applyFill="1" applyBorder="1"/>
    <xf numFmtId="0" fontId="0" fillId="0" borderId="1" xfId="0" applyBorder="1"/>
    <xf numFmtId="0" fontId="1" fillId="0" borderId="1" xfId="0" applyFont="1" applyBorder="1"/>
    <xf numFmtId="0" fontId="8" fillId="0" borderId="0" xfId="1"/>
    <xf numFmtId="0" fontId="10" fillId="0" borderId="0" xfId="0" quotePrefix="1" applyFont="1"/>
    <xf numFmtId="0" fontId="9" fillId="0" borderId="0" xfId="0" applyFont="1" applyAlignment="1">
      <alignment vertical="center" wrapText="1"/>
    </xf>
    <xf numFmtId="0" fontId="11" fillId="0" borderId="0" xfId="0" applyFont="1"/>
    <xf numFmtId="0" fontId="12" fillId="0" borderId="0" xfId="0" applyFont="1" applyAlignment="1">
      <alignment horizontal="center"/>
    </xf>
    <xf numFmtId="2" fontId="0" fillId="0" borderId="0" xfId="0" applyNumberFormat="1"/>
    <xf numFmtId="0" fontId="1" fillId="8" borderId="0" xfId="0" applyFont="1" applyFill="1"/>
    <xf numFmtId="0" fontId="1" fillId="3" borderId="0" xfId="0" applyFont="1" applyFill="1"/>
    <xf numFmtId="0" fontId="0" fillId="0" borderId="0" xfId="0" applyAlignment="1">
      <alignment horizontal="left"/>
    </xf>
    <xf numFmtId="0" fontId="9" fillId="0" borderId="0" xfId="0" applyFont="1" applyAlignment="1">
      <alignment vertical="center"/>
    </xf>
    <xf numFmtId="0" fontId="0" fillId="0" borderId="0" xfId="0" applyAlignment="1">
      <alignment horizontal="center" wrapText="1"/>
    </xf>
    <xf numFmtId="0" fontId="15" fillId="0" borderId="0" xfId="0" applyFont="1"/>
    <xf numFmtId="0" fontId="11" fillId="8" borderId="0" xfId="0" applyFont="1" applyFill="1"/>
    <xf numFmtId="0" fontId="8" fillId="0" borderId="0" xfId="1" applyAlignment="1">
      <alignment horizontal="left" vertical="center" indent="1"/>
    </xf>
    <xf numFmtId="0" fontId="16" fillId="0" borderId="0" xfId="0" applyFont="1" applyAlignment="1">
      <alignment wrapText="1"/>
    </xf>
    <xf numFmtId="0" fontId="0" fillId="0" borderId="0" xfId="0" applyAlignment="1">
      <alignment wrapText="1"/>
    </xf>
    <xf numFmtId="0" fontId="11" fillId="8" borderId="0" xfId="0" applyFont="1" applyFill="1" applyAlignment="1">
      <alignment horizontal="center"/>
    </xf>
    <xf numFmtId="0" fontId="16" fillId="0" borderId="0" xfId="0" applyFont="1"/>
    <xf numFmtId="0" fontId="0" fillId="10" borderId="0" xfId="0" applyFill="1"/>
    <xf numFmtId="0" fontId="18" fillId="0" borderId="2" xfId="0" applyFont="1" applyBorder="1" applyAlignment="1">
      <alignment vertical="center" wrapText="1"/>
    </xf>
    <xf numFmtId="0" fontId="18" fillId="0" borderId="3" xfId="0" applyFont="1" applyBorder="1" applyAlignment="1">
      <alignment vertical="center" wrapText="1"/>
    </xf>
    <xf numFmtId="0" fontId="19" fillId="11" borderId="0" xfId="0" applyFont="1" applyFill="1" applyAlignment="1">
      <alignment horizontal="center"/>
    </xf>
    <xf numFmtId="0" fontId="0" fillId="12" borderId="0" xfId="0" applyFill="1"/>
    <xf numFmtId="0" fontId="20" fillId="0" borderId="0" xfId="0" applyFont="1"/>
    <xf numFmtId="0" fontId="7" fillId="9" borderId="0" xfId="0" applyFont="1" applyFill="1"/>
    <xf numFmtId="0" fontId="6" fillId="9" borderId="0" xfId="0" applyFont="1" applyFill="1"/>
    <xf numFmtId="0" fontId="7" fillId="6" borderId="1" xfId="0" applyFont="1" applyFill="1" applyBorder="1"/>
    <xf numFmtId="0" fontId="1" fillId="0" borderId="0" xfId="0" applyFont="1" applyAlignment="1">
      <alignment horizontal="center"/>
    </xf>
    <xf numFmtId="168"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Herbivore count from 2022 onwards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[1]Herbivores!$J$2</c:f>
              <c:strCache>
                <c:ptCount val="1"/>
                <c:pt idx="0">
                  <c:v>Total number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[1]Herbivores!$K$1:$P$1</c:f>
              <c:numCache>
                <c:formatCode>General</c:formatCode>
                <c:ptCount val="6"/>
                <c:pt idx="0">
                  <c:v>44835</c:v>
                </c:pt>
                <c:pt idx="1">
                  <c:v>45078</c:v>
                </c:pt>
                <c:pt idx="2">
                  <c:v>45200</c:v>
                </c:pt>
                <c:pt idx="3">
                  <c:v>45323</c:v>
                </c:pt>
                <c:pt idx="4">
                  <c:v>45474</c:v>
                </c:pt>
                <c:pt idx="5">
                  <c:v>45566</c:v>
                </c:pt>
              </c:numCache>
            </c:numRef>
          </c:cat>
          <c:val>
            <c:numRef>
              <c:f>[1]Herbivores!$K$2:$P$2</c:f>
              <c:numCache>
                <c:formatCode>General</c:formatCode>
                <c:ptCount val="6"/>
                <c:pt idx="0">
                  <c:v>2584</c:v>
                </c:pt>
                <c:pt idx="1">
                  <c:v>752</c:v>
                </c:pt>
                <c:pt idx="2">
                  <c:v>778</c:v>
                </c:pt>
                <c:pt idx="3">
                  <c:v>890</c:v>
                </c:pt>
                <c:pt idx="4">
                  <c:v>429</c:v>
                </c:pt>
                <c:pt idx="5">
                  <c:v>493</c:v>
                </c:pt>
              </c:numCache>
            </c:numRef>
          </c:val>
          <c:extLst>
            <c:ext xmlns:c16="http://schemas.microsoft.com/office/drawing/2014/chart" uri="{C3380CC4-5D6E-409C-BE32-E72D297353CC}">
              <c16:uniqueId val="{00000000-9174-4264-9970-957C5DA38F2F}"/>
            </c:ext>
          </c:extLst>
        </c:ser>
        <c:dLbls>
          <c:showLegendKey val="0"/>
          <c:showVal val="0"/>
          <c:showCatName val="0"/>
          <c:showSerName val="0"/>
          <c:showPercent val="0"/>
          <c:showBubbleSize val="0"/>
        </c:dLbls>
        <c:gapWidth val="219"/>
        <c:axId val="1499361839"/>
        <c:axId val="1463301983"/>
      </c:barChart>
      <c:lineChart>
        <c:grouping val="standard"/>
        <c:varyColors val="0"/>
        <c:ser>
          <c:idx val="1"/>
          <c:order val="1"/>
          <c:tx>
            <c:strRef>
              <c:f>[1]Herbivores!$J$3</c:f>
              <c:strCache>
                <c:ptCount val="1"/>
                <c:pt idx="0">
                  <c:v>No species counted</c:v>
                </c:pt>
              </c:strCache>
            </c:strRef>
          </c:tx>
          <c:spPr>
            <a:ln w="28575" cap="rnd">
              <a:solidFill>
                <a:schemeClr val="accent2"/>
              </a:solidFill>
              <a:round/>
            </a:ln>
            <a:effectLst/>
          </c:spPr>
          <c:marker>
            <c:symbol val="none"/>
          </c:marker>
          <c:cat>
            <c:numRef>
              <c:f>[1]Herbivores!$K$1:$P$1</c:f>
              <c:numCache>
                <c:formatCode>General</c:formatCode>
                <c:ptCount val="6"/>
                <c:pt idx="0">
                  <c:v>44835</c:v>
                </c:pt>
                <c:pt idx="1">
                  <c:v>45078</c:v>
                </c:pt>
                <c:pt idx="2">
                  <c:v>45200</c:v>
                </c:pt>
                <c:pt idx="3">
                  <c:v>45323</c:v>
                </c:pt>
                <c:pt idx="4">
                  <c:v>45474</c:v>
                </c:pt>
                <c:pt idx="5">
                  <c:v>45566</c:v>
                </c:pt>
              </c:numCache>
            </c:numRef>
          </c:cat>
          <c:val>
            <c:numRef>
              <c:f>[1]Herbivores!$K$3:$P$3</c:f>
              <c:numCache>
                <c:formatCode>General</c:formatCode>
                <c:ptCount val="6"/>
                <c:pt idx="0">
                  <c:v>14</c:v>
                </c:pt>
                <c:pt idx="1">
                  <c:v>13</c:v>
                </c:pt>
                <c:pt idx="2">
                  <c:v>14</c:v>
                </c:pt>
                <c:pt idx="3">
                  <c:v>14</c:v>
                </c:pt>
                <c:pt idx="4">
                  <c:v>8</c:v>
                </c:pt>
                <c:pt idx="5">
                  <c:v>8</c:v>
                </c:pt>
              </c:numCache>
            </c:numRef>
          </c:val>
          <c:smooth val="0"/>
          <c:extLst>
            <c:ext xmlns:c16="http://schemas.microsoft.com/office/drawing/2014/chart" uri="{C3380CC4-5D6E-409C-BE32-E72D297353CC}">
              <c16:uniqueId val="{00000001-9174-4264-9970-957C5DA38F2F}"/>
            </c:ext>
          </c:extLst>
        </c:ser>
        <c:dLbls>
          <c:showLegendKey val="0"/>
          <c:showVal val="0"/>
          <c:showCatName val="0"/>
          <c:showSerName val="0"/>
          <c:showPercent val="0"/>
          <c:showBubbleSize val="0"/>
        </c:dLbls>
        <c:marker val="1"/>
        <c:smooth val="0"/>
        <c:axId val="1504952815"/>
        <c:axId val="1463305727"/>
      </c:lineChart>
      <c:catAx>
        <c:axId val="150495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305727"/>
        <c:crosses val="autoZero"/>
        <c:auto val="0"/>
        <c:lblAlgn val="ctr"/>
        <c:lblOffset val="100"/>
        <c:noMultiLvlLbl val="0"/>
      </c:catAx>
      <c:valAx>
        <c:axId val="146330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52815"/>
        <c:crosses val="autoZero"/>
        <c:crossBetween val="between"/>
      </c:valAx>
      <c:valAx>
        <c:axId val="146330198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361839"/>
        <c:crosses val="max"/>
        <c:crossBetween val="between"/>
      </c:valAx>
      <c:catAx>
        <c:axId val="1499361839"/>
        <c:scaling>
          <c:orientation val="minMax"/>
        </c:scaling>
        <c:delete val="1"/>
        <c:axPos val="b"/>
        <c:numFmt formatCode="General" sourceLinked="1"/>
        <c:majorTickMark val="none"/>
        <c:minorTickMark val="none"/>
        <c:tickLblPos val="nextTo"/>
        <c:crossAx val="14633019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228600</xdr:colOff>
      <xdr:row>4</xdr:row>
      <xdr:rowOff>30480</xdr:rowOff>
    </xdr:from>
    <xdr:to>
      <xdr:col>21</xdr:col>
      <xdr:colOff>198120</xdr:colOff>
      <xdr:row>15</xdr:row>
      <xdr:rowOff>0</xdr:rowOff>
    </xdr:to>
    <xdr:graphicFrame macro="">
      <xdr:nvGraphicFramePr>
        <xdr:cNvPr id="2" name="Chart 1">
          <a:extLst>
            <a:ext uri="{FF2B5EF4-FFF2-40B4-BE49-F238E27FC236}">
              <a16:creationId xmlns:a16="http://schemas.microsoft.com/office/drawing/2014/main" id="{22C4A9E0-ACB6-42AF-B137-16E389995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awkj/Documents/Github/Kapiti%20spatial/Wildlife%20data/Summary%20wildlife%20counts%202022%20onwards+JH.xlsx" TargetMode="External"/><Relationship Id="rId2" Type="http://schemas.openxmlformats.org/officeDocument/2006/relationships/externalLinkPath" Target="file:///C:\Users\hawkj\Documents\Github\Kapiti%20spatial\Wildlife%20data\Summary%20wildlife%20counts%202022%20onwards+JH.xlsx" TargetMode="External"/><Relationship Id="rId1" Type="http://schemas.openxmlformats.org/officeDocument/2006/relationships/externalLinkPath" Target="/Users/hawkj/Documents/Github/Kapiti%20spatial/Wildlife%20data/Summary%20wildlife%20counts%202022%20onwards+J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erbivores"/>
      <sheetName val="Carnivores"/>
      <sheetName val="Birds"/>
      <sheetName val="Others"/>
    </sheetNames>
    <sheetDataSet>
      <sheetData sheetId="0">
        <row r="1">
          <cell r="K1">
            <v>44835</v>
          </cell>
          <cell r="L1">
            <v>45078</v>
          </cell>
          <cell r="M1">
            <v>45200</v>
          </cell>
          <cell r="N1">
            <v>45323</v>
          </cell>
          <cell r="O1">
            <v>45474</v>
          </cell>
          <cell r="P1">
            <v>45566</v>
          </cell>
        </row>
        <row r="2">
          <cell r="J2" t="str">
            <v>Total number</v>
          </cell>
          <cell r="K2">
            <v>2584</v>
          </cell>
          <cell r="L2">
            <v>752</v>
          </cell>
          <cell r="M2">
            <v>778</v>
          </cell>
          <cell r="N2">
            <v>890</v>
          </cell>
          <cell r="O2">
            <v>429</v>
          </cell>
          <cell r="P2">
            <v>493</v>
          </cell>
        </row>
        <row r="3">
          <cell r="J3" t="str">
            <v>No species counted</v>
          </cell>
          <cell r="K3">
            <v>14</v>
          </cell>
          <cell r="L3">
            <v>13</v>
          </cell>
          <cell r="M3">
            <v>14</v>
          </cell>
          <cell r="N3">
            <v>14</v>
          </cell>
          <cell r="O3">
            <v>8</v>
          </cell>
          <cell r="P3">
            <v>8</v>
          </cell>
        </row>
      </sheetData>
      <sheetData sheetId="1" refreshError="1"/>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James Hawkins" id="{BB912566-EC53-49B5-9B0D-533C3E175420}" userId="bb158497c03b6847" providerId="Windows Live"/>
  <person displayName="Hawkins, James (ILRI)" id="{AE3BFDA4-C003-4D4C-85B8-707FBB1422C5}" userId="S::J.Hawkins@cgiar.org::fa0c5970-8857-44b2-99c8-2a84fc8ed53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7" dT="2025-06-05T07:28:26.25" personId="{BB912566-EC53-49B5-9B0D-533C3E175420}" id="{ABE6751A-93C2-4F42-B7B4-E187F2BD78E3}">
    <text>When data are missing, I just report the average across all soil depths in the xml file</text>
  </threadedComment>
  <threadedComment ref="A14" dT="2025-06-10T02:36:07.34" personId="{BB912566-EC53-49B5-9B0D-533C3E175420}" id="{7AE6FE91-1910-4539-8A3F-64C55F551BE1}">
    <text>Field capacity</text>
  </threadedComment>
  <threadedComment ref="A15" dT="2025-06-10T02:35:56.78" personId="{BB912566-EC53-49B5-9B0D-533C3E175420}" id="{4BC01CB8-3429-438A-98E3-B0C92D154FB0}">
    <text>Wilting point</text>
  </threadedComment>
</ThreadedComments>
</file>

<file path=xl/threadedComments/threadedComment2.xml><?xml version="1.0" encoding="utf-8"?>
<ThreadedComments xmlns="http://schemas.microsoft.com/office/spreadsheetml/2018/threadedcomments" xmlns:x="http://schemas.openxmlformats.org/spreadsheetml/2006/main">
  <threadedComment ref="D7" dT="2025-06-05T07:28:26.25" personId="{BB912566-EC53-49B5-9B0D-533C3E175420}" id="{E951F313-F9E8-472E-841A-09D469AA8A55}">
    <text>When data are missing, I just report the average across all soil depths in the xml file</text>
  </threadedComment>
  <threadedComment ref="A14" dT="2025-06-10T02:36:07.34" personId="{BB912566-EC53-49B5-9B0D-533C3E175420}" id="{83A1A576-EAF0-4303-A5B9-CC1132AC9B81}">
    <text>Field capacity</text>
  </threadedComment>
  <threadedComment ref="A15" dT="2025-06-10T02:35:56.78" personId="{BB912566-EC53-49B5-9B0D-533C3E175420}" id="{377E4E06-E3F2-4440-B4A4-A5D616B3BDCC}">
    <text>Wilting point</text>
  </threadedComment>
</ThreadedComments>
</file>

<file path=xl/threadedComments/threadedComment3.xml><?xml version="1.0" encoding="utf-8"?>
<ThreadedComments xmlns="http://schemas.microsoft.com/office/spreadsheetml/2018/threadedcomments" xmlns:x="http://schemas.openxmlformats.org/spreadsheetml/2006/main">
  <threadedComment ref="D7" dT="2025-06-05T07:28:26.25" personId="{BB912566-EC53-49B5-9B0D-533C3E175420}" id="{494CDA93-A028-4DCF-A816-85026D9314ED}">
    <text>When data are missing, I just report the average across all soil depths in the xml file</text>
  </threadedComment>
  <threadedComment ref="A14" dT="2025-06-10T02:36:07.34" personId="{BB912566-EC53-49B5-9B0D-533C3E175420}" id="{ABEAD0D2-EE37-4965-AB31-D52181930B83}">
    <text>Field capacity</text>
  </threadedComment>
  <threadedComment ref="A15" dT="2025-06-10T02:35:56.78" personId="{BB912566-EC53-49B5-9B0D-533C3E175420}" id="{6050CEEC-02AF-4313-A4B4-AA06CFA5B262}">
    <text>Wilting point</text>
  </threadedComment>
</ThreadedComments>
</file>

<file path=xl/threadedComments/threadedComment4.xml><?xml version="1.0" encoding="utf-8"?>
<ThreadedComments xmlns="http://schemas.microsoft.com/office/spreadsheetml/2018/threadedcomments" xmlns:x="http://schemas.openxmlformats.org/spreadsheetml/2006/main">
  <threadedComment ref="D7" dT="2025-06-05T07:28:26.25" personId="{BB912566-EC53-49B5-9B0D-533C3E175420}" id="{4B6C185B-E3A7-4BF5-9E22-83FE3076CF54}">
    <text>When data are missing, I just report the average across all soil depths in the xml file</text>
  </threadedComment>
  <threadedComment ref="A14" dT="2025-06-10T02:36:07.34" personId="{BB912566-EC53-49B5-9B0D-533C3E175420}" id="{8A80B0E0-B08E-4943-B3E3-5CD29F899D12}">
    <text>Field capacity</text>
  </threadedComment>
  <threadedComment ref="A15" dT="2025-06-10T02:35:56.78" personId="{BB912566-EC53-49B5-9B0D-533C3E175420}" id="{A0C100D8-7139-4E5B-9646-4334EBF32781}">
    <text>Wilting point</text>
  </threadedComment>
</ThreadedComments>
</file>

<file path=xl/threadedComments/threadedComment5.xml><?xml version="1.0" encoding="utf-8"?>
<ThreadedComments xmlns="http://schemas.microsoft.com/office/spreadsheetml/2018/threadedcomments" xmlns:x="http://schemas.openxmlformats.org/spreadsheetml/2006/main">
  <threadedComment ref="D7" dT="2025-06-05T07:28:26.25" personId="{BB912566-EC53-49B5-9B0D-533C3E175420}" id="{CE897289-66C7-4CED-ABD4-38D1EE8C15FE}">
    <text>When data are missing, I just report the average across all soil depths in the xml file</text>
  </threadedComment>
  <threadedComment ref="A14" dT="2025-06-10T02:36:07.34" personId="{BB912566-EC53-49B5-9B0D-533C3E175420}" id="{A32F0578-31A7-42F6-A5A9-5C4B9D0BF914}">
    <text>Field capacity</text>
  </threadedComment>
  <threadedComment ref="A15" dT="2025-06-10T02:35:56.78" personId="{BB912566-EC53-49B5-9B0D-533C3E175420}" id="{5DEC1BA0-75B9-4E27-A418-E03F65C739FB}">
    <text>Wilting point</text>
  </threadedComment>
</ThreadedComments>
</file>

<file path=xl/threadedComments/threadedComment6.xml><?xml version="1.0" encoding="utf-8"?>
<ThreadedComments xmlns="http://schemas.microsoft.com/office/spreadsheetml/2018/threadedcomments" xmlns:x="http://schemas.openxmlformats.org/spreadsheetml/2006/main">
  <threadedComment ref="D7" dT="2025-06-05T07:28:26.25" personId="{BB912566-EC53-49B5-9B0D-533C3E175420}" id="{473601B9-8E77-4199-ABEF-7FF968C0DA03}">
    <text>When data are missing, I just report the average across all soil depths in the xml file</text>
  </threadedComment>
  <threadedComment ref="A14" dT="2025-06-10T02:36:07.34" personId="{BB912566-EC53-49B5-9B0D-533C3E175420}" id="{8F0DFFD9-38D9-46F0-9949-A765F141F282}">
    <text>Field capacity</text>
  </threadedComment>
  <threadedComment ref="A15" dT="2025-06-10T02:35:56.78" personId="{BB912566-EC53-49B5-9B0D-533C3E175420}" id="{4A38E8F8-546F-426F-8138-37E48503C191}">
    <text>Wilting point</text>
  </threadedComment>
</ThreadedComments>
</file>

<file path=xl/threadedComments/threadedComment7.xml><?xml version="1.0" encoding="utf-8"?>
<ThreadedComments xmlns="http://schemas.microsoft.com/office/spreadsheetml/2018/threadedcomments" xmlns:x="http://schemas.openxmlformats.org/spreadsheetml/2006/main">
  <threadedComment ref="D7" dT="2025-06-05T07:28:26.25" personId="{BB912566-EC53-49B5-9B0D-533C3E175420}" id="{C506B76A-EDA3-405B-8ABA-DEE5F7B27189}">
    <text>When data are missing, I just report the average across all soil depths in the xml file</text>
  </threadedComment>
  <threadedComment ref="A14" dT="2025-06-10T02:36:07.34" personId="{BB912566-EC53-49B5-9B0D-533C3E175420}" id="{0D18CD59-4D1D-4A12-A086-345140C9ED65}">
    <text>Field capacity</text>
  </threadedComment>
  <threadedComment ref="A15" dT="2025-06-10T02:35:56.78" personId="{BB912566-EC53-49B5-9B0D-533C3E175420}" id="{3F2BA238-6F9C-4DC3-A480-7398519960A2}">
    <text>Wilting point</text>
  </threadedComment>
</ThreadedComments>
</file>

<file path=xl/threadedComments/threadedComment8.xml><?xml version="1.0" encoding="utf-8"?>
<ThreadedComments xmlns="http://schemas.microsoft.com/office/spreadsheetml/2018/threadedcomments" xmlns:x="http://schemas.openxmlformats.org/spreadsheetml/2006/main">
  <threadedComment ref="D7" dT="2025-06-05T07:28:26.25" personId="{BB912566-EC53-49B5-9B0D-533C3E175420}" id="{092AA122-A402-458A-A9D5-F2BAA5B8D623}">
    <text>When data are missing, I just report the average across all soil depths in the xml file</text>
  </threadedComment>
  <threadedComment ref="A14" dT="2025-06-10T02:36:07.34" personId="{BB912566-EC53-49B5-9B0D-533C3E175420}" id="{4FD559C2-7F66-4ADF-A5E6-24B2C6B761ED}">
    <text>Field capacity</text>
  </threadedComment>
  <threadedComment ref="A15" dT="2025-06-10T02:35:56.78" personId="{BB912566-EC53-49B5-9B0D-533C3E175420}" id="{1D390C61-3604-42AF-8112-D975E8B88963}">
    <text>Wilting point</text>
  </threadedComment>
</ThreadedComments>
</file>

<file path=xl/threadedComments/threadedComment9.xml><?xml version="1.0" encoding="utf-8"?>
<ThreadedComments xmlns="http://schemas.microsoft.com/office/spreadsheetml/2018/threadedcomments" xmlns:x="http://schemas.openxmlformats.org/spreadsheetml/2006/main">
  <threadedComment ref="D7" dT="2025-06-05T07:28:26.25" personId="{BB912566-EC53-49B5-9B0D-533C3E175420}" id="{A02AA604-A982-4F74-AAF7-0752BE623349}">
    <text>When data are missing, I just report the average across all soil depths in the xml file</text>
  </threadedComment>
  <threadedComment ref="A14" dT="2025-06-10T02:36:07.34" personId="{BB912566-EC53-49B5-9B0D-533C3E175420}" id="{A5279243-7419-4208-9A3E-C49EB84BACC5}">
    <text>Field capacity</text>
  </threadedComment>
  <threadedComment ref="A15" dT="2025-06-10T02:35:56.78" personId="{BB912566-EC53-49B5-9B0D-533C3E175420}" id="{E39FA402-CF73-4F82-A8A2-5DAFAF1DD19F}">
    <text>Wilting point</text>
  </threadedComment>
</ThreadedComments>
</file>

<file path=xl/threadedComments/threadedComment10.xml><?xml version="1.0" encoding="utf-8"?>
<ThreadedComments xmlns="http://schemas.microsoft.com/office/spreadsheetml/2018/threadedcomments" xmlns:x="http://schemas.openxmlformats.org/spreadsheetml/2006/main">
  <threadedComment ref="D7" dT="2025-06-05T07:28:26.25" personId="{BB912566-EC53-49B5-9B0D-533C3E175420}" id="{835A5A32-2C59-45CF-8C91-031B86D94308}">
    <text>When data are missing, I just report the average across all soil depths in the xml file</text>
  </threadedComment>
  <threadedComment ref="A14" dT="2025-06-10T02:36:07.34" personId="{BB912566-EC53-49B5-9B0D-533C3E175420}" id="{23B3BA38-B0C2-471D-A424-C5C3446BC263}">
    <text>Field capacity</text>
  </threadedComment>
  <threadedComment ref="A15" dT="2025-06-10T02:35:56.78" personId="{BB912566-EC53-49B5-9B0D-533C3E175420}" id="{06A32607-22B5-4BA9-8098-1285E90B160C}">
    <text>Wilting point</text>
  </threadedComment>
</ThreadedComments>
</file>

<file path=xl/threadedComments/threadedComment11.xml><?xml version="1.0" encoding="utf-8"?>
<ThreadedComments xmlns="http://schemas.microsoft.com/office/spreadsheetml/2018/threadedcomments" xmlns:x="http://schemas.openxmlformats.org/spreadsheetml/2006/main">
  <threadedComment ref="D7" dT="2025-06-05T07:28:26.25" personId="{BB912566-EC53-49B5-9B0D-533C3E175420}" id="{98BC9664-1E20-4954-A702-6C0D26DF7B2D}">
    <text>When data are missing, I just report the average across all soil depths in the xml file</text>
  </threadedComment>
  <threadedComment ref="A14" dT="2025-06-10T02:36:07.34" personId="{BB912566-EC53-49B5-9B0D-533C3E175420}" id="{DE5AC1FE-EAF3-4158-9722-28E590E88157}">
    <text>Field capacity</text>
  </threadedComment>
  <threadedComment ref="A15" dT="2025-06-10T02:35:56.78" personId="{BB912566-EC53-49B5-9B0D-533C3E175420}" id="{7DCEBD68-6300-44E5-9041-F82A1F5BB96B}">
    <text>Wilting point</text>
  </threadedComment>
</ThreadedComments>
</file>

<file path=xl/threadedComments/threadedComment12.xml><?xml version="1.0" encoding="utf-8"?>
<ThreadedComments xmlns="http://schemas.microsoft.com/office/spreadsheetml/2018/threadedcomments" xmlns:x="http://schemas.openxmlformats.org/spreadsheetml/2006/main">
  <threadedComment ref="D7" dT="2025-06-05T07:28:26.25" personId="{BB912566-EC53-49B5-9B0D-533C3E175420}" id="{1627B6AE-CAFD-429A-830F-C628952C73B3}">
    <text>When data are missing, I just report the average across all soil depths in the xml file</text>
  </threadedComment>
  <threadedComment ref="A14" dT="2025-06-10T02:36:07.34" personId="{BB912566-EC53-49B5-9B0D-533C3E175420}" id="{7D85D5B2-0CA3-4204-AA88-53E002AFA498}">
    <text>Field capacity</text>
  </threadedComment>
  <threadedComment ref="A15" dT="2025-06-10T02:35:56.78" personId="{BB912566-EC53-49B5-9B0D-533C3E175420}" id="{2DC42F51-A961-42A9-90FA-62F25846BAFC}">
    <text>Wilting point</text>
  </threadedComment>
</ThreadedComments>
</file>

<file path=xl/threadedComments/threadedComment13.xml><?xml version="1.0" encoding="utf-8"?>
<ThreadedComments xmlns="http://schemas.microsoft.com/office/spreadsheetml/2018/threadedcomments" xmlns:x="http://schemas.openxmlformats.org/spreadsheetml/2006/main">
  <threadedComment ref="D7" dT="2025-06-05T07:28:26.25" personId="{BB912566-EC53-49B5-9B0D-533C3E175420}" id="{AFEA7CAD-A31F-47BD-9DF9-96DF646D673A}">
    <text>When data are missing, I just report the average across all soil depths in the xml file</text>
  </threadedComment>
  <threadedComment ref="A14" dT="2025-06-10T02:36:07.34" personId="{BB912566-EC53-49B5-9B0D-533C3E175420}" id="{AEA7E753-DA7C-401E-8A8F-C5233493178D}">
    <text>Field capacity</text>
  </threadedComment>
  <threadedComment ref="A15" dT="2025-06-10T02:35:56.78" personId="{BB912566-EC53-49B5-9B0D-533C3E175420}" id="{96AA804E-7AE7-4A30-BC4E-1222BD062ABD}">
    <text>Wilting point</text>
  </threadedComment>
</ThreadedComments>
</file>

<file path=xl/threadedComments/threadedComment14.xml><?xml version="1.0" encoding="utf-8"?>
<ThreadedComments xmlns="http://schemas.microsoft.com/office/spreadsheetml/2018/threadedcomments" xmlns:x="http://schemas.openxmlformats.org/spreadsheetml/2006/main">
  <threadedComment ref="D7" dT="2025-06-05T07:28:26.25" personId="{BB912566-EC53-49B5-9B0D-533C3E175420}" id="{AED9E3C0-8316-403B-8159-F0060873E510}">
    <text>When data are missing, I just report the average across all soil depths in the xml file</text>
  </threadedComment>
  <threadedComment ref="A14" dT="2025-06-10T02:36:07.34" personId="{BB912566-EC53-49B5-9B0D-533C3E175420}" id="{E2D04080-8AD5-485B-B358-934D67793AE1}">
    <text>Field capacity</text>
  </threadedComment>
  <threadedComment ref="A15" dT="2025-06-10T02:35:56.78" personId="{BB912566-EC53-49B5-9B0D-533C3E175420}" id="{2CB3D973-067A-4E98-B321-9071394DBF03}">
    <text>Wilting point</text>
  </threadedComment>
</ThreadedComments>
</file>

<file path=xl/threadedComments/threadedComment15.xml><?xml version="1.0" encoding="utf-8"?>
<ThreadedComments xmlns="http://schemas.microsoft.com/office/spreadsheetml/2018/threadedcomments" xmlns:x="http://schemas.openxmlformats.org/spreadsheetml/2006/main">
  <threadedComment ref="D7" dT="2025-06-05T07:28:26.25" personId="{BB912566-EC53-49B5-9B0D-533C3E175420}" id="{519B9E71-13D6-4746-8599-8933F2382577}">
    <text>When data are missing, I just report the average across all soil depths in the xml file</text>
  </threadedComment>
  <threadedComment ref="A14" dT="2025-06-10T02:36:07.34" personId="{BB912566-EC53-49B5-9B0D-533C3E175420}" id="{4FB0B56D-4706-4015-9654-6C91E33D088C}">
    <text>Field capacity</text>
  </threadedComment>
  <threadedComment ref="A15" dT="2025-06-10T02:35:56.78" personId="{BB912566-EC53-49B5-9B0D-533C3E175420}" id="{595232E7-C706-481B-A4CB-104270B540E9}">
    <text>Wilting point</text>
  </threadedComment>
</ThreadedComments>
</file>

<file path=xl/threadedComments/threadedComment16.xml><?xml version="1.0" encoding="utf-8"?>
<ThreadedComments xmlns="http://schemas.microsoft.com/office/spreadsheetml/2018/threadedcomments" xmlns:x="http://schemas.openxmlformats.org/spreadsheetml/2006/main">
  <threadedComment ref="B2" dT="2026-02-17T16:10:13.11" personId="{BB912566-EC53-49B5-9B0D-533C3E175420}" id="{7D7FDBB9-4543-4EE0-9289-BD8BBCC6013D}">
    <text xml:space="preserve">Based on Kuyah et al regression
</text>
  </threadedComment>
</ThreadedComments>
</file>

<file path=xl/threadedComments/threadedComment17.xml><?xml version="1.0" encoding="utf-8"?>
<ThreadedComments xmlns="http://schemas.microsoft.com/office/spreadsheetml/2018/threadedcomments" xmlns:x="http://schemas.openxmlformats.org/spreadsheetml/2006/main">
  <threadedComment ref="I19" dT="2026-02-21T05:59:48.08" personId="{BB912566-EC53-49B5-9B0D-533C3E175420}" id="{E2468AD8-90A9-49D6-8513-81CF486BD611}">
    <text>https://www.google.com/search?q=maintenance+coefficient+at+reference+temperature+bermuda+grass&amp;sxsrf=ANbL-n7s2jMjPqWnEd-1fBHXLlY2fBy6tw%3A1771652072136</text>
    <extLst>
      <x:ext xmlns:xltc2="http://schemas.microsoft.com/office/spreadsheetml/2020/threadedcomments2" uri="{F7C98A9C-CBB3-438F-8F68-D28B6AF4A901}">
        <xltc2:checksum>123956117</xltc2:checksum>
        <xltc2:hyperlink startIndex="0" length="151" url="https://www.google.com/search?q=maintenance+coefficient+at+reference+temperature+bermuda+grass&amp;sxsrf=ANbL-n7s2jMjPqWnEd-1fBHXLlY2fBy6tw%3A1771652072136"/>
      </x:ext>
    </extLst>
  </threadedComment>
  <threadedComment ref="I20" dT="2026-02-21T06:20:07.13" personId="{BB912566-EC53-49B5-9B0D-533C3E175420}" id="{5964FA09-A649-4F88-B6C5-4BDC424FD560}">
    <text>https://www.google.com/search?q=Michaelis-Menten+constant+for+O2+at+25oC+%28mmol+mol-1+mbar-1%29.%0D%0Afor+bermuda+grass&amp;sxsrf=ANbL-n45Cn2KJppMNyBlzBx50X5B7uAWJQ%3A1771654527223</text>
    <extLst>
      <x:ext xmlns:xltc2="http://schemas.microsoft.com/office/spreadsheetml/2020/threadedcomments2" uri="{F7C98A9C-CBB3-438F-8F68-D28B6AF4A901}">
        <xltc2:checksum>2778790242</xltc2:checksum>
        <xltc2:hyperlink startIndex="0" length="177" url="https://www.google.com/search?q=Michaelis-Menten+constant+for+O2+at+25oC+%28mmol+mol-1+mbar-1%29.%0D%0Afor+bermuda+grass&amp;sxsrf=ANbL-n45Cn2KJppMNyBlzBx50X5B7uAWJQ%3A1771654527223"/>
      </x:ext>
    </extLst>
  </threadedComment>
  <threadedComment ref="B24" dT="2026-02-21T06:33:03.27" personId="{BB912566-EC53-49B5-9B0D-533C3E175420}" id="{D3F2B07B-B25F-42EF-A296-692CA16FEE59}">
    <text>Problematic as the literature value gives unsensible results</text>
  </threadedComment>
  <threadedComment ref="I24" dT="2026-02-21T06:26:37.30" personId="{BB912566-EC53-49B5-9B0D-533C3E175420}" id="{84858AE7-6753-4CD6-B8E4-39A228461D84}">
    <text>https://www.google.com/search?q=Foliage+biomass+under+optimal%2C+closed+canopy+condition+%28kg+m-2%29+for+bermuda+grass+semi+arid+savannah&amp;sxsrf=ANbL-n4P-lUw5UaGwRWOW_lmfpKWuSihTg%3A1771655017817</text>
    <extLst>
      <x:ext xmlns:xltc2="http://schemas.microsoft.com/office/spreadsheetml/2020/threadedcomments2" uri="{F7C98A9C-CBB3-438F-8F68-D28B6AF4A901}">
        <xltc2:checksum>1969335809</xltc2:checksum>
        <xltc2:hyperlink startIndex="0" length="195" url="https://www.google.com/search?q=Foliage+biomass+under+optimal%2C+closed+canopy+condition+%28kg+m-2%29+for+bermuda+grass+semi+arid+savannah&amp;sxsrf=ANbL-n4P-lUw5UaGwRWOW_lmfpKWuSihTg%3A1771655017817"/>
      </x:ext>
    </extLst>
  </threadedComment>
  <threadedComment ref="I27" dT="2026-02-21T11:09:52.09" personId="{BB912566-EC53-49B5-9B0D-533C3E175420}" id="{4903BC22-4736-4966-80EA-320E5C37B9EA}">
    <text>https://www.google.com/search?q=ratio+between+fine+root-+and+foliage+in+percentage+terms+biomass+under+standard+conditions+bermuda+grass&amp;sxsrf=ANbL-n4f8jnKPTEGhjpFY7BBOYylfP3YEg%3A1771670922492</text>
    <extLst>
      <x:ext xmlns:xltc2="http://schemas.microsoft.com/office/spreadsheetml/2020/threadedcomments2" uri="{F7C98A9C-CBB3-438F-8F68-D28B6AF4A901}">
        <xltc2:checksum>3259791163</xltc2:checksum>
        <xltc2:hyperlink startIndex="0" length="193" url="https://www.google.com/search?q=ratio+between+fine+root-+and+foliage+in+percentage+terms+biomass+under+standard+conditions+bermuda+grass&amp;sxsrf=ANbL-n4f8jnKPTEGhjpFY7BBOYylfP3YEg%3A1771670922492"/>
      </x:ext>
    </extLst>
  </threadedComment>
  <threadedComment ref="I28" dT="2026-02-21T11:12:39.43" personId="{BB912566-EC53-49B5-9B0D-533C3E175420}" id="{84B7888B-4D90-4581-BDFB-49FFBBEAE77D}">
    <text>https://www.google.com/search?q=Relation+between+maximum+electron+transport+rate+and+RubP+saturated+rate%0D%0Aof+carboxylation+for+bermuda+grass+&amp;sxsrf=ANbL-n4Ex8B6jGn0-hnSPQOVWj-Rv4WPVw%3A1771670985483</text>
    <extLst>
      <x:ext xmlns:xltc2="http://schemas.microsoft.com/office/spreadsheetml/2020/threadedcomments2" uri="{F7C98A9C-CBB3-438F-8F68-D28B6AF4A901}">
        <xltc2:checksum>457410289</xltc2:checksum>
        <xltc2:hyperlink startIndex="0" length="202" url="https://www.google.com/search?q=Relation+between+maximum+electron+transport+rate+and+RubP+saturated+rate%0D%0Aof+carboxylation+for+bermuda+grass+&amp;sxsrf=ANbL-n4Ex8B6jGn0-hnSPQOVWj-Rv4WPVw%3A1771670985483"/>
      </x:ext>
    </extLst>
  </threadedComment>
  <threadedComment ref="I29" dT="2026-02-21T11:16:35.47" personId="{BB912566-EC53-49B5-9B0D-533C3E175420}" id="{96B86BC5-29D7-4632-91DE-49A82E4B1181}">
    <text>https://www.google.com/search?q=Reference+temperature+for+respiration+bermuda+grass&amp;ie=UTF-8</text>
    <extLst>
      <x:ext xmlns:xltc2="http://schemas.microsoft.com/office/spreadsheetml/2020/threadedcomments2" uri="{F7C98A9C-CBB3-438F-8F68-D28B6AF4A901}">
        <xltc2:checksum>2790338843</xltc2:checksum>
        <xltc2:hyperlink startIndex="0" length="92" url="https://www.google.com/search?q=Reference+temperature+for+respiration+bermuda+grass&amp;ie=UTF-8"/>
      </x:ext>
    </extLst>
  </threadedComment>
  <threadedComment ref="I33" dT="2026-02-16T11:13:39.64" personId="{BB912566-EC53-49B5-9B0D-533C3E175420}" id="{CA79B39F-6543-468D-8DA8-08131BC165E7}">
    <text>https://www.google.com/search?q=cynodon+dactylon+maximum+stomatal+conductivity+in+mmol+H2O+m%E2%88%922+s%E2%88%921&amp;sxsrf=ANbL-n5ed7N_QJnC_299N0n2uwCExbecpw%3A1771240279101</text>
    <extLst>
      <x:ext xmlns:xltc2="http://schemas.microsoft.com/office/spreadsheetml/2020/threadedcomments2" uri="{F7C98A9C-CBB3-438F-8F68-D28B6AF4A901}">
        <xltc2:checksum>996620626</xltc2:checksum>
        <xltc2:hyperlink startIndex="0" length="171" url="https://www.google.com/search?q=cynodon+dactylon+maximum+stomatal+conductivity+in+mmol+H2O+m%E2%88%922+s%E2%88%921&amp;sxsrf=ANbL-n5ed7N_QJnC_299N0n2uwCExbecpw%3A1771240279101"/>
      </x:ext>
    </extLst>
  </threadedComment>
  <threadedComment ref="I33" dT="2026-02-21T05:06:13.47" personId="{BB912566-EC53-49B5-9B0D-533C3E175420}" id="{0E6A5DF5-CE2F-4353-A47D-4E6CBA7736F6}" parentId="{CA79B39F-6543-468D-8DA8-08131BC165E7}">
    <text>https://www.google.com/search?q=Maximum+rate+of+water+vapor+and+CO2+exchange+through+stomata+bermuda+grass&amp;ie=UTF-8</text>
    <extLst>
      <x:ext xmlns:xltc2="http://schemas.microsoft.com/office/spreadsheetml/2020/threadedcomments2" uri="{F7C98A9C-CBB3-438F-8F68-D28B6AF4A901}">
        <xltc2:checksum>79328443</xltc2:checksum>
        <xltc2:hyperlink startIndex="0" length="115" url="https://www.google.com/search?q=Maximum+rate+of+water+vapor+and+CO2+exchange+through+stomata+bermuda+grass&amp;ie=UTF-8"/>
      </x:ext>
    </extLst>
  </threadedComment>
  <threadedComment ref="I34" dT="2026-02-21T07:44:21.95" personId="{BB912566-EC53-49B5-9B0D-533C3E175420}" id="{6F130128-BA48-40BE-8A73-5B4D323F4D87}">
    <text>https://www.google.com/search?q=Minimum+rate+of+water+vapor+and+CO2+exchange+through+stomata+bermuda+grass&amp;sxsrf=ANbL-n71z0P6DaQGI5pkZBpQ31qrYTYQlQ%3A1771659499314</text>
    <extLst>
      <x:ext xmlns:xltc2="http://schemas.microsoft.com/office/spreadsheetml/2020/threadedcomments2" uri="{F7C98A9C-CBB3-438F-8F68-D28B6AF4A901}">
        <xltc2:checksum>2121730488</xltc2:checksum>
        <xltc2:hyperlink startIndex="0" length="163" url="https://www.google.com/search?q=Minimum+rate+of+water+vapor+and+CO2+exchange+through+stomata+bermuda+grass&amp;sxsrf=ANbL-n71z0P6DaQGI5pkZBpQ31qrYTYQlQ%3A1771659499314"/>
      </x:ext>
    </extLst>
  </threadedComment>
  <threadedComment ref="I41" dT="2026-02-21T05:12:38.91" personId="{BB912566-EC53-49B5-9B0D-533C3E175420}" id="{6EA3F31B-9882-4DB1-BA8E-28AE33EF2A27}">
    <text>https://www.google.com/search?q=specific+leaf+area+index+bermuda+grass&amp;sxsrf=ANbL-n6MkdPPsPPeeF-yeY5kScYWh9RTLQ%3A1771650565412</text>
    <extLst>
      <x:ext xmlns:xltc2="http://schemas.microsoft.com/office/spreadsheetml/2020/threadedcomments2" uri="{F7C98A9C-CBB3-438F-8F68-D28B6AF4A901}">
        <xltc2:checksum>2056579741</xltc2:checksum>
        <xltc2:hyperlink startIndex="0" length="127" url="https://www.google.com/search?q=specific+leaf+area+index+bermuda+grass&amp;sxsrf=ANbL-n6MkdPPsPPeeF-yeY5kScYWh9RTLQ%3A1771650565412"/>
      </x:ext>
    </extLst>
  </threadedComment>
  <threadedComment ref="I41" dT="2026-02-21T05:27:43.05" personId="{BB912566-EC53-49B5-9B0D-533C3E175420}" id="{D823DC94-93C3-4C83-872F-2862362EC38A}" parentId="{6EA3F31B-9882-4DB1-BA8E-28AE33EF2A27}">
    <text>https://www.google.com/search?q=specific+leaf+area+index+%28square+meters+per+kg%29+bermuda+grass+in+east+african+savannah&amp;sxsrf=ANbL-n5-QBBT1FNmyOptyH2EG8oVqyMoNw%3A1771650969427</text>
    <extLst>
      <x:ext xmlns:xltc2="http://schemas.microsoft.com/office/spreadsheetml/2020/threadedcomments2" uri="{F7C98A9C-CBB3-438F-8F68-D28B6AF4A901}">
        <xltc2:checksum>448761412</xltc2:checksum>
        <xltc2:hyperlink startIndex="0" length="179" url="https://www.google.com/search?q=specific+leaf+area+index+%28square+meters+per+kg%29+bermuda+grass+in+east+african+savannah&amp;sxsrf=ANbL-n5-QBBT1FNmyOptyH2EG8oVqyMoNw%3A1771650969427"/>
      </x:ext>
    </extLst>
  </threadedComment>
  <threadedComment ref="I44" dT="2026-02-16T11:13:31.71" personId="{BB912566-EC53-49B5-9B0D-533C3E175420}" id="{55E611E6-4348-438A-A38A-6182ACAA733E}">
    <text xml:space="preserve">Giolo et al
</text>
  </threadedComment>
  <threadedComment ref="I44" dT="2026-02-16T11:14:14.12" personId="{BB912566-EC53-49B5-9B0D-533C3E175420}" id="{0E7E5962-CDE7-4203-8AAE-F64E118F0D59}" parentId="{55E611E6-4348-438A-A38A-6182ACAA733E}">
    <text>https://www.google.com/search?q=water+use+efficiency+of+bermuda+grass+in+mg+co2+per+kg+h2o&amp;sxsrf=ANbL-n6KK4-P05hkKdGjcL0TuiGFZCSSBw%3A1771239704831</text>
    <extLst>
      <x:ext xmlns:xltc2="http://schemas.microsoft.com/office/spreadsheetml/2020/threadedcomments2" uri="{F7C98A9C-CBB3-438F-8F68-D28B6AF4A901}">
        <xltc2:checksum>2375507191</xltc2:checksum>
        <xltc2:hyperlink startIndex="0" length="147" url="https://www.google.com/search?q=water+use+efficiency+of+bermuda+grass+in+mg+co2+per+kg+h2o&amp;sxsrf=ANbL-n6KK4-P05hkKdGjcL0TuiGFZCSSBw%3A1771239704831"/>
      </x:ext>
    </extLst>
  </threadedComment>
  <threadedComment ref="I44" dT="2026-02-21T05:09:54.89" personId="{BB912566-EC53-49B5-9B0D-533C3E175420}" id="{89DA48E9-E734-4CB9-8055-2D1E4CC0B6DF}" parentId="{55E611E6-4348-438A-A38A-6182ACAA733E}">
    <text>https://www.google.com/search?q=instantaneous+water+use+efficiency+in+mg+CO2%2Fg+h2o+bermuda+grass&amp;sxsrf=ANbL-n79LnCIUHkkYuoDWc5WnrKESQHplg%3A1771650531181</text>
    <extLst>
      <x:ext xmlns:xltc2="http://schemas.microsoft.com/office/spreadsheetml/2020/threadedcomments2" uri="{F7C98A9C-CBB3-438F-8F68-D28B6AF4A901}">
        <xltc2:checksum>363541865</xltc2:checksum>
        <xltc2:hyperlink startIndex="0" length="155" url="https://www.google.com/search?q=instantaneous+water+use+efficiency+in+mg+CO2%2Fg+h2o+bermuda+grass&amp;sxsrf=ANbL-n79LnCIUHkkYuoDWc5WnrKESQHplg%3A1771650531181"/>
      </x:ext>
    </extLst>
  </threadedComment>
  <threadedComment ref="I61" dT="2026-02-21T05:33:29.91" personId="{BB912566-EC53-49B5-9B0D-533C3E175420}" id="{9C89B73E-52D5-4A49-A06A-164C1FE7B0ED}">
    <text>https://www.google.com/search?q=Time+interval+necessary+to+complete+growth+of+new+foliage+bermuda+grass&amp;sxsrf=ANbL-n67-Kz0tYN6wqzgEDjjA9zDVcqkwg%3A1771651801527</text>
    <extLst>
      <x:ext xmlns:xltc2="http://schemas.microsoft.com/office/spreadsheetml/2020/threadedcomments2" uri="{F7C98A9C-CBB3-438F-8F68-D28B6AF4A901}">
        <xltc2:checksum>2209821234</xltc2:checksum>
        <xltc2:hyperlink startIndex="0" length="160" url="https://www.google.com/search?q=Time+interval+necessary+to+complete+growth+of+new+foliage+bermuda+grass&amp;sxsrf=ANbL-n67-Kz0tYN6wqzgEDjjA9zDVcqkwg%3A1771651801527"/>
      </x:ext>
    </extLst>
  </threadedComment>
  <threadedComment ref="I62" dT="2026-02-21T05:35:07.53" personId="{BB912566-EC53-49B5-9B0D-533C3E175420}" id="{876F0ABB-5749-469D-BC97-118A2AB32D1C}">
    <text>https://www.google.com/search?q=Time+interval+necessary+to+complete+litterfall+of+foliage+bermuda+grass+in+semi-arid+tropical+environments&amp;sxsrf=ANbL-n5tGbnxzfXgbqx-OKHHuSUJRxOm8A%3A1771652045188</text>
    <extLst>
      <x:ext xmlns:xltc2="http://schemas.microsoft.com/office/spreadsheetml/2020/threadedcomments2" uri="{F7C98A9C-CBB3-438F-8F68-D28B6AF4A901}">
        <xltc2:checksum>470005200</xltc2:checksum>
        <xltc2:hyperlink startIndex="0" length="195" url="https://www.google.com/search?q=Time+interval+necessary+to+complete+litterfall+of+foliage+bermuda+grass+in+semi-arid+tropical+environments&amp;sxsrf=ANbL-n5tGbnxzfXgbqx-OKHHuSUJRxOm8A%3A1771652045188"/>
      </x:ext>
    </extLst>
  </threadedComment>
</ThreadedComments>
</file>

<file path=xl/threadedComments/threadedComment18.xml><?xml version="1.0" encoding="utf-8"?>
<ThreadedComments xmlns="http://schemas.microsoft.com/office/spreadsheetml/2018/threadedcomments" xmlns:x="http://schemas.openxmlformats.org/spreadsheetml/2006/main">
  <threadedComment ref="AC8" dT="2026-06-01T07:43:16.32" personId="{AE3BFDA4-C003-4D4C-85B8-707FBB1422C5}" id="{4F7C7EEA-89F3-4E78-9E10-011BC5CE1B0B}">
    <text>Default to all C4 species</text>
  </threadedComment>
  <threadedComment ref="K9" dT="2026-02-27T09:24:11.35" personId="{BB912566-EC53-49B5-9B0D-533C3E175420}" id="{491C1081-06CD-48B9-867C-12B15A082997}">
    <text xml:space="preserve">Decide which end of range to use
</text>
  </threadedComment>
  <threadedComment ref="I19" dT="2026-02-23T09:19:13.87" personId="{BB912566-EC53-49B5-9B0D-533C3E175420}" id="{FA148C66-A326-4BB6-8FA2-5BFAC15D08D1}">
    <text xml:space="preserve">Must account for fraction of foliage from total above ground biomass
</text>
  </threadedComment>
  <threadedComment ref="J19" dT="2026-02-25T04:52:30.11" personId="{BB912566-EC53-49B5-9B0D-533C3E175420}" id="{3744B4DB-0347-4B29-A92D-FE3031B0B965}">
    <text>Assuming 35% foliage to total DM</text>
  </threadedComment>
  <threadedComment ref="L31" dT="2026-02-25T04:14:21.27" personId="{BB912566-EC53-49B5-9B0D-533C3E175420}" id="{C356C337-7AC2-4A22-A606-0EB55773CB60}">
    <text>Take values close to max, min respectively</text>
  </threadedComment>
  <threadedComment ref="W33" dT="2026-05-07T11:29:37.70" personId="{AE3BFDA4-C003-4D4C-85B8-707FBB1422C5}" id="{5B7F3A54-EB0E-4BE9-BDBE-A08C5DE52781}">
    <text>Could also be lower, based on citations (i.e. 108)</text>
  </threadedComment>
  <threadedComment ref="L38" dT="2026-02-24T09:28:59.95" personId="{BB912566-EC53-49B5-9B0D-533C3E175420}" id="{4BB82DA2-4484-4A5D-B9EB-7C1F35CDCAFD}">
    <text>Estimates in literature much higher than default LDNDC</text>
  </threadedComment>
  <threadedComment ref="L40" dT="2026-02-24T09:14:54.73" personId="{BB912566-EC53-49B5-9B0D-533C3E175420}" id="{2BB9CC03-0975-486F-9BE3-DC5F7A288A05}">
    <text>Mid range value leads to recurring spikes in GPP</text>
  </threadedComment>
</ThreadedComments>
</file>

<file path=xl/threadedComments/threadedComment19.xml><?xml version="1.0" encoding="utf-8"?>
<ThreadedComments xmlns="http://schemas.microsoft.com/office/spreadsheetml/2018/threadedcomments" xmlns:x="http://schemas.openxmlformats.org/spreadsheetml/2006/main">
  <threadedComment ref="D140" dT="2026-02-21T06:21:00.32" personId="{BB912566-EC53-49B5-9B0D-533C3E175420}" id="{693A319A-3D4E-4ED4-A58E-DBA53E78876A}">
    <text>Big difference between ANGA, CEBI and value for Bermuda grass of 179</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3" Type="http://schemas.openxmlformats.org/officeDocument/2006/relationships/hyperlink" Target="https://museum.isric.org/monoliths/reference-soil-kenya-07" TargetMode="External"/><Relationship Id="rId2" Type="http://schemas.openxmlformats.org/officeDocument/2006/relationships/hyperlink" Target="https://museum.isric.org/monoliths/reference-soil-kenya-40" TargetMode="External"/><Relationship Id="rId1" Type="http://schemas.openxmlformats.org/officeDocument/2006/relationships/hyperlink" Target="https://museum.isric.org/monoliths/reference-soil-kenya-06"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31545/intagr/191380" TargetMode="External"/></Relationships>
</file>

<file path=xl/worksheets/_rels/sheet26.xml.rels><?xml version="1.0" encoding="UTF-8" standalone="yes"?>
<Relationships xmlns="http://schemas.openxmlformats.org/package/2006/relationships"><Relationship Id="rId13" Type="http://schemas.openxmlformats.org/officeDocument/2006/relationships/hyperlink" Target="https://gemini.google.com/app/8e7f22ebecab03ea" TargetMode="External"/><Relationship Id="rId18" Type="http://schemas.openxmlformats.org/officeDocument/2006/relationships/hyperlink" Target="https://gemini.google.com/app/63660f38e1e24e65" TargetMode="External"/><Relationship Id="rId26" Type="http://schemas.openxmlformats.org/officeDocument/2006/relationships/hyperlink" Target="https://www.google.com/search?q=https://doi.org/10.1093/jexbot/53.369.609" TargetMode="External"/><Relationship Id="rId3" Type="http://schemas.openxmlformats.org/officeDocument/2006/relationships/hyperlink" Target="https://gemini.google.com/app/c7066ed2c53b6e7c" TargetMode="External"/><Relationship Id="rId21" Type="http://schemas.openxmlformats.org/officeDocument/2006/relationships/hyperlink" Target="https://gemini.google.com/app/d49597d5a6ac4e7d" TargetMode="External"/><Relationship Id="rId7" Type="http://schemas.openxmlformats.org/officeDocument/2006/relationships/hyperlink" Target="https://www.researchgate.net/publication/263842964_Sward_Structural_Characteristics_and_Performance_of_Beef_Heifers_Reared_under_Rotational_Grazing_Management_on_Campos_Grassland" TargetMode="External"/><Relationship Id="rId12" Type="http://schemas.openxmlformats.org/officeDocument/2006/relationships/hyperlink" Target="https://gemini.google.com/app/bc4f64346bdf2847" TargetMode="External"/><Relationship Id="rId17" Type="http://schemas.openxmlformats.org/officeDocument/2006/relationships/hyperlink" Target="https://gemini.google.com/app/7773e1b05bcf9349" TargetMode="External"/><Relationship Id="rId25" Type="http://schemas.openxmlformats.org/officeDocument/2006/relationships/hyperlink" Target="https://www.google.com/search?q=https://doi.org/10.1093/jxb/erq071" TargetMode="External"/><Relationship Id="rId33" Type="http://schemas.microsoft.com/office/2017/10/relationships/threadedComment" Target="../threadedComments/threadedComment18.xml"/><Relationship Id="rId2" Type="http://schemas.openxmlformats.org/officeDocument/2006/relationships/hyperlink" Target="https://www.google.com/search?q=studies+which+report+the+Growing+degree+days+until+begin+of+stem+elongation.+as+%28%29+%2C+and+the+values+reported+therein%2C+of+Cenchrus+grass+species+%28Cenchrus+ciliaris%2C+Cenchrus+purpureus%2C+Cenchrus+setiger%2C+Cenchrus+setaceus%2C+Cenchrus+biflorus%2C+Cenchrus+Mezianus+%29+under+semi-arid+environments.+Please+also+provide+the+link+to+the+scientific+articles&amp;sxsrf=ANbL-n4G3k24auADRhosyp_RXf4nOBIawA%3A1771924614861" TargetMode="External"/><Relationship Id="rId16" Type="http://schemas.openxmlformats.org/officeDocument/2006/relationships/hyperlink" Target="https://gemini.google.com/app/823ff50b7d51906c" TargetMode="External"/><Relationship Id="rId20" Type="http://schemas.openxmlformats.org/officeDocument/2006/relationships/hyperlink" Target="https://gemini.google.com/app/db693a554cac7485" TargetMode="External"/><Relationship Id="rId29" Type="http://schemas.openxmlformats.org/officeDocument/2006/relationships/hyperlink" Target="https://gemini.google.com/app/63b2950859a5cb62" TargetMode="External"/><Relationship Id="rId1" Type="http://schemas.openxmlformats.org/officeDocument/2006/relationships/hyperlink" Target="https://gemini.google.com/app/c7066ed2c53b6e7c" TargetMode="External"/><Relationship Id="rId6" Type="http://schemas.openxmlformats.org/officeDocument/2006/relationships/hyperlink" Target="https://www.researchgate.net/scientific-contributions/W-L-J-Van-Rensburg-2002356944" TargetMode="External"/><Relationship Id="rId11" Type="http://schemas.openxmlformats.org/officeDocument/2006/relationships/hyperlink" Target="https://gemini.google.com/app/aad2b10450a6c928" TargetMode="External"/><Relationship Id="rId24" Type="http://schemas.openxmlformats.org/officeDocument/2006/relationships/hyperlink" Target="https://gemini.google.com/app/52a91f8d1b86b398" TargetMode="External"/><Relationship Id="rId32" Type="http://schemas.openxmlformats.org/officeDocument/2006/relationships/comments" Target="../comments18.xml"/><Relationship Id="rId5" Type="http://schemas.openxmlformats.org/officeDocument/2006/relationships/hyperlink" Target="https://www.tandfonline.com/doi/full/10.1080/23311932.2022.2153964" TargetMode="External"/><Relationship Id="rId15" Type="http://schemas.openxmlformats.org/officeDocument/2006/relationships/hyperlink" Target="https://gemini.google.com/app/e0934cabf6e8e065" TargetMode="External"/><Relationship Id="rId23" Type="http://schemas.openxmlformats.org/officeDocument/2006/relationships/hyperlink" Target="https://gemini.google.com/app/52a91f8d1b86b398" TargetMode="External"/><Relationship Id="rId28" Type="http://schemas.openxmlformats.org/officeDocument/2006/relationships/hyperlink" Target="https://gemini.google.com/app/c7066ed2c53b6e7c" TargetMode="External"/><Relationship Id="rId10" Type="http://schemas.openxmlformats.org/officeDocument/2006/relationships/hyperlink" Target="https://pmc.ncbi.nlm.nih.gov/articles/PMC2826257/" TargetMode="External"/><Relationship Id="rId19" Type="http://schemas.openxmlformats.org/officeDocument/2006/relationships/hyperlink" Target="https://gemini.google.com/app/28139fba9da3f50c" TargetMode="External"/><Relationship Id="rId31" Type="http://schemas.openxmlformats.org/officeDocument/2006/relationships/vmlDrawing" Target="../drawings/vmlDrawing18.vml"/><Relationship Id="rId4" Type="http://schemas.openxmlformats.org/officeDocument/2006/relationships/hyperlink" Target="https://gemini.google.com/app/c7066ed2c53b6e7c" TargetMode="External"/><Relationship Id="rId9" Type="http://schemas.openxmlformats.org/officeDocument/2006/relationships/hyperlink" Target="https://doi.org/10.64898/2026.03.04.709158" TargetMode="External"/><Relationship Id="rId14" Type="http://schemas.openxmlformats.org/officeDocument/2006/relationships/hyperlink" Target="https://gemini.google.com/app/72a729ad6ab62739" TargetMode="External"/><Relationship Id="rId22" Type="http://schemas.openxmlformats.org/officeDocument/2006/relationships/hyperlink" Target="https://gemini.google.com/app/5b003771d1f9befe" TargetMode="External"/><Relationship Id="rId27" Type="http://schemas.openxmlformats.org/officeDocument/2006/relationships/hyperlink" Target="https://gemini.google.com/app/47e2cffefc9c5e07" TargetMode="External"/><Relationship Id="rId30" Type="http://schemas.openxmlformats.org/officeDocument/2006/relationships/printerSettings" Target="../printerSettings/printerSettings2.bin"/><Relationship Id="rId8" Type="http://schemas.openxmlformats.org/officeDocument/2006/relationships/hyperlink" Target="https://gemini.google.com/app/7971f1e62f57f59f" TargetMode="Externa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9.xml"/><Relationship Id="rId2" Type="http://schemas.openxmlformats.org/officeDocument/2006/relationships/comments" Target="../comments19.xml"/><Relationship Id="rId1"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3FCFD-930D-4686-82D5-8457AAFD412B}">
  <dimension ref="A1:O31"/>
  <sheetViews>
    <sheetView topLeftCell="A5" workbookViewId="0">
      <selection activeCell="C15" sqref="C15"/>
    </sheetView>
  </sheetViews>
  <sheetFormatPr defaultRowHeight="15" x14ac:dyDescent="0.25"/>
  <cols>
    <col min="1" max="1" width="12" customWidth="1"/>
    <col min="3" max="3" width="12.140625" bestFit="1" customWidth="1"/>
    <col min="4" max="5" width="10.5703125" bestFit="1"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7</v>
      </c>
      <c r="D2" s="5" t="s">
        <v>36</v>
      </c>
      <c r="E2" s="6" t="s">
        <v>37</v>
      </c>
      <c r="F2" s="6" t="s">
        <v>38</v>
      </c>
      <c r="G2" s="6" t="s">
        <v>40</v>
      </c>
      <c r="H2" s="6" t="s">
        <v>43</v>
      </c>
      <c r="I2" s="6" t="s">
        <v>44</v>
      </c>
      <c r="J2" s="6" t="s">
        <v>45</v>
      </c>
      <c r="K2" s="6" t="s">
        <v>46</v>
      </c>
      <c r="N2" t="s">
        <v>19</v>
      </c>
      <c r="O2">
        <v>1</v>
      </c>
    </row>
    <row r="3" spans="1:15" x14ac:dyDescent="0.25">
      <c r="A3" t="s">
        <v>41</v>
      </c>
      <c r="C3">
        <v>180</v>
      </c>
      <c r="D3" s="2">
        <f>(41-18)*10</f>
        <v>230</v>
      </c>
      <c r="E3" s="1">
        <f>(74-14)*10</f>
        <v>600</v>
      </c>
      <c r="F3" s="1">
        <f>(150-74)*10</f>
        <v>760</v>
      </c>
      <c r="G3" s="1">
        <f>(85-65)*10</f>
        <v>200</v>
      </c>
      <c r="H3" s="1">
        <f>(110-85)*10</f>
        <v>250</v>
      </c>
      <c r="I3" s="1"/>
      <c r="J3" s="1"/>
      <c r="K3" s="1"/>
    </row>
    <row r="4" spans="1:15" x14ac:dyDescent="0.25">
      <c r="A4" t="s">
        <v>42</v>
      </c>
      <c r="C4">
        <f>C3/10</f>
        <v>18</v>
      </c>
      <c r="D4">
        <f t="shared" ref="D4:H4" si="0">D3/10</f>
        <v>23</v>
      </c>
      <c r="E4">
        <f t="shared" si="0"/>
        <v>60</v>
      </c>
      <c r="F4">
        <f t="shared" si="0"/>
        <v>76</v>
      </c>
      <c r="G4">
        <f t="shared" si="0"/>
        <v>20</v>
      </c>
      <c r="H4">
        <f t="shared" si="0"/>
        <v>25</v>
      </c>
      <c r="I4" s="1"/>
      <c r="J4" s="1"/>
      <c r="K4" s="1"/>
    </row>
    <row r="5" spans="1:15" x14ac:dyDescent="0.25">
      <c r="D5" s="2"/>
      <c r="E5" s="1"/>
      <c r="F5" s="1"/>
      <c r="G5" s="1"/>
      <c r="H5" s="1"/>
      <c r="I5" s="1"/>
      <c r="J5" s="1"/>
      <c r="K5" s="1"/>
    </row>
    <row r="6" spans="1:15" x14ac:dyDescent="0.25">
      <c r="A6" t="s">
        <v>7</v>
      </c>
      <c r="B6" s="14" t="s">
        <v>14</v>
      </c>
      <c r="C6" s="18">
        <f>SUM(Soils_Vertis_p9!C6*$D$30,Soils_Plonos_p1!C6*$D$31)</f>
        <v>6.83</v>
      </c>
      <c r="D6" s="18">
        <f>SUM(Soils_Vertis_p9!D6*$D$30,Soils_Plonos_p1!D6*$D$31)</f>
        <v>6.02</v>
      </c>
      <c r="E6" s="18">
        <f>SUM(Soils_Vertis_p9!E6*$D$30,Soils_Plonos_p1!E6*$D$31)</f>
        <v>6.25</v>
      </c>
      <c r="F6" s="18">
        <f>SUM(Soils_Vertis_p9!F6*$D$30,Soils_Plonos_p1!F6*$D$31)</f>
        <v>6.22</v>
      </c>
      <c r="G6" s="18">
        <f>SUM(Soils_Vertis_p9!G6*$D$30,Soils_Plonos_p1!G6*$D$31)</f>
        <v>0</v>
      </c>
      <c r="H6" s="18">
        <f>SUM(Soils_Vertis_p9!H6*$D$30,Soils_Plonos_p1!H6*$D$31)</f>
        <v>0</v>
      </c>
      <c r="N6" t="s">
        <v>20</v>
      </c>
      <c r="O6">
        <v>60</v>
      </c>
    </row>
    <row r="7" spans="1:15" x14ac:dyDescent="0.25">
      <c r="A7" t="s">
        <v>8</v>
      </c>
      <c r="B7" t="s">
        <v>15</v>
      </c>
      <c r="C7" s="18">
        <f>SUM(Soils_Vertis_p9!C7*$D$30,Soils_Plonos_p1!C7*$D$31)</f>
        <v>1.4674999999999998</v>
      </c>
      <c r="D7" s="18">
        <f>SUM(Soils_Vertis_p9!D7*$D$30,Soils_Plonos_p1!D7*$D$31)</f>
        <v>1.4724999999999999</v>
      </c>
      <c r="E7" s="18">
        <f>SUM(Soils_Vertis_p9!E7*$D$30,Soils_Plonos_p1!E7*$D$31)</f>
        <v>1.0574999999999999</v>
      </c>
      <c r="F7" s="18">
        <f>SUM(Soils_Vertis_p9!F7*$D$30,Soils_Plonos_p1!F7*$D$31)</f>
        <v>5.6499999999999995E-2</v>
      </c>
      <c r="G7" s="18">
        <f>SUM(Soils_Vertis_p9!G7*$D$30,Soils_Plonos_p1!G7*$D$31)</f>
        <v>0</v>
      </c>
      <c r="H7" s="18">
        <f>SUM(Soils_Vertis_p9!H7*$D$30,Soils_Plonos_p1!H7*$D$31)</f>
        <v>0</v>
      </c>
    </row>
    <row r="8" spans="1:15" x14ac:dyDescent="0.25">
      <c r="C8" s="18"/>
      <c r="D8" s="18"/>
      <c r="E8" s="18"/>
      <c r="F8" s="18"/>
      <c r="G8" s="18"/>
      <c r="H8" s="18"/>
    </row>
    <row r="9" spans="1:15" x14ac:dyDescent="0.25">
      <c r="A9" s="13" t="s">
        <v>9</v>
      </c>
      <c r="B9" t="s">
        <v>16</v>
      </c>
      <c r="C9" s="18">
        <f>SUM(Soils_Vertis_p9!C9*$D$30,Soils_Plonos_p1!C9*$D$31)</f>
        <v>0.51022499999999993</v>
      </c>
      <c r="D9" s="18">
        <f>SUM(Soils_Vertis_p9!D9*$D$30,Soils_Plonos_p1!D9*$D$31)</f>
        <v>0.22817499999999999</v>
      </c>
      <c r="E9" s="18">
        <f>SUM(Soils_Vertis_p9!E9*$D$30,Soils_Plonos_p1!E9*$D$31)</f>
        <v>0.410715</v>
      </c>
      <c r="F9" s="18">
        <f>SUM(Soils_Vertis_p9!F9*$D$30,Soils_Plonos_p1!F9*$D$31)</f>
        <v>0.27771999999999997</v>
      </c>
      <c r="G9" s="18">
        <f>SUM(Soils_Vertis_p9!G9*$D$30,Soils_Plonos_p1!G9*$D$31)</f>
        <v>0</v>
      </c>
      <c r="H9" s="18">
        <f>SUM(Soils_Vertis_p9!H9*$D$30,Soils_Plonos_p1!H9*$D$31)</f>
        <v>0</v>
      </c>
    </row>
    <row r="10" spans="1:15" x14ac:dyDescent="0.25">
      <c r="A10" s="13" t="s">
        <v>10</v>
      </c>
      <c r="B10" t="s">
        <v>16</v>
      </c>
      <c r="C10" s="18">
        <f>SUM(Soils_Vertis_p9!C10*$D$30,Soils_Plonos_p1!C10*$D$31)</f>
        <v>0.35799999999999998</v>
      </c>
      <c r="D10" s="18">
        <f>SUM(Soils_Vertis_p9!D10*$D$30,Soils_Plonos_p1!D10*$D$31)</f>
        <v>0.64719999999999989</v>
      </c>
      <c r="E10" s="18">
        <f>SUM(Soils_Vertis_p9!E10*$D$30,Soils_Plonos_p1!E10*$D$31)</f>
        <v>0.53233999999999992</v>
      </c>
      <c r="F10" s="18">
        <f>SUM(Soils_Vertis_p9!F10*$D$30,Soils_Plonos_p1!F10*$D$31)</f>
        <v>0.43728999999999996</v>
      </c>
      <c r="G10" s="18">
        <f>SUM(Soils_Vertis_p9!G10*$D$30,Soils_Plonos_p1!G10*$D$31)</f>
        <v>0</v>
      </c>
      <c r="H10" s="18">
        <f>SUM(Soils_Vertis_p9!H10*$D$30,Soils_Plonos_p1!H10*$D$31)</f>
        <v>0</v>
      </c>
    </row>
    <row r="11" spans="1:15" x14ac:dyDescent="0.25">
      <c r="A11" s="13" t="s">
        <v>11</v>
      </c>
      <c r="B11" t="s">
        <v>16</v>
      </c>
      <c r="C11" s="18">
        <f>SUM(Soils_Vertis_p9!C11*$D$30,Soils_Plonos_p1!C11*$D$31)</f>
        <v>0.12986</v>
      </c>
      <c r="D11" s="18">
        <f>SUM(Soils_Vertis_p9!D11*$D$30,Soils_Plonos_p1!D11*$D$31)</f>
        <v>0.12034999999999998</v>
      </c>
      <c r="E11" s="18">
        <f>SUM(Soils_Vertis_p9!E11*$D$30,Soils_Plonos_p1!E11*$D$31)</f>
        <v>4.3359999999999996E-2</v>
      </c>
      <c r="F11" s="18">
        <f>SUM(Soils_Vertis_p9!F11*$D$30,Soils_Plonos_p1!F11*$D$31)</f>
        <v>0.15636</v>
      </c>
      <c r="G11" s="18">
        <f>SUM(Soils_Vertis_p9!G11*$D$30,Soils_Plonos_p1!G11*$D$31)</f>
        <v>0</v>
      </c>
      <c r="H11" s="18">
        <f>SUM(Soils_Vertis_p9!H11*$D$30,Soils_Plonos_p1!H11*$D$31)</f>
        <v>0</v>
      </c>
    </row>
    <row r="12" spans="1:15" x14ac:dyDescent="0.25">
      <c r="C12" s="18"/>
      <c r="D12" s="18"/>
      <c r="E12" s="18"/>
      <c r="F12" s="18"/>
      <c r="G12" s="18"/>
      <c r="H12" s="18"/>
    </row>
    <row r="13" spans="1:15" x14ac:dyDescent="0.25">
      <c r="A13" t="s">
        <v>12</v>
      </c>
      <c r="B13" t="s">
        <v>17</v>
      </c>
      <c r="C13" s="18">
        <f>SUM(Soils_Vertis_p9!C13*$D$30,Soils_Plonos_p1!C13*$D$31)</f>
        <v>0.34499999999999997</v>
      </c>
      <c r="D13" s="18">
        <f>SUM(Soils_Vertis_p9!D13*$D$30,Soils_Plonos_p1!D13*$D$31)</f>
        <v>0.10892499999999999</v>
      </c>
      <c r="E13" s="18">
        <f>SUM(Soils_Vertis_p9!E13*$D$30,Soils_Plonos_p1!E13*$D$31)</f>
        <v>8.3864999999999995E-2</v>
      </c>
      <c r="F13" s="18">
        <f>SUM(Soils_Vertis_p9!F13*$D$30,Soils_Plonos_p1!F13*$D$31)</f>
        <v>0.1031</v>
      </c>
      <c r="G13" s="18">
        <f>SUM(Soils_Vertis_p9!G13*$D$30,Soils_Plonos_p1!G13*$D$31)</f>
        <v>0</v>
      </c>
      <c r="H13" s="18">
        <f>SUM(Soils_Vertis_p9!H13*$D$30,Soils_Plonos_p1!H13*$D$31)</f>
        <v>0</v>
      </c>
    </row>
    <row r="14" spans="1:15" x14ac:dyDescent="0.25">
      <c r="A14" s="13" t="s">
        <v>23</v>
      </c>
      <c r="B14" t="s">
        <v>22</v>
      </c>
      <c r="C14" s="18">
        <f>SUM(Soils_Vertis_p9!C14*$D$30,Soils_Plonos_p1!C14*$D$31)</f>
        <v>416.63999999999993</v>
      </c>
      <c r="D14" s="18">
        <f>SUM(Soils_Vertis_p9!D14*$D$30,Soils_Plonos_p1!D14*$D$31)</f>
        <v>308.8</v>
      </c>
      <c r="E14" s="18">
        <f>SUM(Soils_Vertis_p9!E14*$D$30,Soils_Plonos_p1!E14*$D$31)</f>
        <v>379.88</v>
      </c>
      <c r="F14" s="18">
        <f>SUM(Soils_Vertis_p9!F14*$D$30,Soils_Plonos_p1!F14*$D$31)</f>
        <v>59.454999999999998</v>
      </c>
      <c r="G14" s="18">
        <f>SUM(Soils_Vertis_p9!G14*$D$30,Soils_Plonos_p1!G14*$D$31)</f>
        <v>41.73</v>
      </c>
      <c r="H14" s="18">
        <f>SUM(Soils_Vertis_p9!H14*$D$30,Soils_Plonos_p1!H14*$D$31)</f>
        <v>41.93</v>
      </c>
    </row>
    <row r="15" spans="1:15" x14ac:dyDescent="0.25">
      <c r="A15" s="13" t="s">
        <v>21</v>
      </c>
      <c r="B15" t="s">
        <v>22</v>
      </c>
      <c r="C15" s="18">
        <f>SUM(Soils_Vertis_p9!C15*$D$30,Soils_Plonos_p1!C15*$D$31)</f>
        <v>312.45999999999998</v>
      </c>
      <c r="D15" s="18">
        <f>SUM(Soils_Vertis_p9!D15*$D$30,Soils_Plonos_p1!D15*$D$31)</f>
        <v>206.38</v>
      </c>
      <c r="E15" s="18">
        <f>SUM(Soils_Vertis_p9!E15*$D$30,Soils_Plonos_p1!E15*$D$31)</f>
        <v>320.29500000000002</v>
      </c>
      <c r="F15" s="18">
        <f>SUM(Soils_Vertis_p9!F15*$D$30,Soils_Plonos_p1!F15*$D$31)</f>
        <v>323.34500000000003</v>
      </c>
      <c r="G15" s="18">
        <f>SUM(Soils_Vertis_p9!G15*$D$30,Soils_Plonos_p1!G15*$D$31)</f>
        <v>35.770000000000003</v>
      </c>
      <c r="H15" s="18">
        <f>SUM(Soils_Vertis_p9!H15*$D$30,Soils_Plonos_p1!H15*$D$31)</f>
        <v>38.769999999999996</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row r="30" spans="1:6" x14ac:dyDescent="0.25">
      <c r="B30" t="s">
        <v>66</v>
      </c>
      <c r="C30" t="s">
        <v>404</v>
      </c>
      <c r="D30">
        <v>0.05</v>
      </c>
    </row>
    <row r="31" spans="1:6" x14ac:dyDescent="0.25">
      <c r="C31" t="s">
        <v>405</v>
      </c>
      <c r="D31">
        <f>1-D30</f>
        <v>0.95</v>
      </c>
    </row>
  </sheetData>
  <mergeCells count="1">
    <mergeCell ref="C1:F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148CE-8D60-4F03-A9E9-21F9D72CF3BC}">
  <dimension ref="A1:O27"/>
  <sheetViews>
    <sheetView workbookViewId="0">
      <selection activeCell="D8" sqref="D8"/>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7</v>
      </c>
      <c r="D2" s="5" t="s">
        <v>36</v>
      </c>
      <c r="E2" s="6" t="s">
        <v>37</v>
      </c>
      <c r="F2" s="6" t="s">
        <v>38</v>
      </c>
      <c r="G2" s="6" t="s">
        <v>40</v>
      </c>
      <c r="H2" s="6" t="s">
        <v>43</v>
      </c>
      <c r="I2" s="6" t="s">
        <v>44</v>
      </c>
      <c r="J2" s="6" t="s">
        <v>45</v>
      </c>
      <c r="K2" s="6" t="s">
        <v>46</v>
      </c>
      <c r="N2" t="s">
        <v>19</v>
      </c>
      <c r="O2">
        <v>1</v>
      </c>
    </row>
    <row r="3" spans="1:15" x14ac:dyDescent="0.25">
      <c r="A3" t="s">
        <v>41</v>
      </c>
      <c r="C3">
        <v>180</v>
      </c>
      <c r="D3" s="2">
        <f>(41-18)*10</f>
        <v>230</v>
      </c>
      <c r="E3" s="1">
        <f>(74-14)*10</f>
        <v>600</v>
      </c>
      <c r="F3" s="1">
        <f>(150-74)*10</f>
        <v>760</v>
      </c>
      <c r="G3" s="1">
        <f>(85-65)*10</f>
        <v>200</v>
      </c>
      <c r="H3" s="1">
        <f>(110-85)*10</f>
        <v>250</v>
      </c>
      <c r="I3" s="1"/>
      <c r="J3" s="1"/>
      <c r="K3" s="1"/>
    </row>
    <row r="4" spans="1:15" x14ac:dyDescent="0.25">
      <c r="A4" t="s">
        <v>42</v>
      </c>
      <c r="C4">
        <f>C3/10</f>
        <v>18</v>
      </c>
      <c r="D4">
        <f t="shared" ref="D4:H4" si="0">D3/10</f>
        <v>23</v>
      </c>
      <c r="E4">
        <f t="shared" si="0"/>
        <v>60</v>
      </c>
      <c r="F4">
        <f t="shared" si="0"/>
        <v>76</v>
      </c>
      <c r="G4">
        <f t="shared" si="0"/>
        <v>20</v>
      </c>
      <c r="H4">
        <f t="shared" si="0"/>
        <v>25</v>
      </c>
      <c r="I4" s="1"/>
      <c r="J4" s="1"/>
      <c r="K4" s="1"/>
    </row>
    <row r="5" spans="1:15" x14ac:dyDescent="0.25">
      <c r="D5" s="2"/>
      <c r="E5" s="1"/>
      <c r="F5" s="1"/>
      <c r="G5" s="1"/>
      <c r="H5" s="1"/>
      <c r="I5" s="1"/>
      <c r="J5" s="1"/>
      <c r="K5" s="1"/>
    </row>
    <row r="6" spans="1:15" x14ac:dyDescent="0.25">
      <c r="A6" t="s">
        <v>7</v>
      </c>
      <c r="B6" s="14" t="s">
        <v>14</v>
      </c>
      <c r="C6" s="11">
        <v>6.83</v>
      </c>
      <c r="D6" s="11">
        <v>6.02</v>
      </c>
      <c r="E6" s="11">
        <v>6.25</v>
      </c>
      <c r="F6" s="11">
        <v>6.22</v>
      </c>
      <c r="G6" s="11"/>
      <c r="N6" t="s">
        <v>20</v>
      </c>
      <c r="O6">
        <v>60</v>
      </c>
    </row>
    <row r="7" spans="1:15" x14ac:dyDescent="0.25">
      <c r="A7" t="s">
        <v>8</v>
      </c>
      <c r="B7" t="s">
        <v>15</v>
      </c>
      <c r="C7" s="11">
        <v>0.85</v>
      </c>
      <c r="D7" s="11">
        <v>0.95</v>
      </c>
      <c r="E7" s="11">
        <v>1.01</v>
      </c>
      <c r="F7" s="11">
        <v>1.1299999999999999</v>
      </c>
    </row>
    <row r="9" spans="1:15" x14ac:dyDescent="0.25">
      <c r="A9" s="13" t="s">
        <v>9</v>
      </c>
      <c r="B9" t="s">
        <v>16</v>
      </c>
      <c r="C9" s="12">
        <v>0.51449999999999996</v>
      </c>
      <c r="D9" s="12">
        <v>0.57350000000000001</v>
      </c>
      <c r="E9" s="12">
        <v>0.61429999999999996</v>
      </c>
      <c r="F9" s="12">
        <v>0.61439999999999995</v>
      </c>
    </row>
    <row r="10" spans="1:15" x14ac:dyDescent="0.25">
      <c r="A10" s="13" t="s">
        <v>10</v>
      </c>
      <c r="B10" t="s">
        <v>16</v>
      </c>
      <c r="C10" s="12">
        <v>0.35799999999999998</v>
      </c>
      <c r="D10" s="12">
        <v>0.29949999999999999</v>
      </c>
      <c r="E10" s="12">
        <v>0.27850000000000003</v>
      </c>
      <c r="F10" s="12">
        <v>0.2984</v>
      </c>
    </row>
    <row r="11" spans="1:15" x14ac:dyDescent="0.25">
      <c r="A11" s="13" t="s">
        <v>11</v>
      </c>
      <c r="B11" t="s">
        <v>16</v>
      </c>
      <c r="C11" s="12">
        <v>0.12720000000000001</v>
      </c>
      <c r="D11" s="12">
        <v>0.127</v>
      </c>
      <c r="E11" s="12">
        <v>0.1072</v>
      </c>
      <c r="F11" s="12">
        <v>8.72E-2</v>
      </c>
    </row>
    <row r="13" spans="1:15" x14ac:dyDescent="0.25">
      <c r="A13" t="s">
        <v>12</v>
      </c>
      <c r="B13" t="s">
        <v>17</v>
      </c>
      <c r="C13" s="11">
        <v>0.25</v>
      </c>
      <c r="D13" s="11">
        <v>0.25</v>
      </c>
      <c r="E13" s="11">
        <v>0.41</v>
      </c>
      <c r="F13" s="11">
        <v>0.2</v>
      </c>
    </row>
    <row r="14" spans="1:15" x14ac:dyDescent="0.25">
      <c r="A14" s="13" t="s">
        <v>23</v>
      </c>
      <c r="B14" t="s">
        <v>22</v>
      </c>
      <c r="C14" s="11">
        <v>411.7</v>
      </c>
      <c r="D14" s="11">
        <v>479.8</v>
      </c>
      <c r="E14" s="11">
        <v>632.20000000000005</v>
      </c>
      <c r="F14" s="11">
        <v>442.4</v>
      </c>
      <c r="G14">
        <v>41.73</v>
      </c>
      <c r="H14">
        <v>41.93</v>
      </c>
    </row>
    <row r="15" spans="1:15" x14ac:dyDescent="0.25">
      <c r="A15" s="13" t="s">
        <v>21</v>
      </c>
      <c r="B15" t="s">
        <v>22</v>
      </c>
      <c r="C15" s="11">
        <v>319.3</v>
      </c>
      <c r="D15" s="11">
        <v>407.4</v>
      </c>
      <c r="E15" s="11">
        <v>512.1</v>
      </c>
      <c r="F15" s="11">
        <v>390.7</v>
      </c>
      <c r="G15">
        <f>35.77</f>
        <v>35.770000000000003</v>
      </c>
      <c r="H15">
        <v>38.770000000000003</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sheetData>
  <mergeCells count="1">
    <mergeCell ref="C1:F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FB08-B8B3-4748-92FD-4E9E067E1B57}">
  <dimension ref="A1:O27"/>
  <sheetViews>
    <sheetView workbookViewId="0">
      <selection activeCell="C8" sqref="C8"/>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7</v>
      </c>
      <c r="D2" s="5" t="s">
        <v>36</v>
      </c>
      <c r="E2" s="6" t="s">
        <v>37</v>
      </c>
      <c r="F2" s="6" t="s">
        <v>38</v>
      </c>
      <c r="G2" s="6" t="s">
        <v>40</v>
      </c>
      <c r="H2" s="6" t="s">
        <v>43</v>
      </c>
      <c r="I2" s="6" t="s">
        <v>44</v>
      </c>
      <c r="J2" s="6" t="s">
        <v>45</v>
      </c>
      <c r="K2" s="6" t="s">
        <v>46</v>
      </c>
      <c r="N2" t="s">
        <v>19</v>
      </c>
      <c r="O2">
        <v>1</v>
      </c>
    </row>
    <row r="3" spans="1:15" x14ac:dyDescent="0.25">
      <c r="A3" t="s">
        <v>41</v>
      </c>
      <c r="C3">
        <v>180</v>
      </c>
      <c r="D3" s="2">
        <f>(41-18)*10</f>
        <v>230</v>
      </c>
      <c r="E3" s="1">
        <f>(74-14)*10</f>
        <v>600</v>
      </c>
      <c r="F3" s="1">
        <f>(150-74)*10</f>
        <v>760</v>
      </c>
      <c r="G3" s="1">
        <f>(85-65)*10</f>
        <v>200</v>
      </c>
      <c r="H3" s="1">
        <f>(110-85)*10</f>
        <v>250</v>
      </c>
      <c r="I3" s="1"/>
      <c r="J3" s="1"/>
      <c r="K3" s="1"/>
    </row>
    <row r="4" spans="1:15" x14ac:dyDescent="0.25">
      <c r="A4" t="s">
        <v>42</v>
      </c>
      <c r="C4">
        <f>C3/10</f>
        <v>18</v>
      </c>
      <c r="D4">
        <f t="shared" ref="D4:H4" si="0">D3/10</f>
        <v>23</v>
      </c>
      <c r="E4">
        <f t="shared" si="0"/>
        <v>60</v>
      </c>
      <c r="F4">
        <f t="shared" si="0"/>
        <v>76</v>
      </c>
      <c r="G4">
        <f t="shared" si="0"/>
        <v>20</v>
      </c>
      <c r="H4">
        <f t="shared" si="0"/>
        <v>25</v>
      </c>
      <c r="I4" s="1"/>
      <c r="J4" s="1"/>
      <c r="K4" s="1"/>
    </row>
    <row r="5" spans="1:15" x14ac:dyDescent="0.25">
      <c r="D5" s="2"/>
      <c r="E5" s="1"/>
      <c r="F5" s="1"/>
      <c r="G5" s="1"/>
      <c r="H5" s="1"/>
      <c r="I5" s="1"/>
      <c r="J5" s="1"/>
      <c r="K5" s="1"/>
    </row>
    <row r="6" spans="1:15" x14ac:dyDescent="0.25">
      <c r="A6" t="s">
        <v>7</v>
      </c>
      <c r="B6" s="14" t="s">
        <v>14</v>
      </c>
      <c r="C6" s="11">
        <v>6.83</v>
      </c>
      <c r="D6" s="11">
        <v>6.02</v>
      </c>
      <c r="E6" s="11">
        <v>6.25</v>
      </c>
      <c r="F6" s="11">
        <v>6.22</v>
      </c>
      <c r="G6" s="11"/>
      <c r="N6" t="s">
        <v>20</v>
      </c>
      <c r="O6">
        <v>60</v>
      </c>
    </row>
    <row r="7" spans="1:15" x14ac:dyDescent="0.25">
      <c r="A7" t="s">
        <v>8</v>
      </c>
      <c r="B7" t="s">
        <v>15</v>
      </c>
      <c r="C7" s="11">
        <v>1.5</v>
      </c>
      <c r="D7" s="11">
        <v>1.5</v>
      </c>
      <c r="E7" s="11">
        <v>1.06</v>
      </c>
      <c r="F7" s="11"/>
    </row>
    <row r="9" spans="1:15" x14ac:dyDescent="0.25">
      <c r="A9" s="13" t="s">
        <v>9</v>
      </c>
      <c r="B9" t="s">
        <v>16</v>
      </c>
      <c r="C9" s="12">
        <v>0.51</v>
      </c>
      <c r="D9" s="12">
        <v>0.21</v>
      </c>
      <c r="E9" s="12">
        <v>0.4</v>
      </c>
      <c r="F9" s="12">
        <v>0.26</v>
      </c>
    </row>
    <row r="10" spans="1:15" x14ac:dyDescent="0.25">
      <c r="A10" s="13" t="s">
        <v>10</v>
      </c>
      <c r="B10" t="s">
        <v>16</v>
      </c>
      <c r="C10" s="12">
        <v>0.35799999999999998</v>
      </c>
      <c r="D10" s="12">
        <v>0.66549999999999998</v>
      </c>
      <c r="E10" s="12">
        <v>0.54569999999999996</v>
      </c>
      <c r="F10" s="12">
        <v>0.4446</v>
      </c>
    </row>
    <row r="11" spans="1:15" x14ac:dyDescent="0.25">
      <c r="A11" s="13" t="s">
        <v>11</v>
      </c>
      <c r="B11" t="s">
        <v>16</v>
      </c>
      <c r="C11" s="12">
        <v>0.13</v>
      </c>
      <c r="D11" s="12">
        <v>0.12</v>
      </c>
      <c r="E11" s="12">
        <v>0.04</v>
      </c>
      <c r="F11" s="12">
        <v>0.16</v>
      </c>
    </row>
    <row r="13" spans="1:15" x14ac:dyDescent="0.25">
      <c r="A13" t="s">
        <v>12</v>
      </c>
      <c r="B13" t="s">
        <v>17</v>
      </c>
      <c r="C13" s="11">
        <v>0.35</v>
      </c>
      <c r="D13" s="11">
        <v>0.10150000000000001</v>
      </c>
      <c r="E13" s="11">
        <v>6.6699999999999995E-2</v>
      </c>
      <c r="F13" s="11">
        <v>9.8000000000000004E-2</v>
      </c>
    </row>
    <row r="14" spans="1:15" x14ac:dyDescent="0.25">
      <c r="A14" s="13" t="s">
        <v>23</v>
      </c>
      <c r="B14" t="s">
        <v>22</v>
      </c>
      <c r="C14" s="11">
        <v>416.9</v>
      </c>
      <c r="D14" s="11">
        <v>299.8</v>
      </c>
      <c r="E14" s="11">
        <v>366.6</v>
      </c>
      <c r="F14" s="11">
        <v>39.299999999999997</v>
      </c>
      <c r="G14">
        <v>41.73</v>
      </c>
      <c r="H14">
        <v>41.93</v>
      </c>
    </row>
    <row r="15" spans="1:15" x14ac:dyDescent="0.25">
      <c r="A15" s="13" t="s">
        <v>21</v>
      </c>
      <c r="B15" t="s">
        <v>22</v>
      </c>
      <c r="C15" s="11">
        <v>312.10000000000002</v>
      </c>
      <c r="D15" s="11">
        <v>195.8</v>
      </c>
      <c r="E15" s="11">
        <v>310.2</v>
      </c>
      <c r="F15" s="11">
        <v>319.8</v>
      </c>
      <c r="G15">
        <f>35.77</f>
        <v>35.770000000000003</v>
      </c>
      <c r="H15">
        <v>38.770000000000003</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sheetData>
  <mergeCells count="1">
    <mergeCell ref="C1:F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CE74C-EDA8-4EEB-98E9-9DC76740D49F}">
  <dimension ref="A1:O27"/>
  <sheetViews>
    <sheetView workbookViewId="0">
      <selection activeCell="J15" sqref="J15"/>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7</v>
      </c>
      <c r="D2" s="5" t="s">
        <v>36</v>
      </c>
      <c r="E2" s="6" t="s">
        <v>37</v>
      </c>
      <c r="F2" s="6" t="s">
        <v>38</v>
      </c>
      <c r="G2" s="6" t="s">
        <v>40</v>
      </c>
      <c r="H2" s="6" t="s">
        <v>43</v>
      </c>
      <c r="I2" s="6" t="s">
        <v>44</v>
      </c>
      <c r="J2" s="6" t="s">
        <v>45</v>
      </c>
      <c r="K2" s="6" t="s">
        <v>46</v>
      </c>
      <c r="N2" t="s">
        <v>19</v>
      </c>
      <c r="O2">
        <v>1</v>
      </c>
    </row>
    <row r="3" spans="1:15" x14ac:dyDescent="0.25">
      <c r="A3" t="s">
        <v>41</v>
      </c>
      <c r="C3">
        <v>180</v>
      </c>
      <c r="D3" s="2">
        <f>(41-18)*10</f>
        <v>230</v>
      </c>
      <c r="E3" s="1">
        <f>(74-14)*10</f>
        <v>600</v>
      </c>
      <c r="F3" s="1">
        <f>(150-74)*10</f>
        <v>760</v>
      </c>
      <c r="G3" s="1">
        <f>(85-65)*10</f>
        <v>200</v>
      </c>
      <c r="H3" s="1">
        <f>(110-85)*10</f>
        <v>250</v>
      </c>
      <c r="I3" s="1"/>
      <c r="J3" s="1"/>
      <c r="K3" s="1"/>
    </row>
    <row r="4" spans="1:15" x14ac:dyDescent="0.25">
      <c r="A4" t="s">
        <v>42</v>
      </c>
      <c r="C4">
        <f>C3/10</f>
        <v>18</v>
      </c>
      <c r="D4">
        <f t="shared" ref="D4:H4" si="0">D3/10</f>
        <v>23</v>
      </c>
      <c r="E4">
        <f t="shared" si="0"/>
        <v>60</v>
      </c>
      <c r="F4">
        <f t="shared" si="0"/>
        <v>76</v>
      </c>
      <c r="G4">
        <f t="shared" si="0"/>
        <v>20</v>
      </c>
      <c r="H4">
        <f t="shared" si="0"/>
        <v>25</v>
      </c>
      <c r="I4" s="1"/>
      <c r="J4" s="1"/>
      <c r="K4" s="1"/>
    </row>
    <row r="5" spans="1:15" x14ac:dyDescent="0.25">
      <c r="D5" s="2"/>
      <c r="E5" s="1"/>
      <c r="F5" s="1"/>
      <c r="G5" s="1"/>
      <c r="H5" s="1"/>
      <c r="I5" s="1"/>
      <c r="J5" s="1"/>
      <c r="K5" s="1"/>
    </row>
    <row r="6" spans="1:15" x14ac:dyDescent="0.25">
      <c r="A6" t="s">
        <v>7</v>
      </c>
      <c r="B6" s="14" t="s">
        <v>14</v>
      </c>
      <c r="C6" s="11">
        <v>6.83</v>
      </c>
      <c r="D6" s="11">
        <v>6.02</v>
      </c>
      <c r="E6" s="11">
        <v>6.25</v>
      </c>
      <c r="F6" s="11">
        <v>6.22</v>
      </c>
      <c r="G6" s="11"/>
      <c r="N6" t="s">
        <v>20</v>
      </c>
      <c r="O6">
        <v>60</v>
      </c>
    </row>
    <row r="7" spans="1:15" x14ac:dyDescent="0.25">
      <c r="A7" t="s">
        <v>8</v>
      </c>
      <c r="B7" t="s">
        <v>15</v>
      </c>
      <c r="C7" s="11">
        <v>1.1399999999999999</v>
      </c>
      <c r="D7" s="11">
        <v>1.46</v>
      </c>
      <c r="E7" s="11">
        <v>1.57</v>
      </c>
      <c r="F7" s="11">
        <v>1.52</v>
      </c>
    </row>
    <row r="9" spans="1:15" x14ac:dyDescent="0.25">
      <c r="A9" s="13" t="s">
        <v>9</v>
      </c>
      <c r="B9" t="s">
        <v>16</v>
      </c>
      <c r="C9" s="12">
        <v>9.5899999999999999E-2</v>
      </c>
      <c r="D9" s="12">
        <v>9.5500000000000002E-2</v>
      </c>
      <c r="E9" s="12">
        <v>9.6000000000000002E-2</v>
      </c>
      <c r="F9" s="12">
        <v>0.11600000000000001</v>
      </c>
    </row>
    <row r="10" spans="1:15" x14ac:dyDescent="0.25">
      <c r="A10" s="13" t="s">
        <v>10</v>
      </c>
      <c r="B10" t="s">
        <v>16</v>
      </c>
      <c r="C10" s="12">
        <v>0.86409999999999998</v>
      </c>
      <c r="D10" s="12">
        <v>0.85</v>
      </c>
      <c r="E10" s="12">
        <v>0.86</v>
      </c>
      <c r="F10" s="12">
        <v>0.82</v>
      </c>
    </row>
    <row r="11" spans="1:15" x14ac:dyDescent="0.25">
      <c r="A11" s="13" t="s">
        <v>11</v>
      </c>
      <c r="B11" t="s">
        <v>16</v>
      </c>
      <c r="C11" s="12">
        <v>0.04</v>
      </c>
      <c r="D11" s="12">
        <v>0.06</v>
      </c>
      <c r="E11" s="12">
        <v>0.04</v>
      </c>
      <c r="F11" s="12">
        <v>0.04</v>
      </c>
    </row>
    <row r="13" spans="1:15" x14ac:dyDescent="0.25">
      <c r="A13" t="s">
        <v>12</v>
      </c>
      <c r="B13" t="s">
        <v>17</v>
      </c>
      <c r="C13" s="11">
        <v>0.35</v>
      </c>
      <c r="D13" s="11">
        <v>0.10150000000000001</v>
      </c>
      <c r="E13" s="11">
        <v>6.6699999999999995E-2</v>
      </c>
      <c r="F13" s="11">
        <v>9.8000000000000004E-2</v>
      </c>
    </row>
    <row r="14" spans="1:15" x14ac:dyDescent="0.25">
      <c r="A14" s="13" t="s">
        <v>23</v>
      </c>
      <c r="B14" t="s">
        <v>22</v>
      </c>
      <c r="C14" s="11">
        <f>225.6</f>
        <v>225.6</v>
      </c>
      <c r="D14" s="11">
        <f>297.5</f>
        <v>297.5</v>
      </c>
      <c r="E14" s="11">
        <f>348.6</f>
        <v>348.6</v>
      </c>
      <c r="F14" s="11">
        <f>434.5</f>
        <v>434.5</v>
      </c>
      <c r="G14">
        <v>41.73</v>
      </c>
      <c r="H14">
        <v>41.93</v>
      </c>
    </row>
    <row r="15" spans="1:15" x14ac:dyDescent="0.25">
      <c r="A15" s="13" t="s">
        <v>21</v>
      </c>
      <c r="B15" t="s">
        <v>22</v>
      </c>
      <c r="C15" s="11">
        <f>39.4</f>
        <v>39.4</v>
      </c>
      <c r="D15" s="11">
        <f>105.8</f>
        <v>105.8</v>
      </c>
      <c r="E15" s="11">
        <f>98.9</f>
        <v>98.9</v>
      </c>
      <c r="F15" s="11">
        <f>158.5</f>
        <v>158.5</v>
      </c>
      <c r="G15">
        <f>35.77</f>
        <v>35.770000000000003</v>
      </c>
      <c r="H15">
        <v>38.770000000000003</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sheetData>
  <mergeCells count="1">
    <mergeCell ref="C1:F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B3C13-BCD1-4218-BE18-27B5B246C1E9}">
  <dimension ref="A1:O27"/>
  <sheetViews>
    <sheetView topLeftCell="A4" workbookViewId="0">
      <selection activeCell="C13" sqref="C13:F13"/>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7</v>
      </c>
      <c r="D2" s="5" t="s">
        <v>36</v>
      </c>
      <c r="E2" s="6" t="s">
        <v>37</v>
      </c>
      <c r="F2" s="6" t="s">
        <v>38</v>
      </c>
      <c r="G2" s="6" t="s">
        <v>40</v>
      </c>
      <c r="H2" s="6" t="s">
        <v>43</v>
      </c>
      <c r="I2" s="6" t="s">
        <v>44</v>
      </c>
      <c r="J2" s="6" t="s">
        <v>45</v>
      </c>
      <c r="K2" s="6" t="s">
        <v>46</v>
      </c>
      <c r="N2" t="s">
        <v>19</v>
      </c>
      <c r="O2">
        <v>1</v>
      </c>
    </row>
    <row r="3" spans="1:15" x14ac:dyDescent="0.25">
      <c r="A3" t="s">
        <v>41</v>
      </c>
      <c r="C3">
        <v>180</v>
      </c>
      <c r="D3" s="2">
        <f>(41-18)*10</f>
        <v>230</v>
      </c>
      <c r="E3" s="1">
        <f>(74-14)*10</f>
        <v>600</v>
      </c>
      <c r="F3" s="1">
        <f>(150-74)*10</f>
        <v>760</v>
      </c>
      <c r="G3" s="1">
        <f>(85-65)*10</f>
        <v>200</v>
      </c>
      <c r="H3" s="1">
        <f>(110-85)*10</f>
        <v>250</v>
      </c>
      <c r="I3" s="1"/>
      <c r="J3" s="1"/>
      <c r="K3" s="1"/>
    </row>
    <row r="4" spans="1:15" x14ac:dyDescent="0.25">
      <c r="A4" t="s">
        <v>42</v>
      </c>
      <c r="C4">
        <f>C3/10</f>
        <v>18</v>
      </c>
      <c r="D4">
        <f t="shared" ref="D4:H4" si="0">D3/10</f>
        <v>23</v>
      </c>
      <c r="E4">
        <f t="shared" si="0"/>
        <v>60</v>
      </c>
      <c r="F4">
        <f t="shared" si="0"/>
        <v>76</v>
      </c>
      <c r="G4">
        <f t="shared" si="0"/>
        <v>20</v>
      </c>
      <c r="H4">
        <f t="shared" si="0"/>
        <v>25</v>
      </c>
      <c r="I4" s="1"/>
      <c r="J4" s="1"/>
      <c r="K4" s="1"/>
    </row>
    <row r="5" spans="1:15" x14ac:dyDescent="0.25">
      <c r="D5" s="2"/>
      <c r="E5" s="1"/>
      <c r="F5" s="1"/>
      <c r="G5" s="1"/>
      <c r="H5" s="1"/>
      <c r="I5" s="1"/>
      <c r="J5" s="1"/>
      <c r="K5" s="1"/>
    </row>
    <row r="6" spans="1:15" x14ac:dyDescent="0.25">
      <c r="A6" t="s">
        <v>7</v>
      </c>
      <c r="B6" s="14" t="s">
        <v>14</v>
      </c>
      <c r="C6" s="11">
        <v>6.83</v>
      </c>
      <c r="D6" s="11">
        <v>6.02</v>
      </c>
      <c r="E6" s="11">
        <v>6.25</v>
      </c>
      <c r="F6" s="11">
        <v>6.22</v>
      </c>
      <c r="G6" s="11"/>
      <c r="N6" t="s">
        <v>20</v>
      </c>
      <c r="O6">
        <v>60</v>
      </c>
    </row>
    <row r="7" spans="1:15" x14ac:dyDescent="0.25">
      <c r="A7" t="s">
        <v>8</v>
      </c>
      <c r="B7" t="s">
        <v>15</v>
      </c>
      <c r="C7" s="11">
        <v>1.1000000000000001</v>
      </c>
      <c r="D7" s="11">
        <v>1.2</v>
      </c>
      <c r="E7" s="11">
        <v>1.32</v>
      </c>
      <c r="F7" s="11">
        <v>1.24</v>
      </c>
    </row>
    <row r="9" spans="1:15" x14ac:dyDescent="0.25">
      <c r="A9" s="13" t="s">
        <v>9</v>
      </c>
      <c r="B9" t="s">
        <v>16</v>
      </c>
      <c r="C9" s="12">
        <v>0.6</v>
      </c>
      <c r="D9" s="12">
        <v>0.6</v>
      </c>
      <c r="E9" s="12">
        <v>0.6</v>
      </c>
      <c r="F9" s="12">
        <v>0.6</v>
      </c>
    </row>
    <row r="10" spans="1:15" x14ac:dyDescent="0.25">
      <c r="A10" s="13" t="s">
        <v>10</v>
      </c>
      <c r="B10" t="s">
        <v>16</v>
      </c>
      <c r="C10" s="12">
        <v>0.3</v>
      </c>
      <c r="D10" s="12">
        <v>0.3</v>
      </c>
      <c r="E10" s="12">
        <v>0.3</v>
      </c>
      <c r="F10" s="12">
        <v>0.3</v>
      </c>
    </row>
    <row r="11" spans="1:15" x14ac:dyDescent="0.25">
      <c r="A11" s="13" t="s">
        <v>11</v>
      </c>
      <c r="B11" t="s">
        <v>16</v>
      </c>
      <c r="C11" s="12">
        <v>0.1</v>
      </c>
      <c r="D11" s="12">
        <v>0.1</v>
      </c>
      <c r="E11" s="12">
        <v>0.1</v>
      </c>
      <c r="F11" s="12">
        <v>0.1</v>
      </c>
    </row>
    <row r="13" spans="1:15" x14ac:dyDescent="0.25">
      <c r="A13" t="s">
        <v>12</v>
      </c>
      <c r="B13" t="s">
        <v>17</v>
      </c>
      <c r="C13" s="11">
        <f>Soils_Vertis_p7!C13</f>
        <v>0.25</v>
      </c>
      <c r="D13" s="11">
        <f>Soils_Vertis_p7!D13</f>
        <v>0.25</v>
      </c>
      <c r="E13" s="11">
        <f>Soils_Vertis_p7!E13</f>
        <v>0.41</v>
      </c>
      <c r="F13" s="11">
        <f>Soils_Vertis_p7!F13</f>
        <v>0.2</v>
      </c>
    </row>
    <row r="14" spans="1:15" x14ac:dyDescent="0.25">
      <c r="A14" s="13" t="s">
        <v>23</v>
      </c>
      <c r="B14" t="s">
        <v>22</v>
      </c>
      <c r="C14" s="11">
        <v>420.6</v>
      </c>
      <c r="D14" s="11">
        <v>562.9</v>
      </c>
      <c r="E14" s="11">
        <v>416.7</v>
      </c>
      <c r="F14" s="11">
        <v>442.4</v>
      </c>
      <c r="G14">
        <v>41.73</v>
      </c>
      <c r="H14">
        <v>41.93</v>
      </c>
    </row>
    <row r="15" spans="1:15" x14ac:dyDescent="0.25">
      <c r="A15" s="13" t="s">
        <v>21</v>
      </c>
      <c r="B15" t="s">
        <v>22</v>
      </c>
      <c r="C15" s="11">
        <v>356.6</v>
      </c>
      <c r="D15" s="11">
        <v>434</v>
      </c>
      <c r="E15" s="11">
        <v>300.60000000000002</v>
      </c>
      <c r="F15" s="11">
        <v>390.7</v>
      </c>
      <c r="G15">
        <f>35.77</f>
        <v>35.770000000000003</v>
      </c>
      <c r="H15">
        <v>38.770000000000003</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sheetData>
  <mergeCells count="1">
    <mergeCell ref="C1:F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115C-C1B6-4788-9B88-69C8C6E438E8}">
  <dimension ref="A1:O27"/>
  <sheetViews>
    <sheetView workbookViewId="0">
      <selection activeCell="G7" sqref="G7"/>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7</v>
      </c>
      <c r="D2" s="5" t="s">
        <v>36</v>
      </c>
      <c r="E2" s="6" t="s">
        <v>37</v>
      </c>
      <c r="F2" s="6" t="s">
        <v>38</v>
      </c>
      <c r="G2" s="6" t="s">
        <v>40</v>
      </c>
      <c r="H2" s="6" t="s">
        <v>43</v>
      </c>
      <c r="I2" s="6" t="s">
        <v>44</v>
      </c>
      <c r="J2" s="6" t="s">
        <v>45</v>
      </c>
      <c r="K2" s="6" t="s">
        <v>46</v>
      </c>
      <c r="N2" t="s">
        <v>19</v>
      </c>
      <c r="O2">
        <v>1</v>
      </c>
    </row>
    <row r="3" spans="1:15" x14ac:dyDescent="0.25">
      <c r="A3" t="s">
        <v>41</v>
      </c>
      <c r="C3">
        <v>180</v>
      </c>
      <c r="D3" s="2">
        <f>(41-18)*10</f>
        <v>230</v>
      </c>
      <c r="E3" s="1">
        <f>(74-14)*10</f>
        <v>600</v>
      </c>
      <c r="F3" s="1">
        <f>(150-74)*10</f>
        <v>760</v>
      </c>
      <c r="G3" s="1">
        <f>(85-65)*10</f>
        <v>200</v>
      </c>
      <c r="H3" s="1">
        <f>(110-85)*10</f>
        <v>250</v>
      </c>
      <c r="I3" s="1"/>
      <c r="J3" s="1"/>
      <c r="K3" s="1"/>
    </row>
    <row r="4" spans="1:15" x14ac:dyDescent="0.25">
      <c r="A4" t="s">
        <v>42</v>
      </c>
      <c r="C4">
        <f>C3/10</f>
        <v>18</v>
      </c>
      <c r="D4">
        <f t="shared" ref="D4:H4" si="0">D3/10</f>
        <v>23</v>
      </c>
      <c r="E4">
        <f t="shared" si="0"/>
        <v>60</v>
      </c>
      <c r="F4">
        <f t="shared" si="0"/>
        <v>76</v>
      </c>
      <c r="G4">
        <f t="shared" si="0"/>
        <v>20</v>
      </c>
      <c r="H4">
        <f t="shared" si="0"/>
        <v>25</v>
      </c>
      <c r="I4" s="1"/>
      <c r="J4" s="1"/>
      <c r="K4" s="1"/>
    </row>
    <row r="5" spans="1:15" x14ac:dyDescent="0.25">
      <c r="D5" s="2"/>
      <c r="E5" s="1"/>
      <c r="F5" s="1"/>
      <c r="G5" s="1"/>
      <c r="H5" s="1"/>
      <c r="I5" s="1"/>
      <c r="J5" s="1"/>
      <c r="K5" s="1"/>
    </row>
    <row r="6" spans="1:15" x14ac:dyDescent="0.25">
      <c r="A6" t="s">
        <v>7</v>
      </c>
      <c r="B6" s="14" t="s">
        <v>14</v>
      </c>
      <c r="C6" s="11">
        <v>6.83</v>
      </c>
      <c r="D6" s="11">
        <v>6.02</v>
      </c>
      <c r="E6" s="11">
        <v>6.25</v>
      </c>
      <c r="F6" s="11">
        <v>6.22</v>
      </c>
      <c r="G6" s="11"/>
      <c r="N6" t="s">
        <v>20</v>
      </c>
      <c r="O6">
        <v>60</v>
      </c>
    </row>
    <row r="7" spans="1:15" x14ac:dyDescent="0.25">
      <c r="A7" t="s">
        <v>8</v>
      </c>
      <c r="B7" t="s">
        <v>15</v>
      </c>
      <c r="C7" s="11">
        <v>1.1399999999999999</v>
      </c>
      <c r="D7" s="11">
        <v>1.1399999999999999</v>
      </c>
      <c r="E7" s="11">
        <v>1.05</v>
      </c>
      <c r="F7" s="11">
        <v>1.1299999999999999</v>
      </c>
    </row>
    <row r="9" spans="1:15" x14ac:dyDescent="0.25">
      <c r="A9" s="13" t="s">
        <v>9</v>
      </c>
      <c r="B9" t="s">
        <v>16</v>
      </c>
      <c r="C9" s="12">
        <v>0.53569999999999995</v>
      </c>
      <c r="D9" s="12">
        <v>0.63570000000000004</v>
      </c>
      <c r="E9" s="12">
        <v>0.59470000000000001</v>
      </c>
      <c r="F9" s="12">
        <v>0.56000000000000005</v>
      </c>
    </row>
    <row r="10" spans="1:15" x14ac:dyDescent="0.25">
      <c r="A10" s="13" t="s">
        <v>10</v>
      </c>
      <c r="B10" t="s">
        <v>16</v>
      </c>
      <c r="C10" s="12">
        <v>0.26440000000000002</v>
      </c>
      <c r="D10" s="12">
        <v>0.24429999999999999</v>
      </c>
      <c r="E10" s="12">
        <v>0.22570000000000001</v>
      </c>
      <c r="F10" s="12">
        <v>0.36399999999999999</v>
      </c>
    </row>
    <row r="11" spans="1:15" x14ac:dyDescent="0.25">
      <c r="A11" s="13" t="s">
        <v>11</v>
      </c>
      <c r="B11" t="s">
        <v>16</v>
      </c>
      <c r="C11" s="12">
        <v>0.19900000000000001</v>
      </c>
      <c r="D11" s="12">
        <v>0.12</v>
      </c>
      <c r="E11" s="12">
        <v>0.17960000000000001</v>
      </c>
      <c r="F11" s="12">
        <v>0.57999999999999996</v>
      </c>
    </row>
    <row r="13" spans="1:15" x14ac:dyDescent="0.25">
      <c r="A13" t="s">
        <v>12</v>
      </c>
      <c r="B13" t="s">
        <v>17</v>
      </c>
      <c r="C13" s="11">
        <v>0.25</v>
      </c>
      <c r="D13" s="11">
        <v>0.25</v>
      </c>
      <c r="E13" s="11">
        <v>0.41</v>
      </c>
      <c r="F13" s="11">
        <v>0.2</v>
      </c>
    </row>
    <row r="14" spans="1:15" x14ac:dyDescent="0.25">
      <c r="A14" s="13" t="s">
        <v>23</v>
      </c>
      <c r="B14" t="s">
        <v>22</v>
      </c>
      <c r="C14" s="11">
        <v>439.2</v>
      </c>
      <c r="D14" s="11">
        <v>423</v>
      </c>
      <c r="E14" s="11">
        <v>440</v>
      </c>
      <c r="F14" s="11">
        <v>442.4</v>
      </c>
      <c r="G14">
        <v>41.73</v>
      </c>
      <c r="H14">
        <v>41.93</v>
      </c>
    </row>
    <row r="15" spans="1:15" x14ac:dyDescent="0.25">
      <c r="A15" s="13" t="s">
        <v>21</v>
      </c>
      <c r="B15" t="s">
        <v>22</v>
      </c>
      <c r="C15" s="11">
        <v>363</v>
      </c>
      <c r="D15" s="11">
        <v>360</v>
      </c>
      <c r="E15" s="11">
        <v>390</v>
      </c>
      <c r="F15" s="11">
        <v>390.7</v>
      </c>
      <c r="G15">
        <f>35.77</f>
        <v>35.770000000000003</v>
      </c>
      <c r="H15">
        <v>38.770000000000003</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sheetData>
  <mergeCells count="1">
    <mergeCell ref="C1:F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BE789-345E-4FBC-A11D-7C5CD9C0E152}">
  <dimension ref="A1:O27"/>
  <sheetViews>
    <sheetView workbookViewId="0">
      <selection activeCell="C13" sqref="C13:F13"/>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7</v>
      </c>
      <c r="D2" s="5" t="s">
        <v>36</v>
      </c>
      <c r="E2" s="6" t="s">
        <v>37</v>
      </c>
      <c r="F2" s="6" t="s">
        <v>38</v>
      </c>
      <c r="G2" s="6" t="s">
        <v>40</v>
      </c>
      <c r="H2" s="6" t="s">
        <v>43</v>
      </c>
      <c r="I2" s="6" t="s">
        <v>44</v>
      </c>
      <c r="J2" s="6" t="s">
        <v>45</v>
      </c>
      <c r="K2" s="6" t="s">
        <v>46</v>
      </c>
      <c r="N2" t="s">
        <v>19</v>
      </c>
      <c r="O2">
        <v>1</v>
      </c>
    </row>
    <row r="3" spans="1:15" x14ac:dyDescent="0.25">
      <c r="A3" t="s">
        <v>41</v>
      </c>
      <c r="C3">
        <v>180</v>
      </c>
      <c r="D3" s="2">
        <f>(41-18)*10</f>
        <v>230</v>
      </c>
      <c r="E3" s="1">
        <f>(74-14)*10</f>
        <v>600</v>
      </c>
      <c r="F3" s="1">
        <f>(150-74)*10</f>
        <v>760</v>
      </c>
      <c r="G3" s="1">
        <f>(85-65)*10</f>
        <v>200</v>
      </c>
      <c r="H3" s="1">
        <f>(110-85)*10</f>
        <v>250</v>
      </c>
      <c r="I3" s="1"/>
      <c r="J3" s="1"/>
      <c r="K3" s="1"/>
    </row>
    <row r="4" spans="1:15" x14ac:dyDescent="0.25">
      <c r="A4" t="s">
        <v>42</v>
      </c>
      <c r="C4">
        <f>C3/10</f>
        <v>18</v>
      </c>
      <c r="D4">
        <f t="shared" ref="D4:H4" si="0">D3/10</f>
        <v>23</v>
      </c>
      <c r="E4">
        <f t="shared" si="0"/>
        <v>60</v>
      </c>
      <c r="F4">
        <f t="shared" si="0"/>
        <v>76</v>
      </c>
      <c r="G4">
        <f t="shared" si="0"/>
        <v>20</v>
      </c>
      <c r="H4">
        <f t="shared" si="0"/>
        <v>25</v>
      </c>
      <c r="I4" s="1"/>
      <c r="J4" s="1"/>
      <c r="K4" s="1"/>
    </row>
    <row r="5" spans="1:15" x14ac:dyDescent="0.25">
      <c r="D5" s="2"/>
      <c r="E5" s="1"/>
      <c r="F5" s="1"/>
      <c r="G5" s="1"/>
      <c r="H5" s="1"/>
      <c r="I5" s="1"/>
      <c r="J5" s="1"/>
      <c r="K5" s="1"/>
    </row>
    <row r="6" spans="1:15" x14ac:dyDescent="0.25">
      <c r="A6" t="s">
        <v>7</v>
      </c>
      <c r="B6" s="14" t="s">
        <v>14</v>
      </c>
      <c r="C6" s="11">
        <v>6.83</v>
      </c>
      <c r="D6" s="11">
        <v>6.02</v>
      </c>
      <c r="E6" s="11">
        <v>6.25</v>
      </c>
      <c r="F6" s="11">
        <v>6.22</v>
      </c>
      <c r="G6" s="11"/>
      <c r="N6" t="s">
        <v>20</v>
      </c>
      <c r="O6">
        <v>60</v>
      </c>
    </row>
    <row r="7" spans="1:15" x14ac:dyDescent="0.25">
      <c r="A7" t="s">
        <v>8</v>
      </c>
      <c r="B7" t="s">
        <v>15</v>
      </c>
      <c r="C7" s="11">
        <v>1.19</v>
      </c>
      <c r="D7" s="11">
        <v>1.1000000000000001</v>
      </c>
      <c r="E7" s="11">
        <v>1.1000000000000001</v>
      </c>
      <c r="F7" s="11">
        <v>1.1000000000000001</v>
      </c>
    </row>
    <row r="9" spans="1:15" x14ac:dyDescent="0.25">
      <c r="A9" s="13" t="s">
        <v>9</v>
      </c>
      <c r="B9" t="s">
        <v>16</v>
      </c>
      <c r="C9" s="12">
        <v>0.35510000000000003</v>
      </c>
      <c r="D9" s="12">
        <v>0.43419999999999997</v>
      </c>
      <c r="E9" s="12">
        <v>0.45450000000000002</v>
      </c>
      <c r="F9" s="12">
        <v>0.6</v>
      </c>
    </row>
    <row r="10" spans="1:15" x14ac:dyDescent="0.25">
      <c r="A10" s="13" t="s">
        <v>10</v>
      </c>
      <c r="B10" t="s">
        <v>16</v>
      </c>
      <c r="C10" s="12">
        <v>0.55879999999999996</v>
      </c>
      <c r="D10" s="12">
        <v>0.49859999999999999</v>
      </c>
      <c r="E10" s="12">
        <v>0.43830000000000002</v>
      </c>
      <c r="F10" s="12">
        <v>0.3</v>
      </c>
    </row>
    <row r="11" spans="1:15" x14ac:dyDescent="0.25">
      <c r="A11" s="13" t="s">
        <v>11</v>
      </c>
      <c r="B11" t="s">
        <v>16</v>
      </c>
      <c r="C11" s="12">
        <v>8.7099999999999997E-2</v>
      </c>
      <c r="D11" s="12">
        <v>6.7199999999999996E-2</v>
      </c>
      <c r="E11" s="12">
        <v>0.1072</v>
      </c>
      <c r="F11" s="12">
        <v>0.1</v>
      </c>
    </row>
    <row r="13" spans="1:15" x14ac:dyDescent="0.25">
      <c r="A13" t="s">
        <v>12</v>
      </c>
      <c r="B13" t="s">
        <v>17</v>
      </c>
      <c r="C13" s="11">
        <f>Soils_Vertis_p7!C13</f>
        <v>0.25</v>
      </c>
      <c r="D13" s="11">
        <f>Soils_Vertis_p7!D13</f>
        <v>0.25</v>
      </c>
      <c r="E13" s="11">
        <f>Soils_Vertis_p7!E13</f>
        <v>0.41</v>
      </c>
      <c r="F13" s="11">
        <f>Soils_Vertis_p7!F13</f>
        <v>0.2</v>
      </c>
    </row>
    <row r="14" spans="1:15" x14ac:dyDescent="0.25">
      <c r="A14" s="13" t="s">
        <v>23</v>
      </c>
      <c r="B14" t="s">
        <v>22</v>
      </c>
      <c r="C14" s="11">
        <v>420.6</v>
      </c>
      <c r="D14" s="11">
        <v>562.9</v>
      </c>
      <c r="E14" s="11">
        <v>416.7</v>
      </c>
      <c r="F14" s="11">
        <v>442.4</v>
      </c>
      <c r="G14">
        <v>41.73</v>
      </c>
      <c r="H14">
        <v>41.93</v>
      </c>
    </row>
    <row r="15" spans="1:15" x14ac:dyDescent="0.25">
      <c r="A15" s="13" t="s">
        <v>21</v>
      </c>
      <c r="B15" t="s">
        <v>22</v>
      </c>
      <c r="C15" s="11">
        <v>359.5</v>
      </c>
      <c r="D15" s="11">
        <v>401.4</v>
      </c>
      <c r="E15" s="11">
        <v>300.60000000000002</v>
      </c>
      <c r="F15" s="11">
        <v>390.7</v>
      </c>
      <c r="G15">
        <f>35.77</f>
        <v>35.770000000000003</v>
      </c>
      <c r="H15">
        <v>38.770000000000003</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sheetData>
  <mergeCells count="1">
    <mergeCell ref="C1:F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8356D-98E7-4928-8D37-0D04906500F2}">
  <dimension ref="A1:O34"/>
  <sheetViews>
    <sheetView topLeftCell="A17" workbookViewId="0">
      <selection activeCell="C10" sqref="C10"/>
    </sheetView>
  </sheetViews>
  <sheetFormatPr defaultRowHeight="15" x14ac:dyDescent="0.25"/>
  <cols>
    <col min="1" max="1" width="12" customWidth="1"/>
    <col min="3" max="3" width="12.140625" bestFit="1" customWidth="1"/>
    <col min="4" max="5" width="10.5703125" bestFit="1"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7</v>
      </c>
      <c r="D2" s="5" t="s">
        <v>36</v>
      </c>
      <c r="E2" s="6" t="s">
        <v>37</v>
      </c>
      <c r="F2" s="6" t="s">
        <v>38</v>
      </c>
      <c r="G2" s="6" t="s">
        <v>40</v>
      </c>
      <c r="H2" s="6" t="s">
        <v>43</v>
      </c>
      <c r="I2" s="6" t="s">
        <v>44</v>
      </c>
      <c r="J2" s="6" t="s">
        <v>45</v>
      </c>
      <c r="K2" s="6" t="s">
        <v>46</v>
      </c>
      <c r="N2" t="s">
        <v>19</v>
      </c>
      <c r="O2">
        <v>1</v>
      </c>
    </row>
    <row r="3" spans="1:15" x14ac:dyDescent="0.25">
      <c r="A3" t="s">
        <v>41</v>
      </c>
      <c r="C3">
        <v>180</v>
      </c>
      <c r="D3" s="2">
        <f>(41-18)*10</f>
        <v>230</v>
      </c>
      <c r="E3" s="1">
        <f>(74-14)*10</f>
        <v>600</v>
      </c>
      <c r="F3" s="1">
        <f>(150-74)*10</f>
        <v>760</v>
      </c>
      <c r="G3" s="1">
        <f>(85-65)*10</f>
        <v>200</v>
      </c>
      <c r="H3" s="1">
        <f>(110-85)*10</f>
        <v>250</v>
      </c>
      <c r="I3" s="1"/>
      <c r="J3" s="1"/>
      <c r="K3" s="1"/>
    </row>
    <row r="4" spans="1:15" x14ac:dyDescent="0.25">
      <c r="A4" t="s">
        <v>42</v>
      </c>
      <c r="C4">
        <f>C3/10</f>
        <v>18</v>
      </c>
      <c r="D4">
        <f t="shared" ref="D4:H4" si="0">D3/10</f>
        <v>23</v>
      </c>
      <c r="E4">
        <f t="shared" si="0"/>
        <v>60</v>
      </c>
      <c r="F4">
        <f t="shared" si="0"/>
        <v>76</v>
      </c>
      <c r="G4">
        <f t="shared" si="0"/>
        <v>20</v>
      </c>
      <c r="H4">
        <f t="shared" si="0"/>
        <v>25</v>
      </c>
      <c r="I4" s="1"/>
      <c r="J4" s="1"/>
      <c r="K4" s="1"/>
    </row>
    <row r="5" spans="1:15" x14ac:dyDescent="0.25">
      <c r="D5" s="2"/>
      <c r="E5" s="1"/>
      <c r="F5" s="1"/>
      <c r="G5" s="1"/>
      <c r="H5" s="1"/>
      <c r="I5" s="1"/>
      <c r="J5" s="1"/>
      <c r="K5" s="1"/>
    </row>
    <row r="6" spans="1:15" x14ac:dyDescent="0.25">
      <c r="A6" t="s">
        <v>7</v>
      </c>
      <c r="B6" s="14" t="s">
        <v>14</v>
      </c>
      <c r="C6" s="18">
        <f>SUM(Soils_Vertis_p7!C6*$D$31,Soils_Vertis_p4!C6*$D$30,Soils_Vertis_p12!C6*$D$32,Soil_parameters_Ferral_P8!C6*Soils_wgt_avg!$D$33)</f>
        <v>6.83</v>
      </c>
      <c r="D6" s="18">
        <f>SUM(Soils_Vertis_p7!D6*$D$31,Soils_Vertis_p4!D6*$D$30,Soils_Vertis_p12!D6*$D$32,Soil_parameters_Ferral_P8!D6*Soils_wgt_avg!$D$33)</f>
        <v>6.02</v>
      </c>
      <c r="E6" s="18">
        <f>SUM(Soils_Vertis_p7!E6*$D$31,Soils_Vertis_p4!E6*$D$30,Soils_Vertis_p12!E6*$D$32,Soil_parameters_Ferral_P8!E6*Soils_wgt_avg!$D$33)</f>
        <v>6.25</v>
      </c>
      <c r="F6" s="18">
        <f>SUM(Soils_Vertis_p7!F6*$D$31,Soils_Vertis_p4!F6*$D$30,Soils_Vertis_p12!F6*$D$32,Soil_parameters_Ferral_P8!F6*Soils_wgt_avg!$D$33)</f>
        <v>6.22</v>
      </c>
      <c r="G6" s="18">
        <f>SUM(Soils_Vertis_p7!G6*$D$31,Soils_Vertis_p4!G6*$D$30,Soils_Vertis_p12!G6*$D$32,Soil_parameters_Ferral_P8!G6*Soils_wgt_avg!$D$33)</f>
        <v>0</v>
      </c>
      <c r="H6" s="18">
        <f>SUM(Soils_Vertis_p7!H6*$D$31,Soils_Vertis_p4!H6*$D$30,Soils_Vertis_p12!H6*$D$32,Soil_parameters_Ferral_P8!H6*Soils_wgt_avg!$D$33)</f>
        <v>0</v>
      </c>
      <c r="N6" t="s">
        <v>20</v>
      </c>
      <c r="O6">
        <v>60</v>
      </c>
    </row>
    <row r="7" spans="1:15" x14ac:dyDescent="0.25">
      <c r="A7" t="s">
        <v>8</v>
      </c>
      <c r="B7" t="s">
        <v>15</v>
      </c>
      <c r="C7" s="18">
        <f>SUM(Soils_Vertis_p7!C7*$D$31,Soils_Vertis_p4!C7*$D$30,Soils_Vertis_p12!C7*$D$32,Soil_parameters_Ferral_P8!C7*Soils_wgt_avg!$D$33)</f>
        <v>1.17</v>
      </c>
      <c r="D7" s="18">
        <f>SUM(Soils_Vertis_p7!D7*$D$31,Soils_Vertis_p4!D7*$D$30,Soils_Vertis_p12!D7*$D$32,Soil_parameters_Ferral_P8!D7*Soils_wgt_avg!$D$33)</f>
        <v>1.244</v>
      </c>
      <c r="E7" s="18">
        <f>SUM(Soils_Vertis_p7!E7*$D$31,Soils_Vertis_p4!E7*$D$30,Soils_Vertis_p12!E7*$D$32,Soil_parameters_Ferral_P8!E7*Soils_wgt_avg!$D$33)</f>
        <v>1.2880000000000003</v>
      </c>
      <c r="F7" s="18">
        <f>SUM(Soils_Vertis_p7!F7*$D$31,Soils_Vertis_p4!F7*$D$30,Soils_Vertis_p12!F7*$D$32,Soil_parameters_Ferral_P8!F7*Soils_wgt_avg!$D$33)</f>
        <v>1.2680000000000002</v>
      </c>
      <c r="G7" s="18">
        <f>SUM(Soils_Vertis_p7!G7*$D$31,Soils_Vertis_p4!G7*$D$30,Soils_Vertis_p12!G7*$D$32,Soil_parameters_Ferral_P8!G7*Soils_wgt_avg!$D$33)</f>
        <v>0</v>
      </c>
      <c r="H7" s="18">
        <f>SUM(Soils_Vertis_p7!H7*$D$31,Soils_Vertis_p4!H7*$D$30,Soils_Vertis_p12!H7*$D$32,Soil_parameters_Ferral_P8!H7*Soils_wgt_avg!$D$33)</f>
        <v>0</v>
      </c>
    </row>
    <row r="8" spans="1:15" x14ac:dyDescent="0.25">
      <c r="C8" s="18">
        <f>SUM(Soils_Vertis_p7!C8*$D$31,Soils_Vertis_p4!C8*$D$30,Soils_Vertis_p12!C8*$D$32,Soil_parameters_Ferral_P8!C8*Soils_wgt_avg!$D$33)</f>
        <v>0</v>
      </c>
      <c r="D8" s="18">
        <f>SUM(Soils_Vertis_p7!D8*$D$31,Soils_Vertis_p4!D8*$D$30,Soils_Vertis_p12!D8*$D$32,Soil_parameters_Ferral_P8!D8*Soils_wgt_avg!$D$33)</f>
        <v>0</v>
      </c>
      <c r="E8" s="18">
        <f>SUM(Soils_Vertis_p7!E8*$D$31,Soils_Vertis_p4!E8*$D$30,Soils_Vertis_p12!E8*$D$32,Soil_parameters_Ferral_P8!E8*Soils_wgt_avg!$D$33)</f>
        <v>0</v>
      </c>
      <c r="F8" s="18">
        <f>SUM(Soils_Vertis_p7!F8*$D$31,Soils_Vertis_p4!F8*$D$30,Soils_Vertis_p12!F8*$D$32,Soil_parameters_Ferral_P8!F8*Soils_wgt_avg!$D$33)</f>
        <v>0</v>
      </c>
      <c r="G8" s="18">
        <f>SUM(Soils_Vertis_p7!G8*$D$31,Soils_Vertis_p4!G8*$D$30,Soils_Vertis_p12!G8*$D$32,Soil_parameters_Ferral_P8!G8*Soils_wgt_avg!$D$33)</f>
        <v>0</v>
      </c>
      <c r="H8" s="18">
        <f>SUM(Soils_Vertis_p7!H8*$D$31,Soils_Vertis_p4!H8*$D$30,Soils_Vertis_p12!H8*$D$32,Soil_parameters_Ferral_P8!H8*Soils_wgt_avg!$D$33)</f>
        <v>0</v>
      </c>
    </row>
    <row r="9" spans="1:15" x14ac:dyDescent="0.25">
      <c r="A9" s="13" t="s">
        <v>9</v>
      </c>
      <c r="B9" t="s">
        <v>16</v>
      </c>
      <c r="C9" s="18">
        <f>SUM(Soils_Vertis_p7!C9*$D$31,Soils_Vertis_p4!C9*$D$30,Soils_Vertis_p12!C9*$D$32,Soil_parameters_Ferral_P8!C9*Soils_wgt_avg!$D$33)</f>
        <v>0.25141999999999998</v>
      </c>
      <c r="D9" s="18">
        <f>SUM(Soils_Vertis_p7!D9*$D$31,Soils_Vertis_p4!D9*$D$30,Soils_Vertis_p12!D9*$D$32,Soil_parameters_Ferral_P8!D9*Soils_wgt_avg!$D$33)</f>
        <v>0.29871999999999999</v>
      </c>
      <c r="E9" s="18">
        <f>SUM(Soils_Vertis_p7!E9*$D$31,Soils_Vertis_p4!E9*$D$30,Soils_Vertis_p12!E9*$D$32,Soil_parameters_Ferral_P8!E9*Soils_wgt_avg!$D$33)</f>
        <v>0.31109999999999999</v>
      </c>
      <c r="F9" s="18">
        <f>SUM(Soils_Vertis_p7!F9*$D$31,Soils_Vertis_p4!F9*$D$30,Soils_Vertis_p12!F9*$D$32,Soil_parameters_Ferral_P8!F9*Soils_wgt_avg!$D$33)</f>
        <v>0.40639999999999998</v>
      </c>
      <c r="G9" s="18">
        <f>SUM(Soils_Vertis_p7!G9*$D$31,Soils_Vertis_p4!G9*$D$30,Soils_Vertis_p12!G9*$D$32,Soil_parameters_Ferral_P8!G9*Soils_wgt_avg!$D$33)</f>
        <v>0</v>
      </c>
      <c r="H9" s="18">
        <f>SUM(Soils_Vertis_p7!H9*$D$31,Soils_Vertis_p4!H9*$D$30,Soils_Vertis_p12!H9*$D$32,Soil_parameters_Ferral_P8!H9*Soils_wgt_avg!$D$33)</f>
        <v>0</v>
      </c>
    </row>
    <row r="10" spans="1:15" x14ac:dyDescent="0.25">
      <c r="A10" s="13" t="s">
        <v>10</v>
      </c>
      <c r="B10" t="s">
        <v>16</v>
      </c>
      <c r="C10" s="18">
        <f>SUM(Soils_Vertis_p7!C10*$D$31,Soils_Vertis_p4!C10*$D$30,Soils_Vertis_p12!C10*$D$32,Soil_parameters_Ferral_P8!C10*Soils_wgt_avg!$D$33)</f>
        <v>0.68091999999999997</v>
      </c>
      <c r="D10" s="18">
        <f>SUM(Soils_Vertis_p7!D10*$D$31,Soils_Vertis_p4!D10*$D$30,Soils_Vertis_p12!D10*$D$32,Soil_parameters_Ferral_P8!D10*Soils_wgt_avg!$D$33)</f>
        <v>0.63915999999999995</v>
      </c>
      <c r="E10" s="18">
        <f>SUM(Soils_Vertis_p7!E10*$D$31,Soils_Vertis_p4!E10*$D$30,Soils_Vertis_p12!E10*$D$32,Soil_parameters_Ferral_P8!E10*Soils_wgt_avg!$D$33)</f>
        <v>0.60698000000000008</v>
      </c>
      <c r="F10" s="18">
        <f>SUM(Soils_Vertis_p7!F10*$D$31,Soils_Vertis_p4!F10*$D$30,Soils_Vertis_p12!F10*$D$32,Soil_parameters_Ferral_P8!F10*Soils_wgt_avg!$D$33)</f>
        <v>0.50800000000000001</v>
      </c>
      <c r="G10" s="18">
        <f>SUM(Soils_Vertis_p7!G10*$D$31,Soils_Vertis_p4!G10*$D$30,Soils_Vertis_p12!G10*$D$32,Soil_parameters_Ferral_P8!G10*Soils_wgt_avg!$D$33)</f>
        <v>0</v>
      </c>
      <c r="H10" s="18">
        <f>SUM(Soils_Vertis_p7!H10*$D$31,Soils_Vertis_p4!H10*$D$30,Soils_Vertis_p12!H10*$D$32,Soil_parameters_Ferral_P8!H10*Soils_wgt_avg!$D$33)</f>
        <v>0</v>
      </c>
    </row>
    <row r="11" spans="1:15" x14ac:dyDescent="0.25">
      <c r="A11" s="13" t="s">
        <v>11</v>
      </c>
      <c r="B11" t="s">
        <v>16</v>
      </c>
      <c r="C11" s="18">
        <f>SUM(Soils_Vertis_p7!C11*$D$31,Soils_Vertis_p4!C11*$D$30,Soils_Vertis_p12!C11*$D$32,Soil_parameters_Ferral_P8!C11*Soils_wgt_avg!$D$33)</f>
        <v>6.8259999999999987E-2</v>
      </c>
      <c r="D11" s="18">
        <f>SUM(Soils_Vertis_p7!D11*$D$31,Soils_Vertis_p4!D11*$D$30,Soils_Vertis_p12!D11*$D$32,Soil_parameters_Ferral_P8!D11*Soils_wgt_avg!$D$33)</f>
        <v>6.4319999999999988E-2</v>
      </c>
      <c r="E11" s="18">
        <f>SUM(Soils_Vertis_p7!E11*$D$31,Soils_Vertis_p4!E11*$D$30,Soils_Vertis_p12!E11*$D$32,Soil_parameters_Ferral_P8!E11*Soils_wgt_avg!$D$33)</f>
        <v>8.0320000000000003E-2</v>
      </c>
      <c r="F11" s="18">
        <f>SUM(Soils_Vertis_p7!F11*$D$31,Soils_Vertis_p4!F11*$D$30,Soils_Vertis_p12!F11*$D$32,Soil_parameters_Ferral_P8!F11*Soils_wgt_avg!$D$33)</f>
        <v>7.5999999999999998E-2</v>
      </c>
      <c r="G11" s="18">
        <f>SUM(Soils_Vertis_p7!G11*$D$31,Soils_Vertis_p4!G11*$D$30,Soils_Vertis_p12!G11*$D$32,Soil_parameters_Ferral_P8!G11*Soils_wgt_avg!$D$33)</f>
        <v>0</v>
      </c>
      <c r="H11" s="18">
        <f>SUM(Soils_Vertis_p7!H11*$D$31,Soils_Vertis_p4!H11*$D$30,Soils_Vertis_p12!H11*$D$32,Soil_parameters_Ferral_P8!H11*Soils_wgt_avg!$D$33)</f>
        <v>0</v>
      </c>
    </row>
    <row r="12" spans="1:15" x14ac:dyDescent="0.25">
      <c r="C12" s="18"/>
      <c r="D12" s="18"/>
      <c r="E12" s="18"/>
      <c r="F12" s="18"/>
      <c r="G12" s="18"/>
      <c r="H12" s="18"/>
    </row>
    <row r="13" spans="1:15" x14ac:dyDescent="0.25">
      <c r="A13" t="s">
        <v>12</v>
      </c>
      <c r="B13" t="s">
        <v>17</v>
      </c>
      <c r="C13" s="18">
        <f>SUM(Soils_Vertis_p7!C13*$D$31,Soils_Vertis_p4!C13*$D$30,Soils_Vertis_p12!C13*$D$32,Soil_parameters_Ferral_P8!C13*Soils_wgt_avg!$D$33)</f>
        <v>0.28999999999999998</v>
      </c>
      <c r="D13" s="18">
        <f>SUM(Soils_Vertis_p7!D13*$D$31,Soils_Vertis_p4!D13*$D$30,Soils_Vertis_p12!D13*$D$32,Soil_parameters_Ferral_P8!D13*Soils_wgt_avg!$D$33)</f>
        <v>0.19059999999999999</v>
      </c>
      <c r="E13" s="18">
        <f>SUM(Soils_Vertis_p7!E13*$D$31,Soils_Vertis_p4!E13*$D$30,Soils_Vertis_p12!E13*$D$32,Soil_parameters_Ferral_P8!E13*Soils_wgt_avg!$D$33)</f>
        <v>0.27267999999999998</v>
      </c>
      <c r="F13" s="18">
        <f>SUM(Soils_Vertis_p7!F13*$D$31,Soils_Vertis_p4!F13*$D$30,Soils_Vertis_p12!F13*$D$32,Soil_parameters_Ferral_P8!F13*Soils_wgt_avg!$D$33)</f>
        <v>0.15920000000000001</v>
      </c>
      <c r="G13" s="18">
        <f>SUM(Soils_Vertis_p7!G13*$D$31,Soils_Vertis_p4!G13*$D$30,Soils_Vertis_p12!G13*$D$32,Soil_parameters_Ferral_P8!G13*Soils_wgt_avg!$D$33)</f>
        <v>0</v>
      </c>
      <c r="H13" s="18">
        <f>SUM(Soils_Vertis_p7!H13*$D$31,Soils_Vertis_p4!H13*$D$30,Soils_Vertis_p12!H13*$D$32,Soil_parameters_Ferral_P8!H13*Soils_wgt_avg!$D$33)</f>
        <v>0</v>
      </c>
    </row>
    <row r="14" spans="1:15" x14ac:dyDescent="0.25">
      <c r="A14" s="13" t="s">
        <v>23</v>
      </c>
      <c r="B14" t="s">
        <v>22</v>
      </c>
      <c r="C14" s="18">
        <f>SUM(Soils_Vertis_p7!C14*$D$31,Soils_Vertis_p4!C14*$D$30,Soils_Vertis_p12!C14*$D$32,Soil_parameters_Ferral_P8!C14*Soils_wgt_avg!$D$33)</f>
        <v>342.6</v>
      </c>
      <c r="D14" s="18">
        <f>SUM(Soils_Vertis_p7!D14*$D$31,Soils_Vertis_p4!D14*$D$30,Soils_Vertis_p12!D14*$D$32,Soil_parameters_Ferral_P8!D14*Soils_wgt_avg!$D$33)</f>
        <v>456.73999999999995</v>
      </c>
      <c r="E14" s="18">
        <f>SUM(Soils_Vertis_p7!E14*$D$31,Soils_Vertis_p4!E14*$D$30,Soils_Vertis_p12!E14*$D$32,Soil_parameters_Ferral_P8!E14*Soils_wgt_avg!$D$33)</f>
        <v>389.46000000000004</v>
      </c>
      <c r="F14" s="18">
        <f>SUM(Soils_Vertis_p7!F14*$D$31,Soils_Vertis_p4!F14*$D$30,Soils_Vertis_p12!F14*$D$32,Soil_parameters_Ferral_P8!F14*Soils_wgt_avg!$D$33)</f>
        <v>439.24</v>
      </c>
      <c r="G14" s="18">
        <f>SUM(Soils_Vertis_p7!G14*$D$31,Soils_Vertis_p4!G14*$D$30,Soils_Vertis_p12!G14*$D$32,Soil_parameters_Ferral_P8!G14*Soils_wgt_avg!$D$33)</f>
        <v>41.73</v>
      </c>
      <c r="H14" s="18">
        <f>SUM(Soils_Vertis_p7!H14*$D$31,Soils_Vertis_p4!H14*$D$30,Soils_Vertis_p12!H14*$D$32,Soil_parameters_Ferral_P8!H14*Soils_wgt_avg!$D$33)</f>
        <v>41.93</v>
      </c>
    </row>
    <row r="15" spans="1:15" x14ac:dyDescent="0.25">
      <c r="A15" s="13" t="s">
        <v>21</v>
      </c>
      <c r="B15" t="s">
        <v>22</v>
      </c>
      <c r="C15" s="18">
        <f>SUM(Soils_Vertis_p7!C15*$D$31,Soils_Vertis_p4!C15*$D$30,Soils_Vertis_p12!C15*$D$32,Soil_parameters_Ferral_P8!C15*Soils_wgt_avg!$D$33)</f>
        <v>231.45999999999998</v>
      </c>
      <c r="D15" s="18">
        <f>SUM(Soils_Vertis_p7!D15*$D$31,Soils_Vertis_p4!D15*$D$30,Soils_Vertis_p12!D15*$D$32,Soil_parameters_Ferral_P8!D15*Soils_wgt_avg!$D$33)</f>
        <v>283.15999999999997</v>
      </c>
      <c r="E15" s="18">
        <f>SUM(Soils_Vertis_p7!E15*$D$31,Soils_Vertis_p4!E15*$D$30,Soils_Vertis_p12!E15*$D$32,Soil_parameters_Ferral_P8!E15*Soils_wgt_avg!$D$33)</f>
        <v>219.92000000000002</v>
      </c>
      <c r="F15" s="18">
        <f>SUM(Soils_Vertis_p7!F15*$D$31,Soils_Vertis_p4!F15*$D$30,Soils_Vertis_p12!F15*$D$32,Soil_parameters_Ferral_P8!F15*Soils_wgt_avg!$D$33)</f>
        <v>297.82</v>
      </c>
      <c r="G15" s="18">
        <f>SUM(Soils_Vertis_p7!G15*$D$31,Soils_Vertis_p4!G15*$D$30,Soils_Vertis_p12!G15*$D$32,Soil_parameters_Ferral_P8!G15*Soils_wgt_avg!$D$33)</f>
        <v>35.770000000000003</v>
      </c>
      <c r="H15" s="18">
        <f>SUM(Soils_Vertis_p7!H15*$D$31,Soils_Vertis_p4!H15*$D$30,Soils_Vertis_p12!H15*$D$32,Soil_parameters_Ferral_P8!H15*Soils_wgt_avg!$D$33)</f>
        <v>38.770000000000003</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row r="30" spans="1:6" x14ac:dyDescent="0.25">
      <c r="B30" t="s">
        <v>66</v>
      </c>
      <c r="C30" t="s">
        <v>67</v>
      </c>
      <c r="D30">
        <v>0</v>
      </c>
    </row>
    <row r="31" spans="1:6" x14ac:dyDescent="0.25">
      <c r="C31" t="s">
        <v>68</v>
      </c>
      <c r="D31">
        <v>0</v>
      </c>
    </row>
    <row r="32" spans="1:6" x14ac:dyDescent="0.25">
      <c r="C32" t="s">
        <v>71</v>
      </c>
      <c r="D32">
        <v>0.6</v>
      </c>
    </row>
    <row r="33" spans="3:4" x14ac:dyDescent="0.25">
      <c r="C33" t="s">
        <v>69</v>
      </c>
      <c r="D33">
        <v>0.4</v>
      </c>
    </row>
    <row r="34" spans="3:4" x14ac:dyDescent="0.25">
      <c r="C34" t="s">
        <v>70</v>
      </c>
      <c r="D34">
        <v>0</v>
      </c>
    </row>
  </sheetData>
  <mergeCells count="1">
    <mergeCell ref="C1:F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8A1CC-07E0-4789-A943-3E5E4DD5A7C3}">
  <dimension ref="A1:O27"/>
  <sheetViews>
    <sheetView topLeftCell="A13" workbookViewId="0">
      <selection activeCell="E3" sqref="E3"/>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1</v>
      </c>
      <c r="D2" s="6">
        <v>2</v>
      </c>
      <c r="E2" s="6">
        <v>3</v>
      </c>
      <c r="F2" s="6">
        <v>4</v>
      </c>
      <c r="G2" s="6">
        <v>5</v>
      </c>
      <c r="H2" s="6">
        <v>6</v>
      </c>
      <c r="I2" s="6">
        <v>7</v>
      </c>
      <c r="J2" s="6">
        <v>8</v>
      </c>
      <c r="K2" s="6">
        <v>9</v>
      </c>
      <c r="N2" t="s">
        <v>19</v>
      </c>
      <c r="O2">
        <v>1</v>
      </c>
    </row>
    <row r="3" spans="1:15" x14ac:dyDescent="0.25">
      <c r="A3" t="s">
        <v>41</v>
      </c>
      <c r="C3">
        <v>190</v>
      </c>
      <c r="D3" s="2">
        <f>(31-19)*10</f>
        <v>120</v>
      </c>
      <c r="E3" s="1">
        <f>(50-30)*10</f>
        <v>200</v>
      </c>
      <c r="F3" s="1">
        <f>(80-50)*10</f>
        <v>300</v>
      </c>
      <c r="G3" s="1">
        <f>(85-65)*10</f>
        <v>200</v>
      </c>
      <c r="H3" s="1">
        <f>(110-85)*10</f>
        <v>250</v>
      </c>
      <c r="I3" s="1"/>
      <c r="J3" s="1"/>
      <c r="K3" s="1"/>
    </row>
    <row r="4" spans="1:15" x14ac:dyDescent="0.25">
      <c r="A4" t="s">
        <v>42</v>
      </c>
      <c r="C4">
        <f>C3/10</f>
        <v>19</v>
      </c>
      <c r="D4">
        <f t="shared" ref="D4:H4" si="0">D3/10</f>
        <v>12</v>
      </c>
      <c r="E4">
        <f t="shared" si="0"/>
        <v>20</v>
      </c>
      <c r="F4">
        <f t="shared" si="0"/>
        <v>30</v>
      </c>
      <c r="G4">
        <f t="shared" si="0"/>
        <v>20</v>
      </c>
      <c r="H4">
        <f t="shared" si="0"/>
        <v>25</v>
      </c>
      <c r="I4" s="1"/>
      <c r="J4" s="1"/>
      <c r="K4" s="1"/>
    </row>
    <row r="5" spans="1:15" x14ac:dyDescent="0.25">
      <c r="D5" s="2"/>
      <c r="E5" s="1"/>
      <c r="F5" s="1"/>
      <c r="G5" s="1"/>
      <c r="H5" s="1"/>
      <c r="I5" s="1"/>
      <c r="J5" s="1"/>
      <c r="K5" s="1"/>
    </row>
    <row r="6" spans="1:15" x14ac:dyDescent="0.25">
      <c r="A6" t="s">
        <v>7</v>
      </c>
      <c r="B6" s="14" t="s">
        <v>14</v>
      </c>
      <c r="C6" s="11">
        <v>6.83</v>
      </c>
      <c r="D6" s="11">
        <v>6.02</v>
      </c>
      <c r="E6" s="11">
        <v>6.25</v>
      </c>
      <c r="F6" s="11">
        <v>6.22</v>
      </c>
      <c r="G6" s="11"/>
      <c r="N6" t="s">
        <v>20</v>
      </c>
      <c r="O6">
        <v>60</v>
      </c>
    </row>
    <row r="7" spans="1:15" x14ac:dyDescent="0.25">
      <c r="A7" t="s">
        <v>8</v>
      </c>
      <c r="B7" t="s">
        <v>15</v>
      </c>
      <c r="C7" s="11">
        <v>1.19</v>
      </c>
      <c r="D7" s="11">
        <v>1.19</v>
      </c>
      <c r="E7" s="11">
        <v>1.22</v>
      </c>
      <c r="F7" s="11"/>
    </row>
    <row r="9" spans="1:15" x14ac:dyDescent="0.25">
      <c r="A9" s="13" t="s">
        <v>9</v>
      </c>
      <c r="B9" t="s">
        <v>16</v>
      </c>
      <c r="C9" s="12">
        <v>0.71599999999999997</v>
      </c>
      <c r="D9" s="12">
        <v>0.85899999999999999</v>
      </c>
      <c r="E9" s="12">
        <v>0.83899999999999997</v>
      </c>
      <c r="F9" s="12">
        <v>0.83799999999999997</v>
      </c>
    </row>
    <row r="10" spans="1:15" x14ac:dyDescent="0.25">
      <c r="A10" s="13" t="s">
        <v>10</v>
      </c>
      <c r="B10" t="s">
        <v>16</v>
      </c>
      <c r="C10" s="12">
        <v>0.106</v>
      </c>
      <c r="D10" s="12">
        <v>0.09</v>
      </c>
      <c r="E10" s="12">
        <v>8.1000000000000003E-2</v>
      </c>
      <c r="F10" s="12">
        <v>7.0000000000000001E-3</v>
      </c>
    </row>
    <row r="11" spans="1:15" x14ac:dyDescent="0.25">
      <c r="A11" s="13" t="s">
        <v>11</v>
      </c>
      <c r="B11" t="s">
        <v>16</v>
      </c>
      <c r="C11" s="12">
        <f>1-C9-C10</f>
        <v>0.17800000000000005</v>
      </c>
      <c r="D11" s="12">
        <f t="shared" ref="D11:F11" si="1">1-D9-D10</f>
        <v>5.1000000000000018E-2</v>
      </c>
      <c r="E11" s="12">
        <f t="shared" si="1"/>
        <v>8.0000000000000029E-2</v>
      </c>
      <c r="F11" s="12">
        <f t="shared" si="1"/>
        <v>0.15500000000000003</v>
      </c>
    </row>
    <row r="13" spans="1:15" x14ac:dyDescent="0.25">
      <c r="A13" t="s">
        <v>12</v>
      </c>
      <c r="B13" t="s">
        <v>17</v>
      </c>
      <c r="C13" s="11">
        <v>0.35</v>
      </c>
      <c r="D13" s="11">
        <v>0.10150000000000001</v>
      </c>
      <c r="E13" s="11">
        <v>6.6699999999999995E-2</v>
      </c>
      <c r="F13" s="11">
        <v>9.8000000000000004E-2</v>
      </c>
    </row>
    <row r="14" spans="1:15" x14ac:dyDescent="0.25">
      <c r="A14" s="13" t="s">
        <v>23</v>
      </c>
      <c r="B14" t="s">
        <v>22</v>
      </c>
      <c r="C14" s="11">
        <f>225.6</f>
        <v>225.6</v>
      </c>
      <c r="D14" s="11">
        <f>297.5</f>
        <v>297.5</v>
      </c>
      <c r="E14" s="11">
        <f>348.6</f>
        <v>348.6</v>
      </c>
      <c r="F14" s="11">
        <f>434.5</f>
        <v>434.5</v>
      </c>
      <c r="G14">
        <v>41.73</v>
      </c>
      <c r="H14">
        <v>41.93</v>
      </c>
    </row>
    <row r="15" spans="1:15" x14ac:dyDescent="0.25">
      <c r="A15" s="13" t="s">
        <v>21</v>
      </c>
      <c r="B15" t="s">
        <v>22</v>
      </c>
      <c r="C15" s="11">
        <f>39.4</f>
        <v>39.4</v>
      </c>
      <c r="D15" s="11">
        <f>105.8</f>
        <v>105.8</v>
      </c>
      <c r="E15" s="11">
        <f>98.9</f>
        <v>98.9</v>
      </c>
      <c r="F15" s="11">
        <f>158.5</f>
        <v>158.5</v>
      </c>
      <c r="G15">
        <f>35.77</f>
        <v>35.770000000000003</v>
      </c>
      <c r="H15">
        <v>38.770000000000003</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sheetData>
  <mergeCells count="1">
    <mergeCell ref="C1:F1"/>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A1637-93C2-4599-BA57-BAD682731E17}">
  <dimension ref="A2:F11"/>
  <sheetViews>
    <sheetView workbookViewId="0">
      <selection activeCell="C11" sqref="C11"/>
    </sheetView>
  </sheetViews>
  <sheetFormatPr defaultRowHeight="15" x14ac:dyDescent="0.25"/>
  <cols>
    <col min="3" max="3" width="17.42578125" customWidth="1"/>
  </cols>
  <sheetData>
    <row r="2" spans="1:6" x14ac:dyDescent="0.25">
      <c r="A2" t="s">
        <v>52</v>
      </c>
      <c r="B2" s="15">
        <v>6</v>
      </c>
      <c r="C2" s="16" t="s">
        <v>53</v>
      </c>
      <c r="D2" s="15"/>
      <c r="F2" t="s">
        <v>59</v>
      </c>
    </row>
    <row r="3" spans="1:6" x14ac:dyDescent="0.25">
      <c r="B3" s="15">
        <v>7</v>
      </c>
      <c r="C3" s="17" t="s">
        <v>56</v>
      </c>
      <c r="D3" s="15"/>
      <c r="F3" t="s">
        <v>65</v>
      </c>
    </row>
    <row r="4" spans="1:6" x14ac:dyDescent="0.25">
      <c r="B4" s="15">
        <v>9</v>
      </c>
      <c r="C4" s="17" t="s">
        <v>58</v>
      </c>
      <c r="D4" s="15"/>
      <c r="F4" t="s">
        <v>64</v>
      </c>
    </row>
    <row r="5" spans="1:6" x14ac:dyDescent="0.25">
      <c r="B5" s="15">
        <v>11</v>
      </c>
      <c r="C5" s="15" t="s">
        <v>54</v>
      </c>
      <c r="D5" s="15"/>
      <c r="F5" t="s">
        <v>60</v>
      </c>
    </row>
    <row r="6" spans="1:6" x14ac:dyDescent="0.25">
      <c r="B6" s="15">
        <v>29</v>
      </c>
      <c r="C6" s="15" t="s">
        <v>57</v>
      </c>
      <c r="D6" s="15"/>
      <c r="F6" t="s">
        <v>63</v>
      </c>
    </row>
    <row r="7" spans="1:6" x14ac:dyDescent="0.25">
      <c r="B7" s="15">
        <v>40</v>
      </c>
      <c r="C7" s="15" t="s">
        <v>55</v>
      </c>
      <c r="D7" s="15"/>
      <c r="F7" t="s">
        <v>61</v>
      </c>
    </row>
    <row r="8" spans="1:6" x14ac:dyDescent="0.25">
      <c r="B8" s="15">
        <v>48</v>
      </c>
      <c r="C8" s="15" t="s">
        <v>56</v>
      </c>
      <c r="D8" s="15"/>
      <c r="F8" t="s">
        <v>62</v>
      </c>
    </row>
    <row r="11" spans="1:6" x14ac:dyDescent="0.25">
      <c r="A11" t="s">
        <v>922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3FC0-247A-4C3C-BCFF-B5D9E5A3CB2F}">
  <dimension ref="A1:O27"/>
  <sheetViews>
    <sheetView topLeftCell="A5" workbookViewId="0">
      <selection activeCell="C13" sqref="C13"/>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1</v>
      </c>
      <c r="D2" s="6">
        <v>2</v>
      </c>
      <c r="E2" s="6">
        <v>3</v>
      </c>
      <c r="F2" s="6">
        <v>4</v>
      </c>
      <c r="G2" s="6">
        <v>5</v>
      </c>
      <c r="H2" s="6">
        <v>6</v>
      </c>
      <c r="I2" s="6">
        <v>7</v>
      </c>
      <c r="J2" s="6">
        <v>8</v>
      </c>
      <c r="K2" s="6">
        <v>9</v>
      </c>
      <c r="N2" t="s">
        <v>19</v>
      </c>
      <c r="O2">
        <v>1</v>
      </c>
    </row>
    <row r="3" spans="1:15" x14ac:dyDescent="0.25">
      <c r="A3" t="s">
        <v>41</v>
      </c>
      <c r="C3">
        <v>190</v>
      </c>
      <c r="D3" s="2">
        <f>(31-19)*10</f>
        <v>120</v>
      </c>
      <c r="E3" s="1">
        <f>(50-30)*10</f>
        <v>200</v>
      </c>
      <c r="F3" s="1">
        <f>(80-50)*10</f>
        <v>300</v>
      </c>
      <c r="G3" s="1">
        <f>(85-65)*10</f>
        <v>200</v>
      </c>
      <c r="H3" s="1">
        <f>(110-85)*10</f>
        <v>250</v>
      </c>
      <c r="I3" s="1"/>
      <c r="J3" s="1"/>
      <c r="K3" s="1"/>
    </row>
    <row r="4" spans="1:15" x14ac:dyDescent="0.25">
      <c r="A4" t="s">
        <v>42</v>
      </c>
      <c r="C4">
        <f>C3/10</f>
        <v>19</v>
      </c>
      <c r="D4">
        <f t="shared" ref="D4:H4" si="0">D3/10</f>
        <v>12</v>
      </c>
      <c r="E4">
        <f t="shared" si="0"/>
        <v>20</v>
      </c>
      <c r="F4">
        <f t="shared" si="0"/>
        <v>30</v>
      </c>
      <c r="G4">
        <f t="shared" si="0"/>
        <v>20</v>
      </c>
      <c r="H4">
        <f t="shared" si="0"/>
        <v>25</v>
      </c>
      <c r="I4" s="1"/>
      <c r="J4" s="1"/>
      <c r="K4" s="1"/>
    </row>
    <row r="5" spans="1:15" x14ac:dyDescent="0.25">
      <c r="D5" s="2"/>
      <c r="E5" s="1"/>
      <c r="F5" s="1"/>
      <c r="G5" s="1"/>
      <c r="H5" s="1"/>
      <c r="I5" s="1"/>
      <c r="J5" s="1"/>
      <c r="K5" s="1"/>
    </row>
    <row r="6" spans="1:15" x14ac:dyDescent="0.25">
      <c r="A6" t="s">
        <v>7</v>
      </c>
      <c r="B6" s="14" t="s">
        <v>14</v>
      </c>
      <c r="C6" s="11">
        <v>6.83</v>
      </c>
      <c r="D6" s="11">
        <v>6.02</v>
      </c>
      <c r="E6" s="11">
        <v>6.25</v>
      </c>
      <c r="F6" s="11">
        <v>6.22</v>
      </c>
      <c r="G6" s="11"/>
      <c r="N6" t="s">
        <v>20</v>
      </c>
      <c r="O6">
        <v>60</v>
      </c>
    </row>
    <row r="7" spans="1:15" x14ac:dyDescent="0.25">
      <c r="A7" t="s">
        <v>8</v>
      </c>
      <c r="B7" t="s">
        <v>15</v>
      </c>
      <c r="C7" s="11">
        <v>1.19</v>
      </c>
      <c r="D7" s="11">
        <v>1.19</v>
      </c>
      <c r="E7" s="11">
        <v>1.22</v>
      </c>
      <c r="F7" s="11"/>
    </row>
    <row r="9" spans="1:15" x14ac:dyDescent="0.25">
      <c r="A9" s="13" t="s">
        <v>9</v>
      </c>
      <c r="B9" t="s">
        <v>16</v>
      </c>
      <c r="C9" s="12">
        <v>0.71599999999999997</v>
      </c>
      <c r="D9" s="12">
        <v>0.85899999999999999</v>
      </c>
      <c r="E9" s="12">
        <v>0.83899999999999997</v>
      </c>
      <c r="F9" s="12">
        <v>0.83799999999999997</v>
      </c>
    </row>
    <row r="10" spans="1:15" x14ac:dyDescent="0.25">
      <c r="A10" s="13" t="s">
        <v>10</v>
      </c>
      <c r="B10" t="s">
        <v>16</v>
      </c>
      <c r="C10" s="12">
        <v>0.106</v>
      </c>
      <c r="D10" s="12">
        <v>0.09</v>
      </c>
      <c r="E10" s="12">
        <v>8.1000000000000003E-2</v>
      </c>
      <c r="F10" s="12">
        <v>7.0000000000000001E-3</v>
      </c>
    </row>
    <row r="11" spans="1:15" x14ac:dyDescent="0.25">
      <c r="A11" s="13" t="s">
        <v>11</v>
      </c>
      <c r="B11" t="s">
        <v>16</v>
      </c>
      <c r="C11" s="12">
        <f>1-C9-C10</f>
        <v>0.17800000000000005</v>
      </c>
      <c r="D11" s="12">
        <f t="shared" ref="D11:F11" si="1">1-D9-D10</f>
        <v>5.1000000000000018E-2</v>
      </c>
      <c r="E11" s="12">
        <f t="shared" si="1"/>
        <v>8.0000000000000029E-2</v>
      </c>
      <c r="F11" s="12">
        <f t="shared" si="1"/>
        <v>0.15500000000000003</v>
      </c>
    </row>
    <row r="13" spans="1:15" x14ac:dyDescent="0.25">
      <c r="A13" t="s">
        <v>12</v>
      </c>
      <c r="B13" t="s">
        <v>17</v>
      </c>
      <c r="C13" s="11">
        <v>0.35</v>
      </c>
      <c r="D13" s="11">
        <v>0.10150000000000001</v>
      </c>
      <c r="E13" s="11">
        <v>6.6699999999999995E-2</v>
      </c>
      <c r="F13" s="11">
        <v>9.8000000000000004E-2</v>
      </c>
    </row>
    <row r="14" spans="1:15" x14ac:dyDescent="0.25">
      <c r="A14" s="13" t="s">
        <v>23</v>
      </c>
      <c r="B14" t="s">
        <v>22</v>
      </c>
      <c r="C14" s="11">
        <f>225.6</f>
        <v>225.6</v>
      </c>
      <c r="D14" s="11">
        <f>297.5</f>
        <v>297.5</v>
      </c>
      <c r="E14" s="11">
        <f>348.6</f>
        <v>348.6</v>
      </c>
      <c r="F14" s="11">
        <f>434.5</f>
        <v>434.5</v>
      </c>
      <c r="G14">
        <v>41.73</v>
      </c>
      <c r="H14">
        <v>41.93</v>
      </c>
    </row>
    <row r="15" spans="1:15" x14ac:dyDescent="0.25">
      <c r="A15" s="13" t="s">
        <v>21</v>
      </c>
      <c r="B15" t="s">
        <v>22</v>
      </c>
      <c r="C15" s="11">
        <f>39.4</f>
        <v>39.4</v>
      </c>
      <c r="D15" s="11">
        <f>105.8</f>
        <v>105.8</v>
      </c>
      <c r="E15" s="11">
        <f>98.9</f>
        <v>98.9</v>
      </c>
      <c r="F15" s="11">
        <f>158.5</f>
        <v>158.5</v>
      </c>
      <c r="G15">
        <f>35.77</f>
        <v>35.770000000000003</v>
      </c>
      <c r="H15">
        <v>38.770000000000003</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sheetData>
  <mergeCells count="1">
    <mergeCell ref="C1:F1"/>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99B7-960D-4787-9481-772D248A5312}">
  <dimension ref="A1:O27"/>
  <sheetViews>
    <sheetView workbookViewId="0">
      <selection activeCell="H22" sqref="H22"/>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31</v>
      </c>
      <c r="D2" s="5" t="s">
        <v>50</v>
      </c>
      <c r="E2" s="6" t="s">
        <v>40</v>
      </c>
      <c r="F2" s="6" t="s">
        <v>51</v>
      </c>
      <c r="G2" s="6" t="s">
        <v>40</v>
      </c>
      <c r="H2" s="6" t="s">
        <v>43</v>
      </c>
      <c r="I2" s="6" t="s">
        <v>44</v>
      </c>
      <c r="J2" s="6" t="s">
        <v>45</v>
      </c>
      <c r="K2" s="6" t="s">
        <v>46</v>
      </c>
      <c r="N2" t="s">
        <v>19</v>
      </c>
      <c r="O2">
        <v>1</v>
      </c>
    </row>
    <row r="3" spans="1:15" x14ac:dyDescent="0.25">
      <c r="A3" t="s">
        <v>41</v>
      </c>
      <c r="C3">
        <v>31</v>
      </c>
      <c r="D3" s="2">
        <f>(20-7)*10</f>
        <v>130</v>
      </c>
      <c r="E3" s="1">
        <f>(47-20)*10</f>
        <v>270</v>
      </c>
      <c r="F3" s="1">
        <f>(65-47)*10</f>
        <v>180</v>
      </c>
      <c r="G3" s="1">
        <f>(85-65)*10</f>
        <v>200</v>
      </c>
      <c r="H3" s="1">
        <f>(110-85)*10</f>
        <v>250</v>
      </c>
      <c r="I3" s="1"/>
      <c r="J3" s="1"/>
      <c r="K3" s="1"/>
    </row>
    <row r="4" spans="1:15" x14ac:dyDescent="0.25">
      <c r="A4" t="s">
        <v>42</v>
      </c>
      <c r="C4">
        <f>C3/10</f>
        <v>3.1</v>
      </c>
      <c r="D4">
        <f t="shared" ref="D4:H4" si="0">D3/10</f>
        <v>13</v>
      </c>
      <c r="E4">
        <f t="shared" si="0"/>
        <v>27</v>
      </c>
      <c r="F4">
        <f t="shared" si="0"/>
        <v>18</v>
      </c>
      <c r="G4">
        <f t="shared" si="0"/>
        <v>20</v>
      </c>
      <c r="H4">
        <f t="shared" si="0"/>
        <v>25</v>
      </c>
      <c r="I4" s="1"/>
      <c r="J4" s="1"/>
      <c r="K4" s="1"/>
    </row>
    <row r="5" spans="1:15" x14ac:dyDescent="0.25">
      <c r="D5" s="2"/>
      <c r="E5" s="1"/>
      <c r="F5" s="1"/>
      <c r="G5" s="1"/>
      <c r="H5" s="1"/>
      <c r="I5" s="1"/>
      <c r="J5" s="1"/>
      <c r="K5" s="1"/>
    </row>
    <row r="6" spans="1:15" x14ac:dyDescent="0.25">
      <c r="A6" t="s">
        <v>7</v>
      </c>
      <c r="B6" s="9" t="s">
        <v>14</v>
      </c>
      <c r="C6" s="8"/>
      <c r="D6" s="8"/>
      <c r="E6" s="8"/>
      <c r="F6" s="8"/>
      <c r="N6" t="s">
        <v>20</v>
      </c>
      <c r="O6">
        <v>60</v>
      </c>
    </row>
    <row r="7" spans="1:15" x14ac:dyDescent="0.25">
      <c r="A7" t="s">
        <v>8</v>
      </c>
      <c r="B7" t="s">
        <v>15</v>
      </c>
      <c r="C7" s="11"/>
      <c r="D7" s="11"/>
      <c r="E7" s="10"/>
      <c r="F7" s="11"/>
    </row>
    <row r="9" spans="1:15" x14ac:dyDescent="0.25">
      <c r="A9" t="s">
        <v>9</v>
      </c>
      <c r="B9" t="s">
        <v>16</v>
      </c>
      <c r="C9" s="12"/>
      <c r="D9" s="12"/>
      <c r="E9" s="12"/>
      <c r="F9" s="12"/>
    </row>
    <row r="10" spans="1:15" x14ac:dyDescent="0.25">
      <c r="A10" t="s">
        <v>10</v>
      </c>
      <c r="B10" t="s">
        <v>16</v>
      </c>
      <c r="C10" s="12"/>
      <c r="D10" s="12"/>
      <c r="E10" s="12"/>
      <c r="F10" s="12"/>
    </row>
    <row r="11" spans="1:15" x14ac:dyDescent="0.25">
      <c r="A11" t="s">
        <v>11</v>
      </c>
      <c r="B11" t="s">
        <v>16</v>
      </c>
      <c r="C11" s="12"/>
      <c r="D11" s="12"/>
      <c r="E11" s="12"/>
      <c r="F11" s="12"/>
    </row>
    <row r="13" spans="1:15" x14ac:dyDescent="0.25">
      <c r="A13" t="s">
        <v>12</v>
      </c>
      <c r="B13" t="s">
        <v>17</v>
      </c>
      <c r="C13" s="11"/>
      <c r="D13" s="11"/>
      <c r="E13" s="10"/>
      <c r="F13" s="11"/>
    </row>
    <row r="14" spans="1:15" x14ac:dyDescent="0.25">
      <c r="A14" t="s">
        <v>23</v>
      </c>
      <c r="B14" t="s">
        <v>22</v>
      </c>
      <c r="C14" s="11">
        <f>440.4</f>
        <v>440.4</v>
      </c>
      <c r="D14" s="11">
        <f>297.8</f>
        <v>297.8</v>
      </c>
      <c r="E14" s="11">
        <f>372</f>
        <v>372</v>
      </c>
      <c r="F14" s="11">
        <f>423.4</f>
        <v>423.4</v>
      </c>
      <c r="G14">
        <v>41.73</v>
      </c>
      <c r="H14">
        <v>41.93</v>
      </c>
    </row>
    <row r="15" spans="1:15" x14ac:dyDescent="0.25">
      <c r="A15" t="s">
        <v>21</v>
      </c>
      <c r="B15" t="s">
        <v>22</v>
      </c>
      <c r="C15" s="11">
        <f>353.1</f>
        <v>353.1</v>
      </c>
      <c r="D15" s="11">
        <f>200.9</f>
        <v>200.9</v>
      </c>
      <c r="E15" s="11">
        <f>252.2</f>
        <v>252.2</v>
      </c>
      <c r="F15" s="11">
        <f>267</f>
        <v>267</v>
      </c>
      <c r="G15">
        <f>35.77</f>
        <v>35.770000000000003</v>
      </c>
      <c r="H15">
        <v>38.770000000000003</v>
      </c>
    </row>
    <row r="17" spans="1:3" x14ac:dyDescent="0.25">
      <c r="A17" t="s">
        <v>48</v>
      </c>
    </row>
    <row r="18" spans="1:3" x14ac:dyDescent="0.25">
      <c r="A18" t="s">
        <v>49</v>
      </c>
    </row>
    <row r="24" spans="1:3" x14ac:dyDescent="0.25">
      <c r="B24" t="s">
        <v>34</v>
      </c>
      <c r="C24" s="7" t="s">
        <v>24</v>
      </c>
    </row>
    <row r="25" spans="1:3" x14ac:dyDescent="0.25">
      <c r="C25" s="8" t="s">
        <v>35</v>
      </c>
    </row>
    <row r="27" spans="1:3" x14ac:dyDescent="0.25">
      <c r="C27" s="10" t="s">
        <v>47</v>
      </c>
    </row>
  </sheetData>
  <mergeCells count="1">
    <mergeCell ref="C1:F1"/>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98217-224C-42A8-BE3C-42277858344F}">
  <dimension ref="A1:O27"/>
  <sheetViews>
    <sheetView workbookViewId="0">
      <selection activeCell="C17" sqref="C17:H19"/>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7</v>
      </c>
      <c r="D2" s="5" t="s">
        <v>36</v>
      </c>
      <c r="E2" s="6" t="s">
        <v>37</v>
      </c>
      <c r="F2" s="6" t="s">
        <v>38</v>
      </c>
      <c r="G2" s="6" t="s">
        <v>40</v>
      </c>
      <c r="H2" s="6" t="s">
        <v>43</v>
      </c>
      <c r="I2" s="6" t="s">
        <v>44</v>
      </c>
      <c r="J2" s="6" t="s">
        <v>45</v>
      </c>
      <c r="K2" s="6" t="s">
        <v>46</v>
      </c>
      <c r="N2" t="s">
        <v>19</v>
      </c>
      <c r="O2">
        <v>1</v>
      </c>
    </row>
    <row r="3" spans="1:15" x14ac:dyDescent="0.25">
      <c r="A3" t="s">
        <v>41</v>
      </c>
      <c r="C3">
        <v>70</v>
      </c>
      <c r="D3" s="2">
        <f>(20-7)*10</f>
        <v>130</v>
      </c>
      <c r="E3" s="1">
        <f>(47-20)*10</f>
        <v>270</v>
      </c>
      <c r="F3" s="1">
        <f>(65-47)*10</f>
        <v>180</v>
      </c>
      <c r="G3" s="1">
        <f>(85-65)*10</f>
        <v>200</v>
      </c>
      <c r="H3" s="1">
        <f>(110-85)*10</f>
        <v>250</v>
      </c>
      <c r="I3" s="1"/>
      <c r="J3" s="1"/>
      <c r="K3" s="1"/>
    </row>
    <row r="4" spans="1:15" x14ac:dyDescent="0.25">
      <c r="A4" t="s">
        <v>42</v>
      </c>
      <c r="C4">
        <f>C3/10</f>
        <v>7</v>
      </c>
      <c r="D4">
        <f t="shared" ref="D4:H4" si="0">D3/10</f>
        <v>13</v>
      </c>
      <c r="E4">
        <f t="shared" si="0"/>
        <v>27</v>
      </c>
      <c r="F4">
        <f t="shared" si="0"/>
        <v>18</v>
      </c>
      <c r="G4">
        <f t="shared" si="0"/>
        <v>20</v>
      </c>
      <c r="H4">
        <f t="shared" si="0"/>
        <v>25</v>
      </c>
      <c r="I4" s="1"/>
      <c r="J4" s="1"/>
      <c r="K4" s="1"/>
    </row>
    <row r="5" spans="1:15" x14ac:dyDescent="0.25">
      <c r="D5" s="2"/>
      <c r="E5" s="1"/>
      <c r="F5" s="1"/>
      <c r="G5" s="1"/>
      <c r="H5" s="1"/>
      <c r="I5" s="1"/>
      <c r="J5" s="1"/>
      <c r="K5" s="1"/>
    </row>
    <row r="6" spans="1:15" x14ac:dyDescent="0.25">
      <c r="A6" t="s">
        <v>7</v>
      </c>
      <c r="B6" s="9" t="s">
        <v>14</v>
      </c>
      <c r="C6" s="8"/>
      <c r="D6" s="8"/>
      <c r="E6" s="8"/>
      <c r="F6" s="8"/>
      <c r="N6" t="s">
        <v>20</v>
      </c>
      <c r="O6">
        <v>60</v>
      </c>
    </row>
    <row r="7" spans="1:15" x14ac:dyDescent="0.25">
      <c r="A7" t="s">
        <v>8</v>
      </c>
      <c r="B7" t="s">
        <v>15</v>
      </c>
      <c r="C7" s="11"/>
      <c r="D7" s="11"/>
      <c r="E7" s="10"/>
      <c r="F7" s="11"/>
    </row>
    <row r="9" spans="1:15" x14ac:dyDescent="0.25">
      <c r="A9" t="s">
        <v>9</v>
      </c>
      <c r="B9" t="s">
        <v>16</v>
      </c>
      <c r="C9" s="12"/>
      <c r="D9" s="12"/>
      <c r="E9" s="12"/>
      <c r="F9" s="12"/>
    </row>
    <row r="10" spans="1:15" x14ac:dyDescent="0.25">
      <c r="A10" t="s">
        <v>10</v>
      </c>
      <c r="B10" t="s">
        <v>16</v>
      </c>
      <c r="C10" s="12"/>
      <c r="D10" s="12"/>
      <c r="E10" s="12"/>
      <c r="F10" s="12"/>
    </row>
    <row r="11" spans="1:15" x14ac:dyDescent="0.25">
      <c r="A11" t="s">
        <v>11</v>
      </c>
      <c r="B11" t="s">
        <v>16</v>
      </c>
      <c r="C11" s="12"/>
      <c r="D11" s="12"/>
      <c r="E11" s="12"/>
      <c r="F11" s="12"/>
    </row>
    <row r="13" spans="1:15" x14ac:dyDescent="0.25">
      <c r="A13" t="s">
        <v>12</v>
      </c>
      <c r="B13" t="s">
        <v>17</v>
      </c>
      <c r="C13" s="11"/>
      <c r="D13" s="11"/>
      <c r="E13" s="10"/>
      <c r="F13" s="11"/>
    </row>
    <row r="14" spans="1:15" x14ac:dyDescent="0.25">
      <c r="A14" t="s">
        <v>23</v>
      </c>
      <c r="B14" t="s">
        <v>22</v>
      </c>
      <c r="C14" s="11">
        <f>AVERAGE(Soil_parameters_Ferral_P8!C14,Soil_parameters_Ferral_P14!C14)</f>
        <v>333</v>
      </c>
      <c r="D14" s="11">
        <f>AVERAGE(Soil_parameters_Ferral_P8!D14,Soil_parameters_Ferral_P14!D14)</f>
        <v>297.64999999999998</v>
      </c>
      <c r="E14" s="11">
        <f>AVERAGE(Soil_parameters_Ferral_P8!E14,Soil_parameters_Ferral_P14!E14)</f>
        <v>360.3</v>
      </c>
      <c r="F14" s="11">
        <f>AVERAGE(Soil_parameters_Ferral_P8!F14,Soil_parameters_Ferral_P14!F14)</f>
        <v>428.95</v>
      </c>
      <c r="G14">
        <v>41.73</v>
      </c>
      <c r="H14">
        <v>41.93</v>
      </c>
    </row>
    <row r="15" spans="1:15" x14ac:dyDescent="0.25">
      <c r="A15" t="s">
        <v>21</v>
      </c>
      <c r="B15" t="s">
        <v>22</v>
      </c>
      <c r="C15" s="11">
        <f>AVERAGE(Soil_parameters_Ferral_P8!C15,Soil_parameters_Ferral_P14!C15)</f>
        <v>196.25</v>
      </c>
      <c r="D15" s="11">
        <f>AVERAGE(Soil_parameters_Ferral_P8!D15,Soil_parameters_Ferral_P14!D15)</f>
        <v>153.35</v>
      </c>
      <c r="E15" s="11">
        <f>AVERAGE(Soil_parameters_Ferral_P8!E15,Soil_parameters_Ferral_P14!E15)</f>
        <v>175.55</v>
      </c>
      <c r="F15" s="11">
        <f>AVERAGE(Soil_parameters_Ferral_P8!F15,Soil_parameters_Ferral_P14!F15)</f>
        <v>212.75</v>
      </c>
      <c r="G15">
        <f>35.77</f>
        <v>35.770000000000003</v>
      </c>
      <c r="H15">
        <v>38.770000000000003</v>
      </c>
    </row>
    <row r="17" spans="1:3" x14ac:dyDescent="0.25">
      <c r="A17" t="s">
        <v>48</v>
      </c>
    </row>
    <row r="18" spans="1:3" x14ac:dyDescent="0.25">
      <c r="A18" t="s">
        <v>49</v>
      </c>
    </row>
    <row r="24" spans="1:3" x14ac:dyDescent="0.25">
      <c r="B24" t="s">
        <v>34</v>
      </c>
      <c r="C24" s="7" t="s">
        <v>24</v>
      </c>
    </row>
    <row r="25" spans="1:3" x14ac:dyDescent="0.25">
      <c r="C25" s="8" t="s">
        <v>35</v>
      </c>
    </row>
    <row r="27" spans="1:3" x14ac:dyDescent="0.25">
      <c r="C27" s="10" t="s">
        <v>47</v>
      </c>
    </row>
  </sheetData>
  <mergeCells count="1">
    <mergeCell ref="C1:F1"/>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C05F7-A643-4297-8601-99E1FFAFD8BD}">
  <dimension ref="A1:O27"/>
  <sheetViews>
    <sheetView topLeftCell="A9" workbookViewId="0">
      <selection activeCell="J13" sqref="J13"/>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1</v>
      </c>
      <c r="D2" s="6">
        <v>2</v>
      </c>
      <c r="E2" s="6">
        <v>3</v>
      </c>
      <c r="F2" s="6">
        <v>4</v>
      </c>
      <c r="G2" s="6">
        <v>5</v>
      </c>
      <c r="H2" s="6">
        <v>6</v>
      </c>
      <c r="I2" s="6">
        <v>7</v>
      </c>
      <c r="J2" s="6">
        <v>8</v>
      </c>
      <c r="K2" s="6">
        <v>9</v>
      </c>
      <c r="N2" t="s">
        <v>19</v>
      </c>
      <c r="O2">
        <v>1</v>
      </c>
    </row>
    <row r="3" spans="1:15" x14ac:dyDescent="0.25">
      <c r="A3" t="s">
        <v>41</v>
      </c>
      <c r="C3">
        <v>190</v>
      </c>
      <c r="D3" s="2">
        <f>(31-19)*10</f>
        <v>120</v>
      </c>
      <c r="E3" s="1">
        <f>(50-30)*10</f>
        <v>200</v>
      </c>
      <c r="F3" s="1">
        <f>(80-50)*10</f>
        <v>300</v>
      </c>
      <c r="G3" s="1">
        <f>(85-65)*10</f>
        <v>200</v>
      </c>
      <c r="H3" s="1">
        <f>(110-85)*10</f>
        <v>250</v>
      </c>
      <c r="I3" s="1"/>
      <c r="J3" s="1"/>
      <c r="K3" s="1"/>
    </row>
    <row r="4" spans="1:15" x14ac:dyDescent="0.25">
      <c r="A4" t="s">
        <v>42</v>
      </c>
      <c r="C4">
        <f>C3/10</f>
        <v>19</v>
      </c>
      <c r="D4">
        <f t="shared" ref="D4:H4" si="0">D3/10</f>
        <v>12</v>
      </c>
      <c r="E4">
        <f t="shared" si="0"/>
        <v>20</v>
      </c>
      <c r="F4">
        <f t="shared" si="0"/>
        <v>30</v>
      </c>
      <c r="G4">
        <f t="shared" si="0"/>
        <v>20</v>
      </c>
      <c r="H4">
        <f t="shared" si="0"/>
        <v>25</v>
      </c>
      <c r="I4" s="1"/>
      <c r="J4" s="1"/>
      <c r="K4" s="1"/>
    </row>
    <row r="5" spans="1:15" x14ac:dyDescent="0.25">
      <c r="D5" s="2"/>
      <c r="E5" s="1"/>
      <c r="F5" s="1"/>
      <c r="G5" s="1"/>
      <c r="H5" s="1"/>
      <c r="I5" s="1"/>
      <c r="J5" s="1"/>
      <c r="K5" s="1"/>
    </row>
    <row r="6" spans="1:15" x14ac:dyDescent="0.25">
      <c r="A6" t="s">
        <v>7</v>
      </c>
      <c r="B6" s="14" t="s">
        <v>14</v>
      </c>
      <c r="C6" s="11">
        <v>6.83</v>
      </c>
      <c r="D6" s="11">
        <v>6.02</v>
      </c>
      <c r="E6" s="11">
        <v>6.25</v>
      </c>
      <c r="F6" s="11">
        <v>6.22</v>
      </c>
      <c r="G6" s="11"/>
      <c r="N6" t="s">
        <v>20</v>
      </c>
      <c r="O6">
        <v>60</v>
      </c>
    </row>
    <row r="7" spans="1:15" x14ac:dyDescent="0.25">
      <c r="A7" t="s">
        <v>8</v>
      </c>
      <c r="B7" t="s">
        <v>15</v>
      </c>
      <c r="C7" s="11">
        <v>1.19</v>
      </c>
      <c r="D7" s="11">
        <v>1.19</v>
      </c>
      <c r="E7" s="11">
        <v>1.22</v>
      </c>
      <c r="F7" s="11"/>
    </row>
    <row r="9" spans="1:15" x14ac:dyDescent="0.25">
      <c r="A9" s="13" t="s">
        <v>9</v>
      </c>
      <c r="B9" t="s">
        <v>16</v>
      </c>
      <c r="C9" s="12">
        <v>0.54600000000000004</v>
      </c>
      <c r="D9" s="12">
        <v>0.64</v>
      </c>
      <c r="E9" s="12">
        <v>0.64700000000000002</v>
      </c>
      <c r="F9" s="12">
        <v>0.65900000000000003</v>
      </c>
    </row>
    <row r="10" spans="1:15" x14ac:dyDescent="0.25">
      <c r="A10" s="13" t="s">
        <v>10</v>
      </c>
      <c r="B10" t="s">
        <v>16</v>
      </c>
      <c r="C10" s="12">
        <v>0.311</v>
      </c>
      <c r="D10" s="12">
        <v>0.27800000000000002</v>
      </c>
      <c r="E10" s="12">
        <v>0.28599999999999998</v>
      </c>
      <c r="F10" s="12">
        <v>0.27700000000000002</v>
      </c>
    </row>
    <row r="11" spans="1:15" x14ac:dyDescent="0.25">
      <c r="A11" s="13" t="s">
        <v>11</v>
      </c>
      <c r="B11" t="s">
        <v>16</v>
      </c>
      <c r="C11" s="12">
        <f>1-C9-C10</f>
        <v>0.14299999999999996</v>
      </c>
      <c r="D11" s="12">
        <f t="shared" ref="D11:F11" si="1">1-D9-D10</f>
        <v>8.1999999999999962E-2</v>
      </c>
      <c r="E11" s="12">
        <f t="shared" si="1"/>
        <v>6.7000000000000004E-2</v>
      </c>
      <c r="F11" s="12">
        <f t="shared" si="1"/>
        <v>6.3999999999999946E-2</v>
      </c>
    </row>
    <row r="13" spans="1:15" x14ac:dyDescent="0.25">
      <c r="A13" t="s">
        <v>12</v>
      </c>
      <c r="B13" t="s">
        <v>17</v>
      </c>
      <c r="C13" s="11">
        <v>0.35</v>
      </c>
      <c r="D13" s="11">
        <v>0.10150000000000001</v>
      </c>
      <c r="E13" s="11">
        <v>6.6699999999999995E-2</v>
      </c>
      <c r="F13" s="11">
        <v>9.8000000000000004E-2</v>
      </c>
    </row>
    <row r="14" spans="1:15" x14ac:dyDescent="0.25">
      <c r="A14" s="13" t="s">
        <v>23</v>
      </c>
      <c r="B14" t="s">
        <v>22</v>
      </c>
      <c r="C14" s="11">
        <f>225.6</f>
        <v>225.6</v>
      </c>
      <c r="D14" s="11">
        <f>297.5</f>
        <v>297.5</v>
      </c>
      <c r="E14" s="11">
        <f>348.6</f>
        <v>348.6</v>
      </c>
      <c r="F14" s="11">
        <f>434.5</f>
        <v>434.5</v>
      </c>
      <c r="G14">
        <v>41.73</v>
      </c>
      <c r="H14">
        <v>41.93</v>
      </c>
    </row>
    <row r="15" spans="1:15" x14ac:dyDescent="0.25">
      <c r="A15" s="13" t="s">
        <v>21</v>
      </c>
      <c r="B15" t="s">
        <v>22</v>
      </c>
      <c r="C15" s="11">
        <f>39.4</f>
        <v>39.4</v>
      </c>
      <c r="D15" s="11">
        <f>105.8</f>
        <v>105.8</v>
      </c>
      <c r="E15" s="11">
        <f>98.9</f>
        <v>98.9</v>
      </c>
      <c r="F15" s="11">
        <f>158.5</f>
        <v>158.5</v>
      </c>
      <c r="G15">
        <f>35.77</f>
        <v>35.770000000000003</v>
      </c>
      <c r="H15">
        <v>38.770000000000003</v>
      </c>
    </row>
    <row r="17" spans="1:6" x14ac:dyDescent="0.25">
      <c r="A17" t="s">
        <v>48</v>
      </c>
      <c r="B17" t="s">
        <v>16</v>
      </c>
      <c r="C17" s="12">
        <v>2.5899999999999999E-2</v>
      </c>
      <c r="D17" s="12">
        <v>1.67E-2</v>
      </c>
      <c r="E17" s="12">
        <v>1.04E-2</v>
      </c>
      <c r="F17" s="12">
        <v>1.04E-2</v>
      </c>
    </row>
    <row r="18" spans="1:6" x14ac:dyDescent="0.25">
      <c r="A18" t="s">
        <v>49</v>
      </c>
      <c r="C18" s="12"/>
      <c r="D18" s="12"/>
      <c r="E18" s="12"/>
      <c r="F18" s="12"/>
    </row>
    <row r="24" spans="1:6" x14ac:dyDescent="0.25">
      <c r="B24" t="s">
        <v>34</v>
      </c>
      <c r="C24" s="7" t="s">
        <v>24</v>
      </c>
    </row>
    <row r="25" spans="1:6" x14ac:dyDescent="0.25">
      <c r="C25" s="8" t="s">
        <v>35</v>
      </c>
    </row>
    <row r="27" spans="1:6" x14ac:dyDescent="0.25">
      <c r="C27" s="10" t="s">
        <v>47</v>
      </c>
    </row>
  </sheetData>
  <mergeCells count="1">
    <mergeCell ref="C1:F1"/>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6C511-3484-4D82-97FB-3415083AD977}">
  <dimension ref="A1:O27"/>
  <sheetViews>
    <sheetView topLeftCell="A9" workbookViewId="0">
      <selection activeCell="F28" sqref="F28"/>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31</v>
      </c>
      <c r="D2" s="5" t="s">
        <v>50</v>
      </c>
      <c r="E2" s="6" t="s">
        <v>40</v>
      </c>
      <c r="F2" s="6" t="s">
        <v>51</v>
      </c>
      <c r="G2" s="6" t="s">
        <v>40</v>
      </c>
      <c r="H2" s="6" t="s">
        <v>43</v>
      </c>
      <c r="I2" s="6" t="s">
        <v>44</v>
      </c>
      <c r="J2" s="6" t="s">
        <v>45</v>
      </c>
      <c r="K2" s="6" t="s">
        <v>46</v>
      </c>
      <c r="N2" t="s">
        <v>19</v>
      </c>
      <c r="O2">
        <v>1</v>
      </c>
    </row>
    <row r="3" spans="1:15" x14ac:dyDescent="0.25">
      <c r="A3" t="s">
        <v>41</v>
      </c>
      <c r="C3">
        <v>31</v>
      </c>
      <c r="D3" s="2">
        <f>(20-7)*10</f>
        <v>130</v>
      </c>
      <c r="E3" s="1">
        <f>(47-20)*10</f>
        <v>270</v>
      </c>
      <c r="F3" s="1">
        <f>(65-47)*10</f>
        <v>180</v>
      </c>
      <c r="G3" s="1">
        <f>(85-65)*10</f>
        <v>200</v>
      </c>
      <c r="H3" s="1">
        <f>(110-85)*10</f>
        <v>250</v>
      </c>
      <c r="I3" s="1"/>
      <c r="J3" s="1"/>
      <c r="K3" s="1"/>
    </row>
    <row r="4" spans="1:15" x14ac:dyDescent="0.25">
      <c r="A4" t="s">
        <v>42</v>
      </c>
      <c r="C4">
        <f>C3/10</f>
        <v>3.1</v>
      </c>
      <c r="D4">
        <f t="shared" ref="D4:H4" si="0">D3/10</f>
        <v>13</v>
      </c>
      <c r="E4">
        <f t="shared" si="0"/>
        <v>27</v>
      </c>
      <c r="F4">
        <f t="shared" si="0"/>
        <v>18</v>
      </c>
      <c r="G4">
        <f t="shared" si="0"/>
        <v>20</v>
      </c>
      <c r="H4">
        <f t="shared" si="0"/>
        <v>25</v>
      </c>
      <c r="I4" s="1"/>
      <c r="J4" s="1"/>
      <c r="K4" s="1"/>
    </row>
    <row r="5" spans="1:15" x14ac:dyDescent="0.25">
      <c r="D5" s="2"/>
      <c r="E5" s="1"/>
      <c r="F5" s="1"/>
      <c r="G5" s="1"/>
      <c r="H5" s="1"/>
      <c r="I5" s="1"/>
      <c r="J5" s="1"/>
      <c r="K5" s="1"/>
    </row>
    <row r="6" spans="1:15" x14ac:dyDescent="0.25">
      <c r="A6" t="s">
        <v>7</v>
      </c>
      <c r="B6" s="9" t="s">
        <v>14</v>
      </c>
      <c r="C6" s="8"/>
      <c r="D6" s="8"/>
      <c r="E6" s="8"/>
      <c r="F6" s="8"/>
      <c r="N6" t="s">
        <v>20</v>
      </c>
      <c r="O6">
        <v>60</v>
      </c>
    </row>
    <row r="7" spans="1:15" x14ac:dyDescent="0.25">
      <c r="A7" t="s">
        <v>8</v>
      </c>
      <c r="B7" t="s">
        <v>15</v>
      </c>
      <c r="C7" s="11"/>
      <c r="D7" s="11"/>
      <c r="E7" s="10"/>
      <c r="F7" s="11"/>
    </row>
    <row r="9" spans="1:15" x14ac:dyDescent="0.25">
      <c r="A9" t="s">
        <v>9</v>
      </c>
      <c r="B9" t="s">
        <v>16</v>
      </c>
      <c r="C9" s="12"/>
      <c r="D9" s="12"/>
      <c r="E9" s="12"/>
      <c r="F9" s="12"/>
    </row>
    <row r="10" spans="1:15" x14ac:dyDescent="0.25">
      <c r="A10" t="s">
        <v>10</v>
      </c>
      <c r="B10" t="s">
        <v>16</v>
      </c>
      <c r="C10" s="12"/>
      <c r="D10" s="12"/>
      <c r="E10" s="12"/>
      <c r="F10" s="12"/>
    </row>
    <row r="11" spans="1:15" x14ac:dyDescent="0.25">
      <c r="A11" t="s">
        <v>11</v>
      </c>
      <c r="B11" t="s">
        <v>16</v>
      </c>
      <c r="C11" s="12"/>
      <c r="D11" s="12"/>
      <c r="E11" s="12"/>
      <c r="F11" s="12"/>
    </row>
    <row r="13" spans="1:15" x14ac:dyDescent="0.25">
      <c r="A13" t="s">
        <v>12</v>
      </c>
      <c r="B13" t="s">
        <v>17</v>
      </c>
      <c r="C13" s="11"/>
      <c r="D13" s="11"/>
      <c r="E13" s="10"/>
      <c r="F13" s="11"/>
    </row>
    <row r="14" spans="1:15" x14ac:dyDescent="0.25">
      <c r="A14" t="s">
        <v>23</v>
      </c>
      <c r="B14" t="s">
        <v>22</v>
      </c>
      <c r="C14" s="11">
        <f>440.4</f>
        <v>440.4</v>
      </c>
      <c r="D14" s="11">
        <f>297.8</f>
        <v>297.8</v>
      </c>
      <c r="E14" s="11">
        <f>372</f>
        <v>372</v>
      </c>
      <c r="F14" s="11">
        <f>423.4</f>
        <v>423.4</v>
      </c>
      <c r="G14">
        <v>41.73</v>
      </c>
      <c r="H14">
        <v>41.93</v>
      </c>
    </row>
    <row r="15" spans="1:15" x14ac:dyDescent="0.25">
      <c r="A15" t="s">
        <v>21</v>
      </c>
      <c r="B15" t="s">
        <v>22</v>
      </c>
      <c r="C15" s="11">
        <f>353.1</f>
        <v>353.1</v>
      </c>
      <c r="D15" s="11">
        <f>200.9</f>
        <v>200.9</v>
      </c>
      <c r="E15" s="11">
        <f>252.2</f>
        <v>252.2</v>
      </c>
      <c r="F15" s="11">
        <f>267</f>
        <v>267</v>
      </c>
      <c r="G15">
        <f>35.77</f>
        <v>35.770000000000003</v>
      </c>
      <c r="H15">
        <v>38.770000000000003</v>
      </c>
    </row>
    <row r="17" spans="1:3" x14ac:dyDescent="0.25">
      <c r="A17" t="s">
        <v>48</v>
      </c>
    </row>
    <row r="18" spans="1:3" x14ac:dyDescent="0.25">
      <c r="A18" t="s">
        <v>49</v>
      </c>
    </row>
    <row r="24" spans="1:3" x14ac:dyDescent="0.25">
      <c r="B24" t="s">
        <v>34</v>
      </c>
      <c r="C24" s="7" t="s">
        <v>24</v>
      </c>
    </row>
    <row r="25" spans="1:3" x14ac:dyDescent="0.25">
      <c r="C25" s="8" t="s">
        <v>35</v>
      </c>
    </row>
    <row r="27" spans="1:3" x14ac:dyDescent="0.25">
      <c r="C27" s="10" t="s">
        <v>47</v>
      </c>
    </row>
  </sheetData>
  <mergeCells count="1">
    <mergeCell ref="C1:F1"/>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92261-D663-493F-8412-1998BCDF3DA5}">
  <sheetPr codeName="Sheet4"/>
  <dimension ref="A1:O27"/>
  <sheetViews>
    <sheetView topLeftCell="A13" workbookViewId="0">
      <selection activeCell="I10" sqref="I10"/>
    </sheetView>
  </sheetViews>
  <sheetFormatPr defaultRowHeight="15" x14ac:dyDescent="0.25"/>
  <cols>
    <col min="1" max="1" width="12" customWidth="1"/>
    <col min="6" max="11" width="12.42578125" customWidth="1"/>
  </cols>
  <sheetData>
    <row r="1" spans="1:15" x14ac:dyDescent="0.25">
      <c r="C1" s="54" t="s">
        <v>39</v>
      </c>
      <c r="D1" s="54"/>
      <c r="E1" s="54"/>
      <c r="F1" s="54"/>
      <c r="G1" s="3"/>
      <c r="H1" s="3"/>
      <c r="I1" s="3"/>
      <c r="J1" s="3"/>
      <c r="K1" s="3"/>
      <c r="N1" t="s">
        <v>18</v>
      </c>
    </row>
    <row r="2" spans="1:15" x14ac:dyDescent="0.25">
      <c r="A2" s="4" t="s">
        <v>30</v>
      </c>
      <c r="B2" s="4" t="s">
        <v>13</v>
      </c>
      <c r="C2" s="4">
        <v>7</v>
      </c>
      <c r="D2" s="5" t="s">
        <v>36</v>
      </c>
      <c r="E2" s="6" t="s">
        <v>37</v>
      </c>
      <c r="F2" s="6" t="s">
        <v>38</v>
      </c>
      <c r="G2" s="6" t="s">
        <v>40</v>
      </c>
      <c r="H2" s="6" t="s">
        <v>43</v>
      </c>
      <c r="I2" s="6" t="s">
        <v>44</v>
      </c>
      <c r="J2" s="6" t="s">
        <v>45</v>
      </c>
      <c r="K2" s="6" t="s">
        <v>46</v>
      </c>
      <c r="N2" t="s">
        <v>19</v>
      </c>
      <c r="O2">
        <v>1</v>
      </c>
    </row>
    <row r="3" spans="1:15" x14ac:dyDescent="0.25">
      <c r="A3" t="s">
        <v>41</v>
      </c>
      <c r="C3">
        <v>70</v>
      </c>
      <c r="D3" s="2">
        <f>(20-7)*10</f>
        <v>130</v>
      </c>
      <c r="E3" s="1">
        <f>(47-20)*10</f>
        <v>270</v>
      </c>
      <c r="F3" s="1">
        <f>(65-47)*10</f>
        <v>180</v>
      </c>
      <c r="G3" s="1">
        <f>(85-65)*10</f>
        <v>200</v>
      </c>
      <c r="H3" s="1">
        <f>(110-85)*10</f>
        <v>250</v>
      </c>
      <c r="I3" s="1"/>
      <c r="J3" s="1"/>
      <c r="K3" s="1"/>
    </row>
    <row r="4" spans="1:15" x14ac:dyDescent="0.25">
      <c r="A4" t="s">
        <v>42</v>
      </c>
      <c r="C4">
        <f>C3/10</f>
        <v>7</v>
      </c>
      <c r="D4">
        <f t="shared" ref="D4:H4" si="0">D3/10</f>
        <v>13</v>
      </c>
      <c r="E4">
        <f t="shared" si="0"/>
        <v>27</v>
      </c>
      <c r="F4">
        <f t="shared" si="0"/>
        <v>18</v>
      </c>
      <c r="G4">
        <f t="shared" si="0"/>
        <v>20</v>
      </c>
      <c r="H4">
        <f t="shared" si="0"/>
        <v>25</v>
      </c>
      <c r="I4" s="1"/>
      <c r="J4" s="1"/>
      <c r="K4" s="1"/>
    </row>
    <row r="5" spans="1:15" x14ac:dyDescent="0.25">
      <c r="D5" s="2"/>
      <c r="E5" s="1"/>
      <c r="F5" s="1"/>
      <c r="G5" s="1"/>
      <c r="H5" s="1"/>
      <c r="I5" s="1"/>
      <c r="J5" s="1"/>
      <c r="K5" s="1"/>
    </row>
    <row r="6" spans="1:15" x14ac:dyDescent="0.25">
      <c r="A6" t="s">
        <v>7</v>
      </c>
      <c r="B6" s="9" t="s">
        <v>14</v>
      </c>
      <c r="C6" s="8">
        <v>5.4</v>
      </c>
      <c r="D6" s="8">
        <v>5.4</v>
      </c>
      <c r="E6" s="8">
        <v>5.5</v>
      </c>
      <c r="F6" s="8">
        <v>5.5</v>
      </c>
      <c r="G6" s="8">
        <v>5.4</v>
      </c>
      <c r="H6" s="8">
        <v>5.4</v>
      </c>
      <c r="N6" t="s">
        <v>20</v>
      </c>
      <c r="O6">
        <v>60</v>
      </c>
    </row>
    <row r="7" spans="1:15" x14ac:dyDescent="0.25">
      <c r="A7" t="s">
        <v>8</v>
      </c>
      <c r="B7" t="s">
        <v>15</v>
      </c>
      <c r="C7" s="11">
        <v>1.1399999999999999</v>
      </c>
      <c r="D7" s="11">
        <v>1.1399999999999999</v>
      </c>
      <c r="E7" s="10">
        <v>1.1399999999999999</v>
      </c>
      <c r="F7" s="11">
        <v>1.05</v>
      </c>
      <c r="G7" s="11">
        <v>1.05</v>
      </c>
      <c r="H7" s="11">
        <v>1.1299999999999999</v>
      </c>
    </row>
    <row r="9" spans="1:15" x14ac:dyDescent="0.25">
      <c r="A9" t="s">
        <v>9</v>
      </c>
      <c r="B9" t="s">
        <v>16</v>
      </c>
      <c r="C9" s="12">
        <v>0.60299999999999998</v>
      </c>
      <c r="D9" s="12">
        <v>0.63</v>
      </c>
      <c r="E9" s="12">
        <v>0.54300000000000004</v>
      </c>
      <c r="F9" s="12">
        <v>0.55500000000000005</v>
      </c>
      <c r="G9" s="12">
        <v>0.53700000000000003</v>
      </c>
      <c r="H9" s="12">
        <v>0.53300000000000003</v>
      </c>
    </row>
    <row r="10" spans="1:15" x14ac:dyDescent="0.25">
      <c r="A10" t="s">
        <v>10</v>
      </c>
      <c r="B10" t="s">
        <v>16</v>
      </c>
      <c r="C10" s="12">
        <v>6.0999999999999999E-2</v>
      </c>
      <c r="D10" s="12">
        <v>5.7000000000000002E-2</v>
      </c>
      <c r="E10" s="12">
        <v>0.08</v>
      </c>
      <c r="F10" s="12">
        <v>7.2999999999999995E-2</v>
      </c>
      <c r="G10" s="12">
        <v>8.8999999999999996E-2</v>
      </c>
      <c r="H10" s="12">
        <v>9.6000000000000002E-2</v>
      </c>
    </row>
    <row r="11" spans="1:15" x14ac:dyDescent="0.25">
      <c r="A11" t="s">
        <v>11</v>
      </c>
      <c r="B11" t="s">
        <v>16</v>
      </c>
      <c r="C11" s="12">
        <v>0.33700000000000002</v>
      </c>
      <c r="D11" s="12">
        <v>0.313</v>
      </c>
      <c r="E11" s="12">
        <v>0.378</v>
      </c>
      <c r="F11" s="12">
        <v>0.371</v>
      </c>
      <c r="G11" s="12">
        <v>0.375</v>
      </c>
      <c r="H11" s="12">
        <v>0.373</v>
      </c>
    </row>
    <row r="13" spans="1:15" x14ac:dyDescent="0.25">
      <c r="A13" t="s">
        <v>12</v>
      </c>
      <c r="B13" t="s">
        <v>17</v>
      </c>
      <c r="C13" s="11">
        <f>0.25</f>
        <v>0.25</v>
      </c>
      <c r="D13" s="11">
        <f t="shared" ref="D13:E13" si="1">0.25</f>
        <v>0.25</v>
      </c>
      <c r="E13" s="10">
        <f t="shared" si="1"/>
        <v>0.25</v>
      </c>
      <c r="F13" s="11">
        <v>0.41</v>
      </c>
      <c r="G13" s="11">
        <v>0.41</v>
      </c>
      <c r="H13" s="11">
        <v>0.2</v>
      </c>
    </row>
    <row r="14" spans="1:15" x14ac:dyDescent="0.25">
      <c r="A14" t="s">
        <v>23</v>
      </c>
      <c r="B14" t="s">
        <v>22</v>
      </c>
      <c r="C14" s="11">
        <f>43.92</f>
        <v>43.92</v>
      </c>
      <c r="D14" s="11">
        <f>43.92</f>
        <v>43.92</v>
      </c>
      <c r="E14" s="11">
        <f>43.92</f>
        <v>43.92</v>
      </c>
      <c r="F14" s="11">
        <v>41.73</v>
      </c>
      <c r="G14" s="11">
        <v>41.73</v>
      </c>
      <c r="H14" s="11">
        <v>41.93</v>
      </c>
    </row>
    <row r="15" spans="1:15" x14ac:dyDescent="0.25">
      <c r="A15" t="s">
        <v>21</v>
      </c>
      <c r="B15" t="s">
        <v>22</v>
      </c>
      <c r="C15" s="11">
        <f>36.33</f>
        <v>36.33</v>
      </c>
      <c r="D15" s="11">
        <f>36.33</f>
        <v>36.33</v>
      </c>
      <c r="E15" s="11">
        <f>36.33</f>
        <v>36.33</v>
      </c>
      <c r="F15" s="11">
        <f>35.77</f>
        <v>35.770000000000003</v>
      </c>
      <c r="G15" s="11">
        <f>35.77</f>
        <v>35.770000000000003</v>
      </c>
      <c r="H15" s="11">
        <v>38.770000000000003</v>
      </c>
    </row>
    <row r="17" spans="1:8" x14ac:dyDescent="0.25">
      <c r="A17" t="s">
        <v>48</v>
      </c>
      <c r="C17">
        <v>1.9400000000000001E-2</v>
      </c>
      <c r="D17">
        <v>1.2E-2</v>
      </c>
      <c r="E17">
        <v>2E-3</v>
      </c>
      <c r="F17">
        <v>1.9E-3</v>
      </c>
      <c r="G17">
        <v>1.9E-3</v>
      </c>
      <c r="H17" s="11">
        <v>1.1000000000000001E-3</v>
      </c>
    </row>
    <row r="18" spans="1:8" x14ac:dyDescent="0.25">
      <c r="A18" t="s">
        <v>49</v>
      </c>
      <c r="C18">
        <v>2.0999999999999999E-3</v>
      </c>
      <c r="D18">
        <v>1.6000000000000001E-3</v>
      </c>
      <c r="E18">
        <v>6.9999999999999999E-4</v>
      </c>
      <c r="F18">
        <v>6.9999999999999999E-4</v>
      </c>
    </row>
    <row r="24" spans="1:8" x14ac:dyDescent="0.25">
      <c r="B24" t="s">
        <v>34</v>
      </c>
      <c r="C24" s="7" t="s">
        <v>24</v>
      </c>
    </row>
    <row r="25" spans="1:8" x14ac:dyDescent="0.25">
      <c r="C25" s="8" t="s">
        <v>35</v>
      </c>
    </row>
    <row r="27" spans="1:8" x14ac:dyDescent="0.25">
      <c r="C27" s="10" t="s">
        <v>47</v>
      </c>
    </row>
  </sheetData>
  <mergeCells count="1">
    <mergeCell ref="C1:F1"/>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540E0-7769-420E-9E6A-7E2EEC2F846E}">
  <dimension ref="A1:B18"/>
  <sheetViews>
    <sheetView workbookViewId="0">
      <selection activeCell="B8" sqref="B8"/>
    </sheetView>
  </sheetViews>
  <sheetFormatPr defaultRowHeight="15" x14ac:dyDescent="0.25"/>
  <cols>
    <col min="1" max="1" width="22.5703125" customWidth="1"/>
    <col min="2" max="2" width="12" bestFit="1" customWidth="1"/>
  </cols>
  <sheetData>
    <row r="1" spans="1:2" x14ac:dyDescent="0.25">
      <c r="B1" t="s">
        <v>72</v>
      </c>
    </row>
    <row r="2" spans="1:2" x14ac:dyDescent="0.25">
      <c r="A2" t="s">
        <v>73</v>
      </c>
      <c r="B2">
        <v>1500</v>
      </c>
    </row>
    <row r="3" spans="1:2" x14ac:dyDescent="0.25">
      <c r="A3" t="s">
        <v>74</v>
      </c>
      <c r="B3">
        <v>13000</v>
      </c>
    </row>
    <row r="4" spans="1:2" x14ac:dyDescent="0.25">
      <c r="A4" t="s">
        <v>75</v>
      </c>
      <c r="B4">
        <f>B2/B3</f>
        <v>0.11538461538461539</v>
      </c>
    </row>
    <row r="7" spans="1:2" x14ac:dyDescent="0.25">
      <c r="A7" t="s">
        <v>903</v>
      </c>
    </row>
    <row r="8" spans="1:2" x14ac:dyDescent="0.25">
      <c r="B8">
        <v>10</v>
      </c>
    </row>
    <row r="10" spans="1:2" x14ac:dyDescent="0.25">
      <c r="A10" t="s">
        <v>904</v>
      </c>
      <c r="B10">
        <f>12/B8</f>
        <v>1.2</v>
      </c>
    </row>
    <row r="11" spans="1:2" x14ac:dyDescent="0.25">
      <c r="A11" t="s">
        <v>906</v>
      </c>
      <c r="B11">
        <v>6</v>
      </c>
    </row>
    <row r="13" spans="1:2" x14ac:dyDescent="0.25">
      <c r="A13" t="s">
        <v>905</v>
      </c>
      <c r="B13">
        <f>B4*B8*10/B11</f>
        <v>1.9230769230769234</v>
      </c>
    </row>
    <row r="15" spans="1:2" x14ac:dyDescent="0.25">
      <c r="B15">
        <f>(B8*B4)*10/B11</f>
        <v>1.9230769230769234</v>
      </c>
    </row>
    <row r="18" spans="1:2" x14ac:dyDescent="0.25">
      <c r="A18" t="s">
        <v>907</v>
      </c>
      <c r="B18">
        <f>B13*(6/10)*(1/12)</f>
        <v>9.6153846153846159E-2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292F-ACFC-44EE-8D46-A466C9E5F641}">
  <dimension ref="A2:B9"/>
  <sheetViews>
    <sheetView workbookViewId="0">
      <selection activeCell="B2" sqref="B2"/>
    </sheetView>
  </sheetViews>
  <sheetFormatPr defaultRowHeight="15" x14ac:dyDescent="0.25"/>
  <cols>
    <col min="1" max="1" width="17.28515625" customWidth="1"/>
    <col min="2" max="2" width="12.7109375" bestFit="1" customWidth="1"/>
  </cols>
  <sheetData>
    <row r="2" spans="1:2" x14ac:dyDescent="0.25">
      <c r="A2" t="s">
        <v>920</v>
      </c>
      <c r="B2">
        <v>10</v>
      </c>
    </row>
    <row r="3" spans="1:2" x14ac:dyDescent="0.25">
      <c r="A3" t="s">
        <v>921</v>
      </c>
      <c r="B3">
        <v>18</v>
      </c>
    </row>
    <row r="5" spans="1:2" x14ac:dyDescent="0.25">
      <c r="A5" t="s">
        <v>917</v>
      </c>
      <c r="B5">
        <f>B2*0.7+0.3*B3</f>
        <v>12.399999999999999</v>
      </c>
    </row>
    <row r="6" spans="1:2" x14ac:dyDescent="0.25">
      <c r="A6" t="s">
        <v>918</v>
      </c>
      <c r="B6">
        <v>0.04</v>
      </c>
    </row>
    <row r="9" spans="1:2" x14ac:dyDescent="0.25">
      <c r="A9" t="s">
        <v>919</v>
      </c>
      <c r="B9">
        <f>10000*(-1)*LOG(1-B6,2.7814)/B5</f>
        <v>32.182239389305707</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9255F-C383-4526-AF56-9E380B1A1DBC}">
  <dimension ref="A2:I8"/>
  <sheetViews>
    <sheetView workbookViewId="0">
      <selection activeCell="J5" sqref="J5"/>
    </sheetView>
  </sheetViews>
  <sheetFormatPr defaultRowHeight="15" x14ac:dyDescent="0.25"/>
  <cols>
    <col min="1" max="1" width="20.28515625" customWidth="1"/>
  </cols>
  <sheetData>
    <row r="2" spans="1:9" x14ac:dyDescent="0.25">
      <c r="A2" t="s">
        <v>908</v>
      </c>
      <c r="B2" t="s">
        <v>62</v>
      </c>
    </row>
    <row r="3" spans="1:9" x14ac:dyDescent="0.25">
      <c r="A3" t="s">
        <v>909</v>
      </c>
      <c r="C3" t="s">
        <v>60</v>
      </c>
    </row>
    <row r="4" spans="1:9" x14ac:dyDescent="0.25">
      <c r="A4" t="s">
        <v>910</v>
      </c>
      <c r="C4" t="s">
        <v>63</v>
      </c>
    </row>
    <row r="5" spans="1:9" x14ac:dyDescent="0.25">
      <c r="A5" t="s">
        <v>912</v>
      </c>
      <c r="C5" s="27" t="s">
        <v>65</v>
      </c>
      <c r="I5" t="s">
        <v>915</v>
      </c>
    </row>
    <row r="6" spans="1:9" x14ac:dyDescent="0.25">
      <c r="A6" t="s">
        <v>911</v>
      </c>
      <c r="C6" t="s">
        <v>64</v>
      </c>
    </row>
    <row r="7" spans="1:9" x14ac:dyDescent="0.25">
      <c r="A7" t="s">
        <v>913</v>
      </c>
      <c r="C7" s="27" t="s">
        <v>59</v>
      </c>
      <c r="I7" t="s">
        <v>915</v>
      </c>
    </row>
    <row r="8" spans="1:9" x14ac:dyDescent="0.25">
      <c r="A8" t="s">
        <v>914</v>
      </c>
      <c r="C8" s="27" t="s">
        <v>61</v>
      </c>
    </row>
  </sheetData>
  <hyperlinks>
    <hyperlink ref="C7" r:id="rId1" xr:uid="{DF8F5327-DC72-43C7-908B-1502FBA0E750}"/>
    <hyperlink ref="C8" r:id="rId2" xr:uid="{AAD2482D-B913-4515-8896-100C0165B3BA}"/>
    <hyperlink ref="C5" r:id="rId3" xr:uid="{BA255C73-A4A6-4343-812D-1187A613012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0A1B-1D90-4416-BE97-E685CCF48E52}">
  <dimension ref="A1:U26"/>
  <sheetViews>
    <sheetView tabSelected="1" workbookViewId="0">
      <pane xSplit="2" ySplit="1" topLeftCell="C12" activePane="bottomRight" state="frozen"/>
      <selection pane="topRight" activeCell="C1" sqref="C1"/>
      <selection pane="bottomLeft" activeCell="A2" sqref="A2"/>
      <selection pane="bottomRight" activeCell="O26" sqref="O26"/>
    </sheetView>
  </sheetViews>
  <sheetFormatPr defaultRowHeight="15" x14ac:dyDescent="0.25"/>
  <cols>
    <col min="1" max="1" width="18.5703125" customWidth="1"/>
    <col min="3" max="3" width="15" customWidth="1"/>
    <col min="4" max="9" width="9.5703125" bestFit="1" customWidth="1"/>
  </cols>
  <sheetData>
    <row r="1" spans="1:20" x14ac:dyDescent="0.25">
      <c r="A1" s="21" t="s">
        <v>378</v>
      </c>
      <c r="B1" s="21" t="s">
        <v>379</v>
      </c>
      <c r="C1" s="52" t="s">
        <v>2604</v>
      </c>
      <c r="D1" s="22">
        <v>44835</v>
      </c>
      <c r="E1" s="22">
        <v>45078</v>
      </c>
      <c r="F1" s="22">
        <v>45200</v>
      </c>
      <c r="G1" s="22">
        <v>45323</v>
      </c>
      <c r="H1" s="22">
        <v>45474</v>
      </c>
      <c r="I1" s="22">
        <v>45566</v>
      </c>
      <c r="J1" s="22"/>
      <c r="K1" s="22"/>
      <c r="L1" s="22"/>
      <c r="O1" s="23">
        <v>44835</v>
      </c>
      <c r="P1" s="23">
        <v>45078</v>
      </c>
      <c r="Q1" s="23">
        <v>45200</v>
      </c>
      <c r="R1" s="23">
        <v>45323</v>
      </c>
      <c r="S1" s="23">
        <v>45474</v>
      </c>
      <c r="T1" s="23">
        <v>45566</v>
      </c>
    </row>
    <row r="2" spans="1:20" x14ac:dyDescent="0.25">
      <c r="A2" s="24" t="s">
        <v>380</v>
      </c>
      <c r="B2" s="53" t="s">
        <v>381</v>
      </c>
      <c r="C2" s="24">
        <v>1.8</v>
      </c>
      <c r="D2" s="25"/>
      <c r="E2" s="25"/>
      <c r="F2" s="25"/>
      <c r="G2" s="24"/>
      <c r="H2" s="24"/>
      <c r="I2" s="24"/>
      <c r="J2" s="51"/>
      <c r="K2" s="51"/>
      <c r="L2" s="51"/>
      <c r="N2" t="s">
        <v>382</v>
      </c>
      <c r="O2">
        <v>2584</v>
      </c>
      <c r="P2">
        <v>752</v>
      </c>
      <c r="Q2">
        <v>778</v>
      </c>
      <c r="R2">
        <v>890</v>
      </c>
      <c r="S2">
        <v>429</v>
      </c>
      <c r="T2">
        <f>I18</f>
        <v>475</v>
      </c>
    </row>
    <row r="3" spans="1:20" x14ac:dyDescent="0.25">
      <c r="A3" s="24" t="s">
        <v>383</v>
      </c>
      <c r="B3" s="53" t="s">
        <v>381</v>
      </c>
      <c r="C3" s="24">
        <v>0.06</v>
      </c>
      <c r="D3" s="25"/>
      <c r="E3" s="25"/>
      <c r="F3" s="25">
        <v>1</v>
      </c>
      <c r="G3" s="24">
        <v>2</v>
      </c>
      <c r="H3" s="24"/>
      <c r="I3" s="24"/>
      <c r="J3" s="51"/>
      <c r="K3" s="51"/>
      <c r="L3" s="51"/>
      <c r="N3" t="s">
        <v>384</v>
      </c>
      <c r="O3">
        <v>14</v>
      </c>
      <c r="P3">
        <v>13</v>
      </c>
      <c r="Q3">
        <v>14</v>
      </c>
      <c r="R3">
        <v>14</v>
      </c>
      <c r="S3">
        <v>8</v>
      </c>
      <c r="T3">
        <f>I20</f>
        <v>7</v>
      </c>
    </row>
    <row r="4" spans="1:20" x14ac:dyDescent="0.25">
      <c r="A4" s="24" t="s">
        <v>385</v>
      </c>
      <c r="B4" s="53" t="s">
        <v>381</v>
      </c>
      <c r="C4" s="24">
        <v>0.18</v>
      </c>
      <c r="D4" s="25">
        <v>1</v>
      </c>
      <c r="E4" s="25">
        <v>2</v>
      </c>
      <c r="F4" s="25"/>
      <c r="G4" s="24"/>
      <c r="H4" s="24"/>
      <c r="I4" s="24"/>
      <c r="J4" s="51"/>
      <c r="K4" s="51"/>
      <c r="L4" s="51"/>
    </row>
    <row r="5" spans="1:20" x14ac:dyDescent="0.25">
      <c r="A5" s="24" t="s">
        <v>386</v>
      </c>
      <c r="B5" s="53" t="s">
        <v>381</v>
      </c>
      <c r="C5" s="24">
        <v>0.5</v>
      </c>
      <c r="D5" s="25">
        <v>215</v>
      </c>
      <c r="E5" s="25"/>
      <c r="F5" s="25"/>
      <c r="G5" s="24"/>
      <c r="H5" s="24"/>
      <c r="I5" s="24"/>
      <c r="J5" s="51"/>
      <c r="K5" s="51"/>
      <c r="L5" s="51"/>
    </row>
    <row r="6" spans="1:20" x14ac:dyDescent="0.25">
      <c r="A6" s="24" t="s">
        <v>387</v>
      </c>
      <c r="B6" s="53" t="s">
        <v>381</v>
      </c>
      <c r="C6" s="24">
        <v>0.02</v>
      </c>
      <c r="D6" s="25">
        <v>3</v>
      </c>
      <c r="E6" s="25">
        <v>3</v>
      </c>
      <c r="F6" s="25">
        <v>4</v>
      </c>
      <c r="G6" s="24">
        <v>3</v>
      </c>
      <c r="H6" s="24"/>
      <c r="I6" s="24"/>
      <c r="J6" s="51"/>
      <c r="K6" s="51"/>
      <c r="L6" s="51"/>
    </row>
    <row r="7" spans="1:20" x14ac:dyDescent="0.25">
      <c r="A7" s="24" t="s">
        <v>388</v>
      </c>
      <c r="B7" s="53" t="s">
        <v>381</v>
      </c>
      <c r="C7" s="24">
        <v>1.36</v>
      </c>
      <c r="D7" s="25">
        <v>35</v>
      </c>
      <c r="E7" s="25">
        <v>78</v>
      </c>
      <c r="F7" s="25">
        <v>36</v>
      </c>
      <c r="G7" s="24">
        <v>84</v>
      </c>
      <c r="H7" s="24">
        <v>62</v>
      </c>
      <c r="I7" s="24">
        <v>70</v>
      </c>
      <c r="J7" s="51"/>
      <c r="K7" s="51"/>
      <c r="L7" s="51"/>
    </row>
    <row r="8" spans="1:20" x14ac:dyDescent="0.25">
      <c r="A8" s="24" t="s">
        <v>389</v>
      </c>
      <c r="B8" s="53" t="s">
        <v>381</v>
      </c>
      <c r="C8" s="24">
        <v>0.16</v>
      </c>
      <c r="D8" s="25">
        <v>7</v>
      </c>
      <c r="E8" s="25">
        <v>5</v>
      </c>
      <c r="F8" s="25">
        <v>9</v>
      </c>
      <c r="G8" s="24">
        <v>1</v>
      </c>
      <c r="H8" s="24"/>
      <c r="I8" s="24"/>
      <c r="J8" s="51"/>
      <c r="K8" s="51"/>
      <c r="L8" s="51"/>
    </row>
    <row r="9" spans="1:20" x14ac:dyDescent="0.25">
      <c r="A9" s="24" t="s">
        <v>390</v>
      </c>
      <c r="B9" s="53" t="s">
        <v>381</v>
      </c>
      <c r="C9" s="24">
        <v>0.16</v>
      </c>
      <c r="D9" s="25">
        <v>19</v>
      </c>
      <c r="E9" s="25">
        <v>39</v>
      </c>
      <c r="F9" s="25">
        <v>119</v>
      </c>
      <c r="G9" s="24">
        <v>33</v>
      </c>
      <c r="H9" s="24">
        <v>68</v>
      </c>
      <c r="I9" s="24">
        <v>43</v>
      </c>
      <c r="J9" s="51"/>
      <c r="K9" s="51"/>
      <c r="L9" s="51"/>
    </row>
    <row r="10" spans="1:20" x14ac:dyDescent="0.25">
      <c r="A10" s="24" t="s">
        <v>391</v>
      </c>
      <c r="B10" s="53" t="s">
        <v>381</v>
      </c>
      <c r="C10" s="24">
        <v>0.17199999999999999</v>
      </c>
      <c r="D10" s="25">
        <v>79</v>
      </c>
      <c r="E10" s="25">
        <v>91</v>
      </c>
      <c r="F10" s="25">
        <v>106</v>
      </c>
      <c r="G10" s="24">
        <v>107</v>
      </c>
      <c r="H10" s="24">
        <v>26</v>
      </c>
      <c r="I10" s="24">
        <v>109</v>
      </c>
      <c r="J10" s="51"/>
      <c r="K10" s="51"/>
      <c r="L10" s="51"/>
    </row>
    <row r="11" spans="1:20" x14ac:dyDescent="0.25">
      <c r="A11" s="24" t="s">
        <v>392</v>
      </c>
      <c r="B11" s="53" t="s">
        <v>381</v>
      </c>
      <c r="C11" s="24">
        <v>0.28000000000000003</v>
      </c>
      <c r="D11" s="25">
        <v>9</v>
      </c>
      <c r="E11" s="25">
        <v>3</v>
      </c>
      <c r="F11" s="25">
        <v>16</v>
      </c>
      <c r="G11" s="24">
        <v>2</v>
      </c>
      <c r="H11" s="24">
        <v>1</v>
      </c>
      <c r="I11" s="24">
        <v>1</v>
      </c>
      <c r="J11" s="51"/>
      <c r="K11" s="51"/>
      <c r="L11" s="51"/>
    </row>
    <row r="12" spans="1:20" x14ac:dyDescent="0.25">
      <c r="A12" s="24" t="s">
        <v>393</v>
      </c>
      <c r="B12" s="53" t="s">
        <v>381</v>
      </c>
      <c r="C12" s="24">
        <v>3</v>
      </c>
      <c r="D12" s="25">
        <v>66</v>
      </c>
      <c r="E12" s="25">
        <v>60</v>
      </c>
      <c r="F12" s="25">
        <v>41</v>
      </c>
      <c r="G12" s="24">
        <v>122</v>
      </c>
      <c r="H12" s="24">
        <v>81</v>
      </c>
      <c r="I12" s="24">
        <v>45</v>
      </c>
      <c r="J12" s="51"/>
      <c r="K12" s="51"/>
      <c r="L12" s="51"/>
    </row>
    <row r="13" spans="1:20" x14ac:dyDescent="0.25">
      <c r="A13" s="24" t="s">
        <v>394</v>
      </c>
      <c r="B13" s="53" t="s">
        <v>381</v>
      </c>
      <c r="C13" s="24">
        <v>0.18</v>
      </c>
      <c r="D13" s="25"/>
      <c r="E13" s="25"/>
      <c r="F13" s="25"/>
      <c r="G13" s="24">
        <v>1</v>
      </c>
      <c r="H13" s="24"/>
      <c r="I13" s="24"/>
      <c r="J13" s="51"/>
      <c r="K13" s="51"/>
      <c r="L13" s="51"/>
    </row>
    <row r="14" spans="1:20" x14ac:dyDescent="0.25">
      <c r="A14" s="24" t="s">
        <v>395</v>
      </c>
      <c r="B14" s="53" t="s">
        <v>381</v>
      </c>
      <c r="C14" s="24">
        <v>4.3999999999999997E-2</v>
      </c>
      <c r="D14" s="25"/>
      <c r="E14" s="25"/>
      <c r="F14" s="25"/>
      <c r="G14" s="24"/>
      <c r="H14" s="24"/>
      <c r="I14" s="24"/>
      <c r="J14" s="51"/>
      <c r="K14" s="51"/>
      <c r="L14" s="51"/>
    </row>
    <row r="15" spans="1:20" x14ac:dyDescent="0.25">
      <c r="A15" s="24" t="s">
        <v>396</v>
      </c>
      <c r="B15" s="53" t="s">
        <v>381</v>
      </c>
      <c r="C15" s="24">
        <v>7.1999999999999995E-2</v>
      </c>
      <c r="D15" s="25">
        <v>176</v>
      </c>
      <c r="E15" s="25">
        <v>185</v>
      </c>
      <c r="F15" s="25">
        <v>174</v>
      </c>
      <c r="G15" s="24">
        <v>189</v>
      </c>
      <c r="H15" s="24">
        <v>73</v>
      </c>
      <c r="I15" s="24">
        <v>87</v>
      </c>
      <c r="J15" s="51"/>
      <c r="K15" s="51"/>
      <c r="L15" s="51"/>
    </row>
    <row r="16" spans="1:20" x14ac:dyDescent="0.25">
      <c r="A16" s="24" t="s">
        <v>397</v>
      </c>
      <c r="B16" s="53" t="s">
        <v>381</v>
      </c>
      <c r="C16" s="24">
        <v>0.56000000000000005</v>
      </c>
      <c r="D16" s="25">
        <v>1273</v>
      </c>
      <c r="E16" s="25"/>
      <c r="F16" s="25"/>
      <c r="G16" s="24"/>
      <c r="H16" s="24"/>
      <c r="I16" s="24"/>
      <c r="J16" s="51"/>
      <c r="K16" s="51"/>
      <c r="L16" s="51"/>
    </row>
    <row r="17" spans="1:21" x14ac:dyDescent="0.25">
      <c r="A17" s="24" t="s">
        <v>398</v>
      </c>
      <c r="B17" s="53" t="s">
        <v>381</v>
      </c>
      <c r="C17" s="24">
        <v>0.8</v>
      </c>
      <c r="D17" s="25">
        <v>657</v>
      </c>
      <c r="E17" s="25">
        <v>250</v>
      </c>
      <c r="F17" s="25">
        <v>217</v>
      </c>
      <c r="G17" s="24">
        <v>308</v>
      </c>
      <c r="H17" s="24">
        <v>95</v>
      </c>
      <c r="I17" s="24">
        <v>120</v>
      </c>
      <c r="J17" s="51"/>
      <c r="K17" s="51"/>
      <c r="L17" s="51"/>
    </row>
    <row r="18" spans="1:21" x14ac:dyDescent="0.25">
      <c r="A18" s="21" t="s">
        <v>399</v>
      </c>
      <c r="B18" s="26"/>
      <c r="C18" s="26"/>
      <c r="D18" s="21">
        <f>SUM(D2:D9,D10:D13,D14:D15,D16:D17)</f>
        <v>2540</v>
      </c>
      <c r="E18" s="21">
        <f>SUM(E2:E17)</f>
        <v>716</v>
      </c>
      <c r="F18" s="21">
        <f>SUM(F2:F17)</f>
        <v>723</v>
      </c>
      <c r="G18" s="21">
        <f>SUM(G2:G17)</f>
        <v>852</v>
      </c>
      <c r="H18" s="21">
        <f>SUM(H2:H17)</f>
        <v>406</v>
      </c>
      <c r="I18" s="21">
        <f>SUM(I2:I17)</f>
        <v>475</v>
      </c>
      <c r="J18" s="52"/>
      <c r="K18" s="52"/>
      <c r="L18" s="52"/>
      <c r="M18" s="19"/>
      <c r="N18" s="19"/>
      <c r="O18" s="19"/>
      <c r="P18" s="19"/>
      <c r="Q18" s="19"/>
      <c r="R18" s="19"/>
      <c r="S18" s="19"/>
      <c r="T18" s="19"/>
      <c r="U18" s="19"/>
    </row>
    <row r="19" spans="1:21" x14ac:dyDescent="0.25">
      <c r="A19" s="21" t="s">
        <v>2605</v>
      </c>
      <c r="B19" s="26"/>
      <c r="C19" s="26"/>
      <c r="D19" s="21">
        <f t="shared" ref="D19:I19" si="0">SUMPRODUCT(D2:D17,$C$2:$C$17)</f>
        <v>1624.7600000000002</v>
      </c>
      <c r="E19" s="21">
        <f t="shared" si="0"/>
        <v>523.35200000000009</v>
      </c>
      <c r="F19" s="21">
        <f t="shared" si="0"/>
        <v>401.42</v>
      </c>
      <c r="G19" s="21">
        <f t="shared" si="0"/>
        <v>765.01199999999994</v>
      </c>
      <c r="H19" s="21">
        <f t="shared" si="0"/>
        <v>424.20799999999997</v>
      </c>
      <c r="I19" s="21">
        <f t="shared" si="0"/>
        <v>358.37200000000001</v>
      </c>
      <c r="J19" s="52"/>
      <c r="K19" s="52"/>
      <c r="L19" s="52"/>
      <c r="M19" s="19"/>
      <c r="N19" s="19"/>
      <c r="O19" s="19"/>
      <c r="P19" s="19"/>
      <c r="Q19" s="19"/>
      <c r="R19" s="19"/>
      <c r="S19" s="19"/>
      <c r="T19" s="19"/>
      <c r="U19" s="19"/>
    </row>
    <row r="20" spans="1:21" x14ac:dyDescent="0.25">
      <c r="A20" s="21" t="s">
        <v>400</v>
      </c>
      <c r="B20" s="26"/>
      <c r="C20" s="26"/>
      <c r="D20" s="21">
        <f t="shared" ref="D20:I20" si="1">COUNT(D2:D17)</f>
        <v>12</v>
      </c>
      <c r="E20" s="21">
        <f t="shared" si="1"/>
        <v>10</v>
      </c>
      <c r="F20" s="21">
        <f t="shared" si="1"/>
        <v>10</v>
      </c>
      <c r="G20" s="21">
        <f t="shared" si="1"/>
        <v>11</v>
      </c>
      <c r="H20" s="21">
        <f t="shared" si="1"/>
        <v>7</v>
      </c>
      <c r="I20" s="21">
        <f t="shared" si="1"/>
        <v>7</v>
      </c>
      <c r="J20" s="52"/>
      <c r="K20" s="52"/>
      <c r="L20" s="52"/>
      <c r="M20" s="19"/>
      <c r="N20" s="19"/>
      <c r="O20" s="19"/>
      <c r="P20" s="19"/>
      <c r="Q20" s="19"/>
      <c r="R20" s="19"/>
      <c r="S20" s="19"/>
      <c r="T20" s="19"/>
      <c r="U20" s="19"/>
    </row>
    <row r="22" spans="1:21" x14ac:dyDescent="0.25">
      <c r="D22" s="55">
        <f>D19/13300</f>
        <v>0.12216240601503761</v>
      </c>
      <c r="E22" s="55">
        <f t="shared" ref="E22:I22" si="2">E19/13300</f>
        <v>3.934977443609023E-2</v>
      </c>
      <c r="F22" s="55">
        <f t="shared" si="2"/>
        <v>3.0181954887218046E-2</v>
      </c>
      <c r="G22" s="55">
        <f t="shared" si="2"/>
        <v>5.7519699248120296E-2</v>
      </c>
      <c r="H22" s="55">
        <f t="shared" si="2"/>
        <v>3.1895338345864659E-2</v>
      </c>
      <c r="I22" s="55">
        <f t="shared" si="2"/>
        <v>2.6945263157894739E-2</v>
      </c>
    </row>
    <row r="24" spans="1:21" x14ac:dyDescent="0.25">
      <c r="A24" t="s">
        <v>401</v>
      </c>
      <c r="D24">
        <v>1.7</v>
      </c>
      <c r="E24">
        <f>D24</f>
        <v>1.7</v>
      </c>
      <c r="F24">
        <f t="shared" ref="F24:I24" si="3">E24</f>
        <v>1.7</v>
      </c>
      <c r="G24">
        <f t="shared" si="3"/>
        <v>1.7</v>
      </c>
      <c r="H24">
        <f t="shared" si="3"/>
        <v>1.7</v>
      </c>
      <c r="I24">
        <f t="shared" si="3"/>
        <v>1.7</v>
      </c>
    </row>
    <row r="26" spans="1:21" x14ac:dyDescent="0.25">
      <c r="D26">
        <f>D22*D24</f>
        <v>0.20767609022556394</v>
      </c>
      <c r="E26">
        <f t="shared" ref="E26:I26" si="4">E22*E24</f>
        <v>6.6894616541353397E-2</v>
      </c>
      <c r="F26">
        <f t="shared" si="4"/>
        <v>5.1309323308270677E-2</v>
      </c>
      <c r="G26">
        <f t="shared" si="4"/>
        <v>9.7783488721804507E-2</v>
      </c>
      <c r="H26">
        <f t="shared" si="4"/>
        <v>5.4222075187969919E-2</v>
      </c>
      <c r="I26">
        <f t="shared" si="4"/>
        <v>4.5806947368421058E-2</v>
      </c>
      <c r="N26" t="s">
        <v>402</v>
      </c>
      <c r="O26">
        <f>AVERAGE(D26:I26)</f>
        <v>8.7282090225563921E-2</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3ED3-05B3-4C74-A4B5-B6D7BDAB593D}">
  <dimension ref="A1:E8"/>
  <sheetViews>
    <sheetView workbookViewId="0">
      <selection activeCell="B2" sqref="B2"/>
    </sheetView>
  </sheetViews>
  <sheetFormatPr defaultRowHeight="15" x14ac:dyDescent="0.25"/>
  <cols>
    <col min="2" max="2" width="11.5703125" customWidth="1"/>
    <col min="3" max="3" width="9.7109375" customWidth="1"/>
  </cols>
  <sheetData>
    <row r="1" spans="1:5" x14ac:dyDescent="0.25">
      <c r="B1" t="s">
        <v>1561</v>
      </c>
      <c r="C1" t="s">
        <v>1562</v>
      </c>
      <c r="D1" t="s">
        <v>1563</v>
      </c>
      <c r="E1" t="s">
        <v>1564</v>
      </c>
    </row>
    <row r="2" spans="1:5" x14ac:dyDescent="0.25">
      <c r="A2">
        <v>2019</v>
      </c>
      <c r="B2" s="32">
        <f t="shared" ref="B2:B3" si="0">AVERAGE($B$5:$B$7)</f>
        <v>0.114114111946533</v>
      </c>
      <c r="C2">
        <v>0.5</v>
      </c>
      <c r="D2">
        <v>0</v>
      </c>
      <c r="E2" s="32">
        <f>SUM(B2:D2)</f>
        <v>0.61411411194653298</v>
      </c>
    </row>
    <row r="3" spans="1:5" x14ac:dyDescent="0.25">
      <c r="A3">
        <v>2020</v>
      </c>
      <c r="B3" s="32">
        <f t="shared" si="0"/>
        <v>0.114114111946533</v>
      </c>
      <c r="C3">
        <v>0.5</v>
      </c>
      <c r="D3">
        <v>0</v>
      </c>
      <c r="E3" s="32">
        <f t="shared" ref="E3:E8" si="1">SUM(B3:D3)</f>
        <v>0.61411411194653298</v>
      </c>
    </row>
    <row r="4" spans="1:5" x14ac:dyDescent="0.25">
      <c r="A4">
        <v>2021</v>
      </c>
      <c r="B4" s="32">
        <f>AVERAGE($B$5:$B$7)</f>
        <v>0.114114111946533</v>
      </c>
      <c r="C4">
        <v>0.5</v>
      </c>
      <c r="D4">
        <v>0</v>
      </c>
      <c r="E4" s="32">
        <f t="shared" si="1"/>
        <v>0.61411411194653298</v>
      </c>
    </row>
    <row r="5" spans="1:5" x14ac:dyDescent="0.25">
      <c r="A5">
        <v>2022</v>
      </c>
      <c r="B5" s="32">
        <f>Wild_herbivores!D26</f>
        <v>0.20767609022556394</v>
      </c>
      <c r="C5">
        <v>0.5</v>
      </c>
      <c r="D5">
        <v>5</v>
      </c>
      <c r="E5" s="32">
        <f t="shared" si="1"/>
        <v>5.7076760902255641</v>
      </c>
    </row>
    <row r="6" spans="1:5" x14ac:dyDescent="0.25">
      <c r="A6">
        <v>2023</v>
      </c>
      <c r="B6" s="32">
        <f>AVERAGE(Wild_herbivores!E26,Wild_herbivores!E26)</f>
        <v>6.6894616541353397E-2</v>
      </c>
      <c r="C6">
        <v>0.5</v>
      </c>
      <c r="D6">
        <v>0</v>
      </c>
      <c r="E6" s="32">
        <f t="shared" si="1"/>
        <v>0.56689461654135342</v>
      </c>
    </row>
    <row r="7" spans="1:5" x14ac:dyDescent="0.25">
      <c r="A7">
        <v>2024</v>
      </c>
      <c r="B7" s="32">
        <f>AVERAGE(Wild_herbivores!F26,Wild_herbivores!G26,Wild_herbivores!H26)</f>
        <v>6.7771629072681708E-2</v>
      </c>
      <c r="C7">
        <v>0.5</v>
      </c>
      <c r="D7">
        <v>0</v>
      </c>
      <c r="E7" s="32">
        <f t="shared" si="1"/>
        <v>0.56777162907268175</v>
      </c>
    </row>
    <row r="8" spans="1:5" x14ac:dyDescent="0.25">
      <c r="A8">
        <v>2025</v>
      </c>
      <c r="B8" s="32">
        <f>AVERAGE(B5:B7)</f>
        <v>0.114114111946533</v>
      </c>
      <c r="C8">
        <v>0.5</v>
      </c>
      <c r="D8">
        <v>0</v>
      </c>
      <c r="E8" s="32">
        <f t="shared" si="1"/>
        <v>0.61411411194653298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07133-DC5E-4F1D-997E-E2B13D21ED99}">
  <sheetPr codeName="Sheet3"/>
  <dimension ref="A1:E19"/>
  <sheetViews>
    <sheetView workbookViewId="0">
      <selection activeCell="A8" sqref="A8"/>
    </sheetView>
  </sheetViews>
  <sheetFormatPr defaultRowHeight="15" x14ac:dyDescent="0.25"/>
  <sheetData>
    <row r="1" spans="1:5" x14ac:dyDescent="0.25">
      <c r="E1" t="s">
        <v>1188</v>
      </c>
    </row>
    <row r="2" spans="1:5" x14ac:dyDescent="0.25">
      <c r="B2" t="s">
        <v>31</v>
      </c>
      <c r="C2">
        <v>1</v>
      </c>
    </row>
    <row r="3" spans="1:5" x14ac:dyDescent="0.25">
      <c r="B3" t="s">
        <v>32</v>
      </c>
      <c r="C3">
        <v>0.05</v>
      </c>
    </row>
    <row r="4" spans="1:5" x14ac:dyDescent="0.25">
      <c r="B4" t="s">
        <v>33</v>
      </c>
      <c r="C4">
        <v>0.1</v>
      </c>
    </row>
    <row r="7" spans="1:5" x14ac:dyDescent="0.25">
      <c r="B7" t="s">
        <v>1179</v>
      </c>
    </row>
    <row r="12" spans="1:5" x14ac:dyDescent="0.25">
      <c r="A12" t="s">
        <v>1187</v>
      </c>
      <c r="B12" t="s">
        <v>1180</v>
      </c>
    </row>
    <row r="13" spans="1:5" x14ac:dyDescent="0.25">
      <c r="B13" t="s">
        <v>371</v>
      </c>
      <c r="E13" t="s">
        <v>1189</v>
      </c>
    </row>
    <row r="15" spans="1:5" x14ac:dyDescent="0.25">
      <c r="A15" t="s">
        <v>1186</v>
      </c>
      <c r="B15" t="s">
        <v>1182</v>
      </c>
    </row>
    <row r="16" spans="1:5" x14ac:dyDescent="0.25">
      <c r="B16" t="s">
        <v>1181</v>
      </c>
    </row>
    <row r="18" spans="1:2" x14ac:dyDescent="0.25">
      <c r="A18" t="s">
        <v>1185</v>
      </c>
      <c r="B18" t="s">
        <v>1183</v>
      </c>
    </row>
    <row r="19" spans="1:2" x14ac:dyDescent="0.25">
      <c r="B19" t="s">
        <v>1184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71132-B441-46C5-90BD-02D0E34138A5}">
  <sheetPr codeName="Sheet1"/>
  <dimension ref="A1:R100"/>
  <sheetViews>
    <sheetView workbookViewId="0">
      <pane xSplit="3" ySplit="1" topLeftCell="D50" activePane="bottomRight" state="frozen"/>
      <selection pane="topRight" activeCell="D1" sqref="D1"/>
      <selection pane="bottomLeft" activeCell="A2" sqref="A2"/>
      <selection pane="bottomRight" activeCell="I33" sqref="I33"/>
    </sheetView>
  </sheetViews>
  <sheetFormatPr defaultRowHeight="15" x14ac:dyDescent="0.25"/>
  <cols>
    <col min="2" max="2" width="21.42578125" customWidth="1"/>
    <col min="3" max="3" width="8.85546875" customWidth="1"/>
    <col min="4" max="4" width="61.140625" customWidth="1"/>
    <col min="5" max="5" width="15.140625" customWidth="1"/>
    <col min="6" max="6" width="20.5703125" customWidth="1"/>
  </cols>
  <sheetData>
    <row r="1" spans="1:12" x14ac:dyDescent="0.25">
      <c r="A1" t="s">
        <v>25</v>
      </c>
      <c r="B1" t="s">
        <v>362</v>
      </c>
      <c r="C1" t="s">
        <v>26</v>
      </c>
      <c r="E1" t="s">
        <v>370</v>
      </c>
      <c r="F1" t="s">
        <v>364</v>
      </c>
      <c r="G1" t="s">
        <v>1169</v>
      </c>
      <c r="I1" t="s">
        <v>1196</v>
      </c>
      <c r="L1" t="s">
        <v>1197</v>
      </c>
    </row>
    <row r="2" spans="1:12" x14ac:dyDescent="0.25">
      <c r="A2">
        <v>1</v>
      </c>
      <c r="B2" t="s">
        <v>0</v>
      </c>
      <c r="E2" s="1" t="s">
        <v>1</v>
      </c>
      <c r="I2">
        <f>F2</f>
        <v>0</v>
      </c>
    </row>
    <row r="3" spans="1:12" x14ac:dyDescent="0.25">
      <c r="A3">
        <v>2</v>
      </c>
      <c r="I3">
        <f t="shared" ref="I3:I61" si="0">F3</f>
        <v>0</v>
      </c>
    </row>
    <row r="4" spans="1:12" x14ac:dyDescent="0.25">
      <c r="A4">
        <v>3</v>
      </c>
      <c r="I4">
        <f t="shared" si="0"/>
        <v>0</v>
      </c>
    </row>
    <row r="5" spans="1:12" x14ac:dyDescent="0.25">
      <c r="A5">
        <v>4</v>
      </c>
      <c r="B5" t="s">
        <v>2</v>
      </c>
      <c r="E5" s="1" t="s">
        <v>1</v>
      </c>
      <c r="I5">
        <f t="shared" si="0"/>
        <v>0</v>
      </c>
    </row>
    <row r="6" spans="1:12" x14ac:dyDescent="0.25">
      <c r="A6">
        <v>5</v>
      </c>
      <c r="B6" t="s">
        <v>3</v>
      </c>
      <c r="E6" s="1" t="s">
        <v>4</v>
      </c>
      <c r="I6">
        <f t="shared" si="0"/>
        <v>0</v>
      </c>
    </row>
    <row r="7" spans="1:12" x14ac:dyDescent="0.25">
      <c r="A7">
        <v>6</v>
      </c>
      <c r="I7">
        <f t="shared" si="0"/>
        <v>0</v>
      </c>
    </row>
    <row r="8" spans="1:12" x14ac:dyDescent="0.25">
      <c r="A8">
        <v>7</v>
      </c>
      <c r="B8" t="s">
        <v>5</v>
      </c>
      <c r="E8" s="1" t="s">
        <v>1</v>
      </c>
      <c r="I8">
        <f t="shared" si="0"/>
        <v>0</v>
      </c>
    </row>
    <row r="9" spans="1:12" x14ac:dyDescent="0.25">
      <c r="A9">
        <v>8</v>
      </c>
      <c r="B9" t="s">
        <v>6</v>
      </c>
      <c r="E9" s="1" t="s">
        <v>4</v>
      </c>
      <c r="I9">
        <f t="shared" si="0"/>
        <v>0</v>
      </c>
    </row>
    <row r="10" spans="1:12" x14ac:dyDescent="0.25">
      <c r="E10" s="1"/>
    </row>
    <row r="11" spans="1:12" x14ac:dyDescent="0.25">
      <c r="B11" t="s">
        <v>900</v>
      </c>
      <c r="E11" s="1"/>
    </row>
    <row r="12" spans="1:12" x14ac:dyDescent="0.25">
      <c r="E12" s="1"/>
    </row>
    <row r="13" spans="1:12" x14ac:dyDescent="0.25">
      <c r="B13" t="s">
        <v>901</v>
      </c>
      <c r="E13" s="1">
        <v>77900</v>
      </c>
      <c r="F13">
        <v>60650</v>
      </c>
    </row>
    <row r="14" spans="1:12" x14ac:dyDescent="0.25">
      <c r="B14" t="s">
        <v>902</v>
      </c>
      <c r="E14" s="1">
        <v>64200</v>
      </c>
      <c r="F14">
        <v>80990</v>
      </c>
    </row>
    <row r="15" spans="1:12" x14ac:dyDescent="0.25">
      <c r="E15" s="1"/>
    </row>
    <row r="16" spans="1:12" x14ac:dyDescent="0.25">
      <c r="E16" s="1"/>
    </row>
    <row r="17" spans="2:9" x14ac:dyDescent="0.25">
      <c r="E17" s="1"/>
    </row>
    <row r="18" spans="2:9" x14ac:dyDescent="0.25">
      <c r="E18" s="1"/>
    </row>
    <row r="19" spans="2:9" x14ac:dyDescent="0.25">
      <c r="B19" t="s">
        <v>1175</v>
      </c>
      <c r="D19" t="s">
        <v>1176</v>
      </c>
      <c r="E19" s="1"/>
      <c r="I19">
        <v>0.8</v>
      </c>
    </row>
    <row r="20" spans="2:9" x14ac:dyDescent="0.25">
      <c r="B20" t="s">
        <v>1177</v>
      </c>
      <c r="D20" t="s">
        <v>1178</v>
      </c>
      <c r="E20" s="1"/>
      <c r="I20">
        <v>179</v>
      </c>
    </row>
    <row r="21" spans="2:9" x14ac:dyDescent="0.25">
      <c r="E21" s="1"/>
    </row>
    <row r="22" spans="2:9" x14ac:dyDescent="0.25">
      <c r="B22" t="s">
        <v>1190</v>
      </c>
      <c r="E22" s="1"/>
      <c r="I22">
        <v>7.0000000000000007E-2</v>
      </c>
    </row>
    <row r="23" spans="2:9" x14ac:dyDescent="0.25">
      <c r="E23" s="1"/>
    </row>
    <row r="24" spans="2:9" x14ac:dyDescent="0.25">
      <c r="B24" t="s">
        <v>111</v>
      </c>
      <c r="E24" s="1"/>
      <c r="I24">
        <v>0.5</v>
      </c>
    </row>
    <row r="25" spans="2:9" x14ac:dyDescent="0.25">
      <c r="E25" s="1"/>
    </row>
    <row r="26" spans="2:9" x14ac:dyDescent="0.25">
      <c r="B26" s="19" t="s">
        <v>1191</v>
      </c>
      <c r="E26" s="1"/>
    </row>
    <row r="27" spans="2:9" x14ac:dyDescent="0.25">
      <c r="B27" t="s">
        <v>1192</v>
      </c>
      <c r="D27" t="s">
        <v>1193</v>
      </c>
      <c r="E27" s="1"/>
      <c r="I27">
        <v>2.25</v>
      </c>
    </row>
    <row r="28" spans="2:9" x14ac:dyDescent="0.25">
      <c r="B28" t="s">
        <v>1194</v>
      </c>
      <c r="E28" s="1"/>
      <c r="I28">
        <v>2</v>
      </c>
    </row>
    <row r="29" spans="2:9" x14ac:dyDescent="0.25">
      <c r="B29" t="s">
        <v>1195</v>
      </c>
      <c r="E29" s="1"/>
      <c r="I29">
        <v>25</v>
      </c>
    </row>
    <row r="30" spans="2:9" x14ac:dyDescent="0.25">
      <c r="E30" s="1"/>
    </row>
    <row r="31" spans="2:9" x14ac:dyDescent="0.25">
      <c r="E31" s="1"/>
      <c r="I31">
        <f t="shared" si="0"/>
        <v>0</v>
      </c>
    </row>
    <row r="32" spans="2:9" x14ac:dyDescent="0.25">
      <c r="B32" s="19" t="s">
        <v>365</v>
      </c>
      <c r="I32">
        <f>F33</f>
        <v>375</v>
      </c>
    </row>
    <row r="33" spans="2:12" x14ac:dyDescent="0.25">
      <c r="B33" t="s">
        <v>371</v>
      </c>
      <c r="D33" t="s">
        <v>376</v>
      </c>
      <c r="E33" s="1">
        <v>230</v>
      </c>
      <c r="F33">
        <v>375</v>
      </c>
      <c r="G33">
        <v>230</v>
      </c>
      <c r="I33">
        <v>600</v>
      </c>
    </row>
    <row r="34" spans="2:12" x14ac:dyDescent="0.25">
      <c r="B34" t="s">
        <v>372</v>
      </c>
      <c r="D34" t="s">
        <v>377</v>
      </c>
      <c r="E34" s="1">
        <v>230</v>
      </c>
      <c r="F34">
        <v>2.66</v>
      </c>
      <c r="G34">
        <v>10.4</v>
      </c>
      <c r="I34">
        <v>300</v>
      </c>
    </row>
    <row r="35" spans="2:12" x14ac:dyDescent="0.25">
      <c r="B35" s="19"/>
      <c r="E35" s="1"/>
      <c r="I35">
        <f t="shared" si="0"/>
        <v>0</v>
      </c>
    </row>
    <row r="36" spans="2:12" x14ac:dyDescent="0.25">
      <c r="E36" s="1"/>
      <c r="I36">
        <f t="shared" si="0"/>
        <v>0</v>
      </c>
    </row>
    <row r="37" spans="2:12" x14ac:dyDescent="0.25">
      <c r="B37" t="s">
        <v>373</v>
      </c>
      <c r="E37" s="1">
        <v>4</v>
      </c>
      <c r="F37">
        <v>10.4</v>
      </c>
      <c r="I37">
        <f t="shared" si="0"/>
        <v>10.4</v>
      </c>
    </row>
    <row r="38" spans="2:12" x14ac:dyDescent="0.25">
      <c r="B38" s="19"/>
      <c r="E38" s="1"/>
      <c r="I38">
        <f t="shared" si="0"/>
        <v>0</v>
      </c>
    </row>
    <row r="39" spans="2:12" x14ac:dyDescent="0.25">
      <c r="B39" t="s">
        <v>375</v>
      </c>
      <c r="E39" s="1">
        <f>0.35/1000</f>
        <v>3.5E-4</v>
      </c>
      <c r="F39">
        <f>0.0005</f>
        <v>5.0000000000000001E-4</v>
      </c>
      <c r="I39">
        <f>F39</f>
        <v>5.0000000000000001E-4</v>
      </c>
    </row>
    <row r="40" spans="2:12" x14ac:dyDescent="0.25">
      <c r="E40" s="1"/>
      <c r="I40">
        <f t="shared" si="0"/>
        <v>0</v>
      </c>
    </row>
    <row r="41" spans="2:12" x14ac:dyDescent="0.25">
      <c r="B41" s="13" t="s">
        <v>368</v>
      </c>
      <c r="D41" t="s">
        <v>1198</v>
      </c>
      <c r="E41" s="1">
        <v>10.6</v>
      </c>
      <c r="F41">
        <v>13.8</v>
      </c>
      <c r="I41">
        <f t="shared" si="0"/>
        <v>13.8</v>
      </c>
      <c r="L41">
        <v>12</v>
      </c>
    </row>
    <row r="42" spans="2:12" x14ac:dyDescent="0.25">
      <c r="B42" s="13" t="s">
        <v>369</v>
      </c>
      <c r="D42" t="s">
        <v>1199</v>
      </c>
      <c r="E42" s="1">
        <v>10.6</v>
      </c>
      <c r="F42">
        <v>13.8</v>
      </c>
      <c r="I42">
        <f t="shared" si="0"/>
        <v>13.8</v>
      </c>
      <c r="L42">
        <v>7</v>
      </c>
    </row>
    <row r="43" spans="2:12" x14ac:dyDescent="0.25">
      <c r="E43" s="1"/>
      <c r="I43">
        <f t="shared" si="0"/>
        <v>0</v>
      </c>
    </row>
    <row r="44" spans="2:12" x14ac:dyDescent="0.25">
      <c r="B44" s="13" t="s">
        <v>366</v>
      </c>
      <c r="C44" t="s">
        <v>1173</v>
      </c>
      <c r="D44" t="s">
        <v>1172</v>
      </c>
      <c r="E44" s="1">
        <v>9</v>
      </c>
      <c r="F44">
        <v>5.3</v>
      </c>
      <c r="I44" s="8">
        <v>5</v>
      </c>
    </row>
    <row r="45" spans="2:12" x14ac:dyDescent="0.25">
      <c r="B45" s="13" t="s">
        <v>367</v>
      </c>
      <c r="E45" s="1">
        <v>9</v>
      </c>
      <c r="F45">
        <v>5.3</v>
      </c>
      <c r="I45" s="8">
        <v>4</v>
      </c>
    </row>
    <row r="46" spans="2:12" x14ac:dyDescent="0.25">
      <c r="E46" s="1"/>
      <c r="I46">
        <f t="shared" si="0"/>
        <v>0</v>
      </c>
    </row>
    <row r="47" spans="2:12" x14ac:dyDescent="0.25">
      <c r="E47" s="1"/>
      <c r="I47">
        <f t="shared" si="0"/>
        <v>0</v>
      </c>
    </row>
    <row r="48" spans="2:12" x14ac:dyDescent="0.25">
      <c r="E48" s="1"/>
      <c r="I48">
        <f t="shared" si="0"/>
        <v>0</v>
      </c>
    </row>
    <row r="49" spans="2:9" x14ac:dyDescent="0.25">
      <c r="E49" s="1"/>
      <c r="I49">
        <f t="shared" si="0"/>
        <v>0</v>
      </c>
    </row>
    <row r="50" spans="2:9" x14ac:dyDescent="0.25">
      <c r="B50" t="s">
        <v>361</v>
      </c>
      <c r="E50" s="1">
        <v>320</v>
      </c>
      <c r="F50">
        <v>300</v>
      </c>
      <c r="I50">
        <f t="shared" si="0"/>
        <v>300</v>
      </c>
    </row>
    <row r="51" spans="2:9" x14ac:dyDescent="0.25">
      <c r="B51" t="s">
        <v>916</v>
      </c>
      <c r="E51" s="1"/>
      <c r="F51">
        <v>0</v>
      </c>
      <c r="I51">
        <v>5</v>
      </c>
    </row>
    <row r="52" spans="2:9" x14ac:dyDescent="0.25">
      <c r="B52" t="s">
        <v>114</v>
      </c>
      <c r="E52">
        <v>3300</v>
      </c>
      <c r="F52">
        <v>100</v>
      </c>
      <c r="I52">
        <f t="shared" si="0"/>
        <v>100</v>
      </c>
    </row>
    <row r="53" spans="2:9" x14ac:dyDescent="0.25">
      <c r="B53" t="s">
        <v>406</v>
      </c>
      <c r="F53">
        <v>2500</v>
      </c>
      <c r="I53">
        <v>1500</v>
      </c>
    </row>
    <row r="54" spans="2:9" x14ac:dyDescent="0.25">
      <c r="B54" t="s">
        <v>407</v>
      </c>
      <c r="F54">
        <v>250</v>
      </c>
      <c r="I54">
        <v>100</v>
      </c>
    </row>
    <row r="57" spans="2:9" x14ac:dyDescent="0.25">
      <c r="B57" t="s">
        <v>112</v>
      </c>
      <c r="E57">
        <v>0.4</v>
      </c>
      <c r="F57">
        <v>0</v>
      </c>
      <c r="I57">
        <f t="shared" si="0"/>
        <v>0</v>
      </c>
    </row>
    <row r="58" spans="2:9" x14ac:dyDescent="0.25">
      <c r="B58" t="s">
        <v>113</v>
      </c>
      <c r="D58" t="s">
        <v>363</v>
      </c>
      <c r="E58">
        <v>0.1</v>
      </c>
      <c r="F58">
        <v>0</v>
      </c>
      <c r="I58" s="20">
        <v>0.65</v>
      </c>
    </row>
    <row r="59" spans="2:9" x14ac:dyDescent="0.25">
      <c r="B59" t="s">
        <v>374</v>
      </c>
      <c r="E59">
        <v>0.4</v>
      </c>
      <c r="F59">
        <v>0.33</v>
      </c>
      <c r="I59">
        <f t="shared" si="0"/>
        <v>0.33</v>
      </c>
    </row>
    <row r="60" spans="2:9" x14ac:dyDescent="0.25">
      <c r="B60" t="s">
        <v>111</v>
      </c>
      <c r="E60">
        <v>0.1</v>
      </c>
      <c r="F60">
        <v>0.11</v>
      </c>
      <c r="I60">
        <f t="shared" si="0"/>
        <v>0.11</v>
      </c>
    </row>
    <row r="61" spans="2:9" x14ac:dyDescent="0.25">
      <c r="B61" t="s">
        <v>109</v>
      </c>
      <c r="D61" t="s">
        <v>1174</v>
      </c>
      <c r="E61">
        <v>80</v>
      </c>
      <c r="F61">
        <v>60</v>
      </c>
      <c r="I61">
        <f t="shared" si="0"/>
        <v>60</v>
      </c>
    </row>
    <row r="62" spans="2:9" x14ac:dyDescent="0.25">
      <c r="B62" t="s">
        <v>110</v>
      </c>
      <c r="E62">
        <v>120</v>
      </c>
      <c r="F62">
        <v>150</v>
      </c>
      <c r="I62" s="20">
        <v>55</v>
      </c>
    </row>
    <row r="79" spans="10:10" x14ac:dyDescent="0.25">
      <c r="J79" t="s">
        <v>28</v>
      </c>
    </row>
    <row r="80" spans="10:10" x14ac:dyDescent="0.25">
      <c r="J80" t="s">
        <v>27</v>
      </c>
    </row>
    <row r="82" spans="10:18" x14ac:dyDescent="0.25">
      <c r="J82" t="s">
        <v>29</v>
      </c>
    </row>
    <row r="87" spans="10:18" x14ac:dyDescent="0.25">
      <c r="J87" t="s">
        <v>76</v>
      </c>
      <c r="L87" t="s">
        <v>96</v>
      </c>
    </row>
    <row r="88" spans="10:18" x14ac:dyDescent="0.25">
      <c r="J88" t="s">
        <v>77</v>
      </c>
      <c r="L88" t="s">
        <v>91</v>
      </c>
      <c r="R88" t="s">
        <v>104</v>
      </c>
    </row>
    <row r="89" spans="10:18" x14ac:dyDescent="0.25">
      <c r="J89" t="s">
        <v>78</v>
      </c>
      <c r="L89" t="s">
        <v>96</v>
      </c>
    </row>
    <row r="90" spans="10:18" x14ac:dyDescent="0.25">
      <c r="J90" t="s">
        <v>79</v>
      </c>
      <c r="L90" t="s">
        <v>91</v>
      </c>
      <c r="R90" t="s">
        <v>105</v>
      </c>
    </row>
    <row r="91" spans="10:18" x14ac:dyDescent="0.25">
      <c r="J91" t="s">
        <v>80</v>
      </c>
      <c r="L91" t="s">
        <v>95</v>
      </c>
      <c r="R91" t="s">
        <v>106</v>
      </c>
    </row>
    <row r="92" spans="10:18" x14ac:dyDescent="0.25">
      <c r="J92" t="s">
        <v>94</v>
      </c>
      <c r="L92" t="s">
        <v>91</v>
      </c>
      <c r="N92" t="s">
        <v>103</v>
      </c>
      <c r="O92" t="s">
        <v>98</v>
      </c>
      <c r="R92" t="s">
        <v>107</v>
      </c>
    </row>
    <row r="93" spans="10:18" x14ac:dyDescent="0.25">
      <c r="J93" t="s">
        <v>81</v>
      </c>
      <c r="L93" t="s">
        <v>93</v>
      </c>
      <c r="R93" t="s">
        <v>108</v>
      </c>
    </row>
    <row r="94" spans="10:18" x14ac:dyDescent="0.25">
      <c r="J94" t="s">
        <v>82</v>
      </c>
      <c r="L94" t="s">
        <v>91</v>
      </c>
      <c r="N94" t="s">
        <v>102</v>
      </c>
      <c r="O94" t="s">
        <v>98</v>
      </c>
    </row>
    <row r="95" spans="10:18" x14ac:dyDescent="0.25">
      <c r="J95" t="s">
        <v>83</v>
      </c>
      <c r="L95" t="s">
        <v>92</v>
      </c>
      <c r="N95" t="s">
        <v>100</v>
      </c>
      <c r="O95" t="s">
        <v>101</v>
      </c>
    </row>
    <row r="96" spans="10:18" x14ac:dyDescent="0.25">
      <c r="J96" t="s">
        <v>84</v>
      </c>
      <c r="L96" t="s">
        <v>91</v>
      </c>
      <c r="N96" t="s">
        <v>99</v>
      </c>
      <c r="O96" t="s">
        <v>98</v>
      </c>
    </row>
    <row r="97" spans="10:15" x14ac:dyDescent="0.25">
      <c r="J97" t="s">
        <v>85</v>
      </c>
      <c r="L97" t="s">
        <v>91</v>
      </c>
      <c r="N97" t="s">
        <v>97</v>
      </c>
      <c r="O97" t="s">
        <v>98</v>
      </c>
    </row>
    <row r="98" spans="10:15" x14ac:dyDescent="0.25">
      <c r="J98" t="s">
        <v>86</v>
      </c>
      <c r="L98" t="s">
        <v>89</v>
      </c>
    </row>
    <row r="99" spans="10:15" x14ac:dyDescent="0.25">
      <c r="J99" t="s">
        <v>87</v>
      </c>
      <c r="L99" t="s">
        <v>90</v>
      </c>
    </row>
    <row r="100" spans="10:15" x14ac:dyDescent="0.25">
      <c r="J100" t="s">
        <v>88</v>
      </c>
      <c r="L100" t="s">
        <v>89</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A4168-F62C-4BE6-828F-906013B8E1CB}">
  <dimension ref="B1:I13"/>
  <sheetViews>
    <sheetView topLeftCell="E1" workbookViewId="0">
      <selection activeCell="F10" sqref="F10"/>
    </sheetView>
  </sheetViews>
  <sheetFormatPr defaultRowHeight="15" x14ac:dyDescent="0.25"/>
  <cols>
    <col min="5" max="6" width="149.5703125" customWidth="1"/>
    <col min="7" max="7" width="12" customWidth="1"/>
  </cols>
  <sheetData>
    <row r="1" spans="2:9" x14ac:dyDescent="0.25">
      <c r="H1" t="s">
        <v>2586</v>
      </c>
      <c r="I1" t="s">
        <v>2591</v>
      </c>
    </row>
    <row r="2" spans="2:9" x14ac:dyDescent="0.25">
      <c r="B2" t="s">
        <v>2583</v>
      </c>
      <c r="D2" t="s">
        <v>2265</v>
      </c>
      <c r="E2" s="50" t="str">
        <f t="shared" ref="E2:E7" si="0">_xlfn.CONCAT("When parameterizing the biogeochemical model Landscape DNDC, what value does the ",B2," parameter take for savannah grasslands periodically grazed by livestock in vertisol soils of the Athi-Kapiti ecosystem in East Africa? The parameter is defined as the ",C2," taking units of  ",D2,"")</f>
        <v>When parameterizing the biogeochemical model Landscape DNDC, what value does the van genuchten parameter parameter take for savannah grasslands periodically grazed by livestock in vertisol soils of the Athi-Kapiti ecosystem in East Africa? The parameter is defined as the  taking units of  unitless</v>
      </c>
      <c r="F2" s="50"/>
      <c r="G2" s="50">
        <v>1.1000000000000001</v>
      </c>
      <c r="H2" t="s">
        <v>2590</v>
      </c>
      <c r="I2" s="27" t="s">
        <v>2592</v>
      </c>
    </row>
    <row r="3" spans="2:9" x14ac:dyDescent="0.25">
      <c r="B3" t="s">
        <v>2593</v>
      </c>
      <c r="D3" t="s">
        <v>2594</v>
      </c>
      <c r="E3" s="50" t="str">
        <f t="shared" si="0"/>
        <v>When parameterizing the biogeochemical model Landscape DNDC, what value does the van genuchten parameter alpha parameter take for savannah grasslands periodically grazed by livestock in vertisol soils of the Athi-Kapiti ecosystem in East Africa? The parameter is defined as the  taking units of  1/m</v>
      </c>
      <c r="F3" s="50"/>
      <c r="G3" s="50">
        <v>1.2</v>
      </c>
      <c r="H3" t="s">
        <v>2596</v>
      </c>
      <c r="I3" s="27"/>
    </row>
    <row r="4" spans="2:9" x14ac:dyDescent="0.25">
      <c r="B4" t="s">
        <v>32</v>
      </c>
      <c r="C4" t="s">
        <v>2584</v>
      </c>
      <c r="D4" t="s">
        <v>2585</v>
      </c>
      <c r="E4" s="50" t="str">
        <f t="shared" si="0"/>
        <v>When parameterizing the biogeochemical model Landscape DNDC, what value does the FRUNOFF parameter take for savannah grasslands periodically grazed by livestock in vertisol soils of the Athi-Kapiti ecosystem in East Africa? The parameter is defined as the Fraction of daily runoff from surface water taking units of  meters per day</v>
      </c>
      <c r="F4" s="50"/>
      <c r="G4" s="50">
        <v>0.6</v>
      </c>
      <c r="H4" t="s">
        <v>2587</v>
      </c>
      <c r="I4" s="27"/>
    </row>
    <row r="5" spans="2:9" x14ac:dyDescent="0.25">
      <c r="B5" t="s">
        <v>33</v>
      </c>
      <c r="C5" t="s">
        <v>2588</v>
      </c>
      <c r="D5" t="s">
        <v>2589</v>
      </c>
      <c r="E5" s="50" t="str">
        <f t="shared" si="0"/>
        <v>When parameterizing the biogeochemical model Landscape DNDC, what value does the FPERCOL parameter take for savannah grasslands periodically grazed by livestock in vertisol soils of the Athi-Kapiti ecosystem in East Africa? The parameter is defined as the Fraction of surface water that goes into runof taking units of  liters water per day</v>
      </c>
      <c r="F5" s="50"/>
      <c r="G5" s="50">
        <v>0.15</v>
      </c>
      <c r="H5" t="s">
        <v>2595</v>
      </c>
    </row>
    <row r="6" spans="2:9" x14ac:dyDescent="0.25">
      <c r="B6" t="s">
        <v>2597</v>
      </c>
      <c r="C6" t="s">
        <v>2600</v>
      </c>
      <c r="D6" t="s">
        <v>2601</v>
      </c>
      <c r="E6" s="50" t="str">
        <f t="shared" si="0"/>
        <v xml:space="preserve">When parameterizing the biogeochemical model Landscape DNDC, what value does the CRACK_DEPTH parameter take for savannah grasslands periodically grazed by livestock in vertisol soils of the Athi-Kapiti ecosystem in East Africa? The parameter is defined as the maximum depth of cracks taking units of  meters   </v>
      </c>
      <c r="G6" s="50">
        <v>0.5</v>
      </c>
      <c r="H6" t="s">
        <v>2602</v>
      </c>
    </row>
    <row r="7" spans="2:9" x14ac:dyDescent="0.25">
      <c r="B7" t="s">
        <v>2598</v>
      </c>
      <c r="C7" t="s">
        <v>2599</v>
      </c>
      <c r="D7" t="s">
        <v>1234</v>
      </c>
      <c r="E7" s="50" t="str">
        <f t="shared" si="0"/>
        <v>When parameterizing the biogeochemical model Landscape DNDC, what value does the CRACK_FRACTION parameter take for savannah grasslands periodically grazed by livestock in vertisol soils of the Athi-Kapiti ecosystem in East Africa? The parameter is defined as the Fraction of water that infiltrates via cracks taking units of  fraction</v>
      </c>
      <c r="G7" s="50">
        <v>0.5</v>
      </c>
      <c r="H7" t="s">
        <v>2603</v>
      </c>
    </row>
    <row r="13" spans="2:9" x14ac:dyDescent="0.25">
      <c r="H13" s="50" t="str">
        <f>_xlfn.CONCAT("When parameterizing the biogeochemical model Landscape DNDC, what value does the ",C13," parameter take for savannah grasslands periodically grazed by livestock in vertisol soils of the Athi-Kapiti ecosystem in East Africa? The parameter is defined as the ",D13," taking units of  ",E13,"")</f>
        <v xml:space="preserve">When parameterizing the biogeochemical model Landscape DNDC, what value does the  parameter take for savannah grasslands periodically grazed by livestock in vertisol soils of the Athi-Kapiti ecosystem in East Africa? The parameter is defined as the  taking units of  </v>
      </c>
    </row>
  </sheetData>
  <hyperlinks>
    <hyperlink ref="I2" r:id="rId1" display="https://doi.org/10.31545/intagr/191380" xr:uid="{C43CDD64-FE5A-42C8-9F4E-18416A4C86A4}"/>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BCFF7-51AA-41CE-B543-7C18B859494A}">
  <dimension ref="A1:I247"/>
  <sheetViews>
    <sheetView workbookViewId="0">
      <pane xSplit="1" ySplit="1" topLeftCell="B2" activePane="bottomRight" state="frozen"/>
      <selection pane="topRight" activeCell="B1" sqref="B1"/>
      <selection pane="bottomLeft" activeCell="A2" sqref="A2"/>
      <selection pane="bottomRight" activeCell="B242" sqref="B242"/>
    </sheetView>
  </sheetViews>
  <sheetFormatPr defaultRowHeight="15" x14ac:dyDescent="0.25"/>
  <cols>
    <col min="2" max="2" width="62.5703125" customWidth="1"/>
    <col min="3" max="3" width="20.28515625" customWidth="1"/>
    <col min="4" max="4" width="60.7109375" customWidth="1"/>
    <col min="6" max="6" width="60.5703125" customWidth="1"/>
  </cols>
  <sheetData>
    <row r="1" spans="1:9" x14ac:dyDescent="0.25">
      <c r="I1" t="s">
        <v>2250</v>
      </c>
    </row>
    <row r="2" spans="1:9" x14ac:dyDescent="0.25">
      <c r="B2" t="s">
        <v>115</v>
      </c>
      <c r="D2" t="s">
        <v>1641</v>
      </c>
      <c r="F2" t="s">
        <v>1887</v>
      </c>
    </row>
    <row r="3" spans="1:9" x14ac:dyDescent="0.25">
      <c r="B3" t="s">
        <v>116</v>
      </c>
      <c r="D3" t="s">
        <v>1642</v>
      </c>
      <c r="F3" t="s">
        <v>1888</v>
      </c>
    </row>
    <row r="4" spans="1:9" x14ac:dyDescent="0.25">
      <c r="B4" t="s">
        <v>1637</v>
      </c>
      <c r="D4" t="s">
        <v>1643</v>
      </c>
      <c r="F4" t="s">
        <v>1889</v>
      </c>
    </row>
    <row r="5" spans="1:9" x14ac:dyDescent="0.25">
      <c r="B5" t="s">
        <v>1638</v>
      </c>
      <c r="D5" t="s">
        <v>1644</v>
      </c>
      <c r="F5" t="s">
        <v>1890</v>
      </c>
      <c r="H5">
        <v>0.75</v>
      </c>
    </row>
    <row r="6" spans="1:9" x14ac:dyDescent="0.25">
      <c r="B6" t="s">
        <v>119</v>
      </c>
      <c r="D6" t="s">
        <v>1645</v>
      </c>
      <c r="F6" t="s">
        <v>1891</v>
      </c>
      <c r="H6">
        <v>0.2</v>
      </c>
    </row>
    <row r="7" spans="1:9" x14ac:dyDescent="0.25">
      <c r="B7" t="s">
        <v>120</v>
      </c>
      <c r="D7" t="s">
        <v>1646</v>
      </c>
      <c r="F7" t="s">
        <v>1892</v>
      </c>
      <c r="H7">
        <v>0.05</v>
      </c>
    </row>
    <row r="8" spans="1:9" x14ac:dyDescent="0.25">
      <c r="B8" t="s">
        <v>121</v>
      </c>
      <c r="D8" t="s">
        <v>1647</v>
      </c>
      <c r="F8" t="s">
        <v>1893</v>
      </c>
    </row>
    <row r="9" spans="1:9" x14ac:dyDescent="0.25">
      <c r="B9" t="s">
        <v>122</v>
      </c>
      <c r="D9" t="s">
        <v>1648</v>
      </c>
      <c r="F9" t="s">
        <v>1894</v>
      </c>
    </row>
    <row r="10" spans="1:9" x14ac:dyDescent="0.25">
      <c r="B10" t="s">
        <v>123</v>
      </c>
      <c r="D10" t="s">
        <v>1649</v>
      </c>
      <c r="F10" t="s">
        <v>1895</v>
      </c>
    </row>
    <row r="11" spans="1:9" x14ac:dyDescent="0.25">
      <c r="B11" t="s">
        <v>1639</v>
      </c>
      <c r="D11" t="s">
        <v>1650</v>
      </c>
      <c r="F11" t="s">
        <v>1896</v>
      </c>
    </row>
    <row r="12" spans="1:9" x14ac:dyDescent="0.25">
      <c r="B12" t="s">
        <v>1640</v>
      </c>
      <c r="D12" t="s">
        <v>1651</v>
      </c>
      <c r="F12" t="s">
        <v>1897</v>
      </c>
    </row>
    <row r="13" spans="1:9" x14ac:dyDescent="0.25">
      <c r="A13" t="s">
        <v>2133</v>
      </c>
      <c r="B13" t="s">
        <v>126</v>
      </c>
      <c r="D13" t="s">
        <v>1652</v>
      </c>
      <c r="E13">
        <v>0</v>
      </c>
      <c r="F13" t="s">
        <v>1898</v>
      </c>
      <c r="G13">
        <v>0</v>
      </c>
      <c r="I13">
        <f>C13*$H$5+E13*$H$6+G13*$H$7</f>
        <v>0</v>
      </c>
    </row>
    <row r="14" spans="1:9" x14ac:dyDescent="0.25">
      <c r="A14" t="s">
        <v>901</v>
      </c>
      <c r="B14" t="s">
        <v>127</v>
      </c>
      <c r="C14" s="20">
        <v>40000</v>
      </c>
      <c r="D14" t="s">
        <v>1653</v>
      </c>
      <c r="E14">
        <v>45000</v>
      </c>
      <c r="F14" t="s">
        <v>1899</v>
      </c>
      <c r="G14">
        <v>77900</v>
      </c>
      <c r="I14">
        <f t="shared" ref="I14:I77" si="0">C14*$H$5+E14*$H$6+G14*$H$7</f>
        <v>42895</v>
      </c>
    </row>
    <row r="15" spans="1:9" x14ac:dyDescent="0.25">
      <c r="A15" t="s">
        <v>902</v>
      </c>
      <c r="B15" t="s">
        <v>128</v>
      </c>
      <c r="C15" s="20">
        <v>36300</v>
      </c>
      <c r="D15" t="s">
        <v>1654</v>
      </c>
      <c r="E15">
        <v>59356</v>
      </c>
      <c r="F15" t="s">
        <v>1900</v>
      </c>
      <c r="G15">
        <v>59356</v>
      </c>
      <c r="I15">
        <f t="shared" si="0"/>
        <v>42064</v>
      </c>
    </row>
    <row r="16" spans="1:9" x14ac:dyDescent="0.25">
      <c r="A16" t="s">
        <v>1555</v>
      </c>
      <c r="B16" t="s">
        <v>129</v>
      </c>
      <c r="C16" s="20">
        <v>70000</v>
      </c>
      <c r="D16" t="s">
        <v>1655</v>
      </c>
      <c r="E16">
        <v>35948</v>
      </c>
      <c r="F16" t="s">
        <v>1901</v>
      </c>
      <c r="G16">
        <v>36000</v>
      </c>
      <c r="I16">
        <f t="shared" si="0"/>
        <v>61489.599999999999</v>
      </c>
    </row>
    <row r="17" spans="1:9" x14ac:dyDescent="0.25">
      <c r="A17" t="s">
        <v>1556</v>
      </c>
      <c r="B17" t="s">
        <v>130</v>
      </c>
      <c r="C17" s="20">
        <v>60000</v>
      </c>
      <c r="D17" t="s">
        <v>1656</v>
      </c>
      <c r="E17">
        <v>66405</v>
      </c>
      <c r="F17" t="s">
        <v>1902</v>
      </c>
      <c r="G17">
        <v>50967</v>
      </c>
      <c r="I17">
        <f t="shared" si="0"/>
        <v>60829.35</v>
      </c>
    </row>
    <row r="18" spans="1:9" x14ac:dyDescent="0.25">
      <c r="A18" t="s">
        <v>1557</v>
      </c>
      <c r="B18" t="s">
        <v>131</v>
      </c>
      <c r="C18">
        <v>65330</v>
      </c>
      <c r="D18" t="s">
        <v>1657</v>
      </c>
      <c r="E18">
        <v>58520</v>
      </c>
      <c r="F18" t="s">
        <v>1903</v>
      </c>
      <c r="G18">
        <v>36000</v>
      </c>
      <c r="I18">
        <f t="shared" si="0"/>
        <v>62501.5</v>
      </c>
    </row>
    <row r="19" spans="1:9" x14ac:dyDescent="0.25">
      <c r="A19" t="s">
        <v>1558</v>
      </c>
      <c r="B19" t="s">
        <v>132</v>
      </c>
      <c r="C19">
        <v>37530</v>
      </c>
      <c r="D19" t="s">
        <v>1658</v>
      </c>
      <c r="E19">
        <v>37530</v>
      </c>
      <c r="F19" t="s">
        <v>1904</v>
      </c>
      <c r="G19">
        <v>55300</v>
      </c>
      <c r="I19">
        <f t="shared" si="0"/>
        <v>38418.5</v>
      </c>
    </row>
    <row r="20" spans="1:9" x14ac:dyDescent="0.25">
      <c r="A20" t="s">
        <v>2251</v>
      </c>
      <c r="B20" t="s">
        <v>133</v>
      </c>
      <c r="C20">
        <v>0.12</v>
      </c>
      <c r="D20" t="s">
        <v>1659</v>
      </c>
      <c r="E20">
        <v>0.19</v>
      </c>
      <c r="F20" t="s">
        <v>1905</v>
      </c>
      <c r="G20">
        <v>0.19</v>
      </c>
      <c r="I20">
        <f t="shared" si="0"/>
        <v>0.13750000000000001</v>
      </c>
    </row>
    <row r="21" spans="1:9" x14ac:dyDescent="0.25">
      <c r="A21" t="s">
        <v>2252</v>
      </c>
      <c r="B21" t="s">
        <v>134</v>
      </c>
      <c r="C21">
        <v>0</v>
      </c>
      <c r="D21" t="s">
        <v>1660</v>
      </c>
      <c r="E21">
        <v>0</v>
      </c>
      <c r="F21" t="s">
        <v>1906</v>
      </c>
      <c r="G21">
        <v>0</v>
      </c>
      <c r="I21">
        <f t="shared" si="0"/>
        <v>0</v>
      </c>
    </row>
    <row r="22" spans="1:9" x14ac:dyDescent="0.25">
      <c r="A22" t="s">
        <v>2135</v>
      </c>
      <c r="B22" t="s">
        <v>135</v>
      </c>
      <c r="C22">
        <v>0</v>
      </c>
      <c r="D22" t="s">
        <v>1661</v>
      </c>
      <c r="E22">
        <v>0</v>
      </c>
      <c r="F22" t="s">
        <v>1907</v>
      </c>
      <c r="G22">
        <v>0</v>
      </c>
      <c r="I22">
        <f t="shared" si="0"/>
        <v>0</v>
      </c>
    </row>
    <row r="23" spans="1:9" x14ac:dyDescent="0.25">
      <c r="A23" t="s">
        <v>2253</v>
      </c>
      <c r="B23" t="s">
        <v>136</v>
      </c>
      <c r="C23">
        <v>5.3</v>
      </c>
      <c r="D23" t="s">
        <v>1662</v>
      </c>
      <c r="E23">
        <v>5.3</v>
      </c>
      <c r="F23" t="s">
        <v>1908</v>
      </c>
      <c r="G23">
        <v>5.3</v>
      </c>
      <c r="I23">
        <f t="shared" si="0"/>
        <v>5.3</v>
      </c>
    </row>
    <row r="24" spans="1:9" x14ac:dyDescent="0.25">
      <c r="A24" t="s">
        <v>2137</v>
      </c>
      <c r="B24" t="s">
        <v>137</v>
      </c>
      <c r="C24">
        <v>21.5</v>
      </c>
      <c r="D24" t="s">
        <v>1663</v>
      </c>
      <c r="E24">
        <v>21.5</v>
      </c>
      <c r="F24" t="s">
        <v>1909</v>
      </c>
      <c r="G24">
        <v>21.5</v>
      </c>
      <c r="I24">
        <f t="shared" si="0"/>
        <v>21.5</v>
      </c>
    </row>
    <row r="25" spans="1:9" x14ac:dyDescent="0.25">
      <c r="A25" t="s">
        <v>2134</v>
      </c>
      <c r="B25" t="s">
        <v>138</v>
      </c>
      <c r="C25">
        <v>0.76</v>
      </c>
      <c r="D25" t="s">
        <v>1664</v>
      </c>
      <c r="E25">
        <v>0.76</v>
      </c>
      <c r="F25" t="s">
        <v>1910</v>
      </c>
      <c r="G25">
        <v>0.76</v>
      </c>
      <c r="I25">
        <f t="shared" si="0"/>
        <v>0.76000000000000012</v>
      </c>
    </row>
    <row r="26" spans="1:9" x14ac:dyDescent="0.25">
      <c r="A26" t="s">
        <v>2138</v>
      </c>
      <c r="B26" t="s">
        <v>139</v>
      </c>
      <c r="C26">
        <v>0</v>
      </c>
      <c r="D26" t="s">
        <v>1665</v>
      </c>
      <c r="E26">
        <v>0</v>
      </c>
      <c r="F26" t="s">
        <v>1911</v>
      </c>
      <c r="G26">
        <v>0</v>
      </c>
      <c r="I26">
        <f t="shared" si="0"/>
        <v>0</v>
      </c>
    </row>
    <row r="27" spans="1:9" x14ac:dyDescent="0.25">
      <c r="A27" t="s">
        <v>2139</v>
      </c>
      <c r="B27" t="s">
        <v>140</v>
      </c>
      <c r="C27">
        <v>-1</v>
      </c>
      <c r="D27" t="s">
        <v>1666</v>
      </c>
      <c r="E27">
        <v>-1</v>
      </c>
      <c r="F27" t="s">
        <v>1912</v>
      </c>
      <c r="G27">
        <v>-1</v>
      </c>
      <c r="I27">
        <f t="shared" si="0"/>
        <v>-1</v>
      </c>
    </row>
    <row r="28" spans="1:9" x14ac:dyDescent="0.25">
      <c r="A28" t="s">
        <v>2134</v>
      </c>
      <c r="B28" t="s">
        <v>141</v>
      </c>
      <c r="C28">
        <v>0.1</v>
      </c>
      <c r="D28" t="s">
        <v>1667</v>
      </c>
      <c r="E28">
        <v>0.1</v>
      </c>
      <c r="F28" t="s">
        <v>1913</v>
      </c>
      <c r="G28">
        <v>0.1</v>
      </c>
      <c r="I28">
        <f t="shared" si="0"/>
        <v>0.10000000000000002</v>
      </c>
    </row>
    <row r="29" spans="1:9" x14ac:dyDescent="0.25">
      <c r="A29" t="s">
        <v>2134</v>
      </c>
      <c r="B29" t="s">
        <v>142</v>
      </c>
      <c r="C29">
        <v>0.5</v>
      </c>
      <c r="D29" t="s">
        <v>1668</v>
      </c>
      <c r="E29">
        <v>0.5</v>
      </c>
      <c r="F29" t="s">
        <v>1914</v>
      </c>
      <c r="G29">
        <v>0.5</v>
      </c>
      <c r="I29">
        <f t="shared" si="0"/>
        <v>0.5</v>
      </c>
    </row>
    <row r="30" spans="1:9" x14ac:dyDescent="0.25">
      <c r="A30" t="s">
        <v>2140</v>
      </c>
      <c r="B30" t="s">
        <v>143</v>
      </c>
      <c r="C30">
        <v>1.5</v>
      </c>
      <c r="D30" t="s">
        <v>1669</v>
      </c>
      <c r="E30">
        <v>1.5</v>
      </c>
      <c r="F30" t="s">
        <v>1915</v>
      </c>
      <c r="G30">
        <v>1.5</v>
      </c>
      <c r="I30">
        <f t="shared" si="0"/>
        <v>1.5</v>
      </c>
    </row>
    <row r="31" spans="1:9" x14ac:dyDescent="0.25">
      <c r="A31" t="s">
        <v>2141</v>
      </c>
      <c r="B31" t="s">
        <v>144</v>
      </c>
      <c r="C31">
        <v>0</v>
      </c>
      <c r="D31" t="s">
        <v>1670</v>
      </c>
      <c r="E31">
        <v>0</v>
      </c>
      <c r="F31" t="s">
        <v>1916</v>
      </c>
      <c r="G31">
        <v>0</v>
      </c>
      <c r="I31">
        <f t="shared" si="0"/>
        <v>0</v>
      </c>
    </row>
    <row r="32" spans="1:9" x14ac:dyDescent="0.25">
      <c r="A32" t="s">
        <v>2142</v>
      </c>
      <c r="B32" t="s">
        <v>145</v>
      </c>
      <c r="C32">
        <v>0</v>
      </c>
      <c r="D32" t="s">
        <v>1671</v>
      </c>
      <c r="E32">
        <v>0</v>
      </c>
      <c r="F32" t="s">
        <v>1917</v>
      </c>
      <c r="G32">
        <v>0</v>
      </c>
      <c r="I32">
        <f t="shared" si="0"/>
        <v>0</v>
      </c>
    </row>
    <row r="33" spans="1:9" x14ac:dyDescent="0.25">
      <c r="A33" t="s">
        <v>2143</v>
      </c>
      <c r="B33" t="s">
        <v>146</v>
      </c>
      <c r="C33">
        <v>0</v>
      </c>
      <c r="D33" t="s">
        <v>1672</v>
      </c>
      <c r="E33">
        <v>0</v>
      </c>
      <c r="F33" t="s">
        <v>1918</v>
      </c>
      <c r="G33">
        <v>0</v>
      </c>
      <c r="I33">
        <f t="shared" si="0"/>
        <v>0</v>
      </c>
    </row>
    <row r="34" spans="1:9" x14ac:dyDescent="0.25">
      <c r="A34" t="s">
        <v>2134</v>
      </c>
      <c r="B34" t="s">
        <v>147</v>
      </c>
      <c r="C34">
        <v>0.65</v>
      </c>
      <c r="D34" t="s">
        <v>1673</v>
      </c>
      <c r="E34">
        <v>0.7</v>
      </c>
      <c r="F34" t="s">
        <v>1919</v>
      </c>
      <c r="G34">
        <v>0.7</v>
      </c>
      <c r="I34">
        <f t="shared" si="0"/>
        <v>0.66250000000000009</v>
      </c>
    </row>
    <row r="35" spans="1:9" x14ac:dyDescent="0.25">
      <c r="A35" t="s">
        <v>2144</v>
      </c>
      <c r="B35" t="s">
        <v>148</v>
      </c>
      <c r="C35">
        <v>0</v>
      </c>
      <c r="D35" t="s">
        <v>1674</v>
      </c>
      <c r="E35">
        <v>0</v>
      </c>
      <c r="F35" t="s">
        <v>1920</v>
      </c>
      <c r="G35">
        <v>0</v>
      </c>
      <c r="I35">
        <f t="shared" si="0"/>
        <v>0</v>
      </c>
    </row>
    <row r="36" spans="1:9" x14ac:dyDescent="0.25">
      <c r="A36" t="s">
        <v>2145</v>
      </c>
      <c r="B36" t="s">
        <v>149</v>
      </c>
      <c r="C36">
        <v>8</v>
      </c>
      <c r="D36" t="s">
        <v>1675</v>
      </c>
      <c r="E36">
        <v>8</v>
      </c>
      <c r="F36" t="s">
        <v>1921</v>
      </c>
      <c r="G36">
        <v>8</v>
      </c>
      <c r="I36">
        <f t="shared" si="0"/>
        <v>8</v>
      </c>
    </row>
    <row r="37" spans="1:9" x14ac:dyDescent="0.25">
      <c r="A37" t="s">
        <v>2146</v>
      </c>
      <c r="B37" t="s">
        <v>150</v>
      </c>
      <c r="C37">
        <v>0</v>
      </c>
      <c r="D37" t="s">
        <v>1676</v>
      </c>
      <c r="E37">
        <v>0</v>
      </c>
      <c r="F37" t="s">
        <v>1922</v>
      </c>
      <c r="G37">
        <v>0</v>
      </c>
      <c r="I37">
        <f t="shared" si="0"/>
        <v>0</v>
      </c>
    </row>
    <row r="38" spans="1:9" x14ac:dyDescent="0.25">
      <c r="A38" t="s">
        <v>2147</v>
      </c>
      <c r="B38" t="s">
        <v>151</v>
      </c>
      <c r="C38">
        <v>2.15</v>
      </c>
      <c r="D38" t="s">
        <v>1677</v>
      </c>
      <c r="E38">
        <v>2.15</v>
      </c>
      <c r="F38" t="s">
        <v>1923</v>
      </c>
      <c r="G38">
        <v>2.15</v>
      </c>
      <c r="I38">
        <f t="shared" si="0"/>
        <v>2.15</v>
      </c>
    </row>
    <row r="39" spans="1:9" x14ac:dyDescent="0.25">
      <c r="A39" t="s">
        <v>2134</v>
      </c>
      <c r="B39" t="s">
        <v>152</v>
      </c>
      <c r="C39">
        <v>0.9</v>
      </c>
      <c r="D39" t="s">
        <v>1678</v>
      </c>
      <c r="E39">
        <v>0.9</v>
      </c>
      <c r="F39" t="s">
        <v>1924</v>
      </c>
      <c r="G39">
        <v>0.9</v>
      </c>
      <c r="I39">
        <f t="shared" si="0"/>
        <v>0.90000000000000013</v>
      </c>
    </row>
    <row r="40" spans="1:9" x14ac:dyDescent="0.25">
      <c r="A40" t="s">
        <v>2148</v>
      </c>
      <c r="B40" t="s">
        <v>153</v>
      </c>
      <c r="C40">
        <v>-2</v>
      </c>
      <c r="D40" t="s">
        <v>1679</v>
      </c>
      <c r="E40">
        <v>-2</v>
      </c>
      <c r="F40" t="s">
        <v>1925</v>
      </c>
      <c r="G40">
        <v>-2</v>
      </c>
      <c r="I40">
        <f t="shared" si="0"/>
        <v>-2</v>
      </c>
    </row>
    <row r="41" spans="1:9" x14ac:dyDescent="0.25">
      <c r="A41" t="s">
        <v>2149</v>
      </c>
      <c r="B41" t="s">
        <v>154</v>
      </c>
      <c r="C41">
        <v>32.86</v>
      </c>
      <c r="D41" t="s">
        <v>1680</v>
      </c>
      <c r="E41">
        <v>32.86</v>
      </c>
      <c r="F41" t="s">
        <v>1926</v>
      </c>
      <c r="G41">
        <v>32.86</v>
      </c>
      <c r="I41">
        <f t="shared" si="0"/>
        <v>32.86</v>
      </c>
    </row>
    <row r="42" spans="1:9" x14ac:dyDescent="0.25">
      <c r="A42" t="s">
        <v>2149</v>
      </c>
      <c r="B42" t="s">
        <v>155</v>
      </c>
      <c r="C42">
        <v>32.86</v>
      </c>
      <c r="D42" t="s">
        <v>1681</v>
      </c>
      <c r="E42">
        <v>32.86</v>
      </c>
      <c r="F42" t="s">
        <v>1927</v>
      </c>
      <c r="G42">
        <v>32.86</v>
      </c>
      <c r="I42">
        <f t="shared" si="0"/>
        <v>32.86</v>
      </c>
    </row>
    <row r="43" spans="1:9" x14ac:dyDescent="0.25">
      <c r="A43" t="s">
        <v>2134</v>
      </c>
      <c r="B43" t="s">
        <v>156</v>
      </c>
      <c r="C43">
        <v>0.01</v>
      </c>
      <c r="D43" t="s">
        <v>1682</v>
      </c>
      <c r="E43">
        <v>0.01</v>
      </c>
      <c r="F43" t="s">
        <v>1928</v>
      </c>
      <c r="G43">
        <v>0.01</v>
      </c>
      <c r="I43">
        <f t="shared" si="0"/>
        <v>0.01</v>
      </c>
    </row>
    <row r="44" spans="1:9" x14ac:dyDescent="0.25">
      <c r="A44" t="s">
        <v>2134</v>
      </c>
      <c r="B44" t="s">
        <v>157</v>
      </c>
      <c r="C44">
        <v>0.2</v>
      </c>
      <c r="D44" t="s">
        <v>1683</v>
      </c>
      <c r="E44">
        <v>0.2</v>
      </c>
      <c r="F44" t="s">
        <v>1929</v>
      </c>
      <c r="G44">
        <v>0.2</v>
      </c>
      <c r="I44">
        <f t="shared" si="0"/>
        <v>0.20000000000000004</v>
      </c>
    </row>
    <row r="45" spans="1:9" x14ac:dyDescent="0.25">
      <c r="A45" t="s">
        <v>2150</v>
      </c>
      <c r="B45" t="s">
        <v>158</v>
      </c>
      <c r="C45">
        <v>1</v>
      </c>
      <c r="D45" t="s">
        <v>1684</v>
      </c>
      <c r="E45">
        <v>1</v>
      </c>
      <c r="F45" t="s">
        <v>1930</v>
      </c>
      <c r="G45">
        <v>1</v>
      </c>
      <c r="I45">
        <f t="shared" si="0"/>
        <v>1</v>
      </c>
    </row>
    <row r="46" spans="1:9" x14ac:dyDescent="0.25">
      <c r="A46" t="s">
        <v>2134</v>
      </c>
      <c r="B46" t="s">
        <v>159</v>
      </c>
      <c r="C46">
        <v>0.1</v>
      </c>
      <c r="D46" t="s">
        <v>1685</v>
      </c>
      <c r="E46">
        <v>0.1</v>
      </c>
      <c r="F46" t="s">
        <v>1931</v>
      </c>
      <c r="G46">
        <v>0.1</v>
      </c>
      <c r="I46">
        <f t="shared" si="0"/>
        <v>0.10000000000000002</v>
      </c>
    </row>
    <row r="47" spans="1:9" x14ac:dyDescent="0.25">
      <c r="A47" t="s">
        <v>2134</v>
      </c>
      <c r="B47" t="s">
        <v>160</v>
      </c>
      <c r="C47">
        <v>0.4</v>
      </c>
      <c r="D47" t="s">
        <v>1686</v>
      </c>
      <c r="E47">
        <v>0.4</v>
      </c>
      <c r="F47" t="s">
        <v>1932</v>
      </c>
      <c r="G47">
        <v>0.4</v>
      </c>
      <c r="I47">
        <f t="shared" si="0"/>
        <v>0.40000000000000008</v>
      </c>
    </row>
    <row r="48" spans="1:9" x14ac:dyDescent="0.25">
      <c r="A48" t="s">
        <v>2151</v>
      </c>
      <c r="B48" t="s">
        <v>161</v>
      </c>
      <c r="C48">
        <v>5000</v>
      </c>
      <c r="D48" t="s">
        <v>1687</v>
      </c>
      <c r="E48">
        <v>5000</v>
      </c>
      <c r="F48" t="s">
        <v>1933</v>
      </c>
      <c r="G48">
        <v>5000</v>
      </c>
      <c r="I48">
        <f t="shared" si="0"/>
        <v>5000</v>
      </c>
    </row>
    <row r="49" spans="1:9" x14ac:dyDescent="0.25">
      <c r="A49" t="s">
        <v>2134</v>
      </c>
      <c r="B49" t="s">
        <v>162</v>
      </c>
      <c r="C49">
        <v>0.01</v>
      </c>
      <c r="D49" t="s">
        <v>1688</v>
      </c>
      <c r="E49">
        <v>0.01</v>
      </c>
      <c r="F49" t="s">
        <v>1934</v>
      </c>
      <c r="G49">
        <v>0.01</v>
      </c>
      <c r="I49">
        <f t="shared" si="0"/>
        <v>0.01</v>
      </c>
    </row>
    <row r="50" spans="1:9" x14ac:dyDescent="0.25">
      <c r="A50" t="s">
        <v>2134</v>
      </c>
      <c r="B50" t="s">
        <v>163</v>
      </c>
      <c r="C50">
        <v>0.5</v>
      </c>
      <c r="D50" t="s">
        <v>1689</v>
      </c>
      <c r="E50">
        <v>2.5000000000000001E-2</v>
      </c>
      <c r="F50" t="s">
        <v>1935</v>
      </c>
      <c r="G50">
        <v>2.5000000000000001E-2</v>
      </c>
      <c r="I50">
        <f t="shared" si="0"/>
        <v>0.38124999999999998</v>
      </c>
    </row>
    <row r="51" spans="1:9" x14ac:dyDescent="0.25">
      <c r="A51" t="s">
        <v>2134</v>
      </c>
      <c r="B51" t="s">
        <v>164</v>
      </c>
      <c r="C51">
        <v>0.03</v>
      </c>
      <c r="D51" t="s">
        <v>1690</v>
      </c>
      <c r="E51">
        <v>0.03</v>
      </c>
      <c r="F51" t="s">
        <v>1936</v>
      </c>
      <c r="G51">
        <v>0.03</v>
      </c>
      <c r="I51">
        <f t="shared" si="0"/>
        <v>0.03</v>
      </c>
    </row>
    <row r="52" spans="1:9" x14ac:dyDescent="0.25">
      <c r="A52" t="s">
        <v>2134</v>
      </c>
      <c r="B52" t="s">
        <v>165</v>
      </c>
      <c r="C52">
        <v>0.45</v>
      </c>
      <c r="D52" t="s">
        <v>1691</v>
      </c>
      <c r="E52">
        <v>0.45</v>
      </c>
      <c r="F52" t="s">
        <v>1937</v>
      </c>
      <c r="G52">
        <v>0.45</v>
      </c>
      <c r="I52">
        <f t="shared" si="0"/>
        <v>0.45000000000000007</v>
      </c>
    </row>
    <row r="53" spans="1:9" x14ac:dyDescent="0.25">
      <c r="A53" t="s">
        <v>2152</v>
      </c>
      <c r="B53" t="s">
        <v>166</v>
      </c>
      <c r="C53">
        <v>887.5</v>
      </c>
      <c r="D53" t="s">
        <v>1692</v>
      </c>
      <c r="E53">
        <v>887.5</v>
      </c>
      <c r="F53" t="s">
        <v>1938</v>
      </c>
      <c r="G53">
        <v>887.5</v>
      </c>
      <c r="I53">
        <f t="shared" si="0"/>
        <v>887.5</v>
      </c>
    </row>
    <row r="54" spans="1:9" x14ac:dyDescent="0.25">
      <c r="A54" t="s">
        <v>2152</v>
      </c>
      <c r="B54" t="s">
        <v>167</v>
      </c>
      <c r="C54">
        <v>887.5</v>
      </c>
      <c r="D54" t="s">
        <v>1693</v>
      </c>
      <c r="E54">
        <v>887.5</v>
      </c>
      <c r="F54" t="s">
        <v>1939</v>
      </c>
      <c r="G54">
        <v>887.5</v>
      </c>
      <c r="I54">
        <f t="shared" si="0"/>
        <v>887.5</v>
      </c>
    </row>
    <row r="55" spans="1:9" x14ac:dyDescent="0.25">
      <c r="A55" t="s">
        <v>2134</v>
      </c>
      <c r="B55" t="s">
        <v>168</v>
      </c>
      <c r="C55">
        <v>0.05</v>
      </c>
      <c r="D55" t="s">
        <v>1694</v>
      </c>
      <c r="E55">
        <v>0.05</v>
      </c>
      <c r="F55" t="s">
        <v>1940</v>
      </c>
      <c r="G55">
        <v>0.05</v>
      </c>
      <c r="I55">
        <f t="shared" si="0"/>
        <v>5.000000000000001E-2</v>
      </c>
    </row>
    <row r="56" spans="1:9" x14ac:dyDescent="0.25">
      <c r="A56" t="s">
        <v>2153</v>
      </c>
      <c r="B56" t="s">
        <v>169</v>
      </c>
      <c r="C56">
        <v>2</v>
      </c>
      <c r="D56" t="s">
        <v>1695</v>
      </c>
      <c r="E56">
        <v>2</v>
      </c>
      <c r="F56" t="s">
        <v>1941</v>
      </c>
      <c r="G56">
        <v>2</v>
      </c>
      <c r="I56">
        <f t="shared" si="0"/>
        <v>2</v>
      </c>
    </row>
    <row r="57" spans="1:9" x14ac:dyDescent="0.25">
      <c r="A57" t="s">
        <v>2154</v>
      </c>
      <c r="B57" t="s">
        <v>170</v>
      </c>
      <c r="C57">
        <v>0</v>
      </c>
      <c r="D57" t="s">
        <v>1696</v>
      </c>
      <c r="E57">
        <v>0</v>
      </c>
      <c r="F57" t="s">
        <v>1942</v>
      </c>
      <c r="G57">
        <v>0</v>
      </c>
      <c r="I57">
        <f t="shared" si="0"/>
        <v>0</v>
      </c>
    </row>
    <row r="58" spans="1:9" x14ac:dyDescent="0.25">
      <c r="A58" t="s">
        <v>2155</v>
      </c>
      <c r="B58" t="s">
        <v>171</v>
      </c>
      <c r="C58">
        <v>0</v>
      </c>
      <c r="D58" t="s">
        <v>1697</v>
      </c>
      <c r="E58">
        <v>0</v>
      </c>
      <c r="F58" t="s">
        <v>1943</v>
      </c>
      <c r="G58">
        <v>0</v>
      </c>
      <c r="I58">
        <f t="shared" si="0"/>
        <v>0</v>
      </c>
    </row>
    <row r="59" spans="1:9" x14ac:dyDescent="0.25">
      <c r="A59" t="s">
        <v>2156</v>
      </c>
      <c r="B59" t="s">
        <v>172</v>
      </c>
      <c r="C59">
        <v>0</v>
      </c>
      <c r="D59" t="s">
        <v>1698</v>
      </c>
      <c r="E59">
        <v>0</v>
      </c>
      <c r="F59" t="s">
        <v>1944</v>
      </c>
      <c r="G59">
        <v>0</v>
      </c>
      <c r="I59">
        <f t="shared" si="0"/>
        <v>0</v>
      </c>
    </row>
    <row r="60" spans="1:9" x14ac:dyDescent="0.25">
      <c r="A60" t="s">
        <v>2140</v>
      </c>
      <c r="B60" t="s">
        <v>173</v>
      </c>
      <c r="C60">
        <v>1.5</v>
      </c>
      <c r="D60" t="s">
        <v>1699</v>
      </c>
      <c r="E60">
        <v>1.5</v>
      </c>
      <c r="F60" t="s">
        <v>1945</v>
      </c>
      <c r="G60">
        <v>1.5</v>
      </c>
      <c r="I60">
        <f t="shared" si="0"/>
        <v>1.5</v>
      </c>
    </row>
    <row r="61" spans="1:9" x14ac:dyDescent="0.25">
      <c r="A61" t="s">
        <v>2134</v>
      </c>
      <c r="B61" t="s">
        <v>174</v>
      </c>
      <c r="C61">
        <v>0.01</v>
      </c>
      <c r="D61" t="s">
        <v>1700</v>
      </c>
      <c r="E61">
        <v>0.01</v>
      </c>
      <c r="F61" t="s">
        <v>1946</v>
      </c>
      <c r="G61">
        <v>0.01</v>
      </c>
      <c r="I61">
        <f t="shared" si="0"/>
        <v>0.01</v>
      </c>
    </row>
    <row r="62" spans="1:9" x14ac:dyDescent="0.25">
      <c r="A62" t="s">
        <v>2134</v>
      </c>
      <c r="B62" t="s">
        <v>175</v>
      </c>
      <c r="C62">
        <v>0.01</v>
      </c>
      <c r="D62" t="s">
        <v>1701</v>
      </c>
      <c r="E62">
        <v>0.01</v>
      </c>
      <c r="F62" t="s">
        <v>1947</v>
      </c>
      <c r="G62">
        <v>0.01</v>
      </c>
      <c r="I62">
        <f t="shared" si="0"/>
        <v>0.01</v>
      </c>
    </row>
    <row r="63" spans="1:9" x14ac:dyDescent="0.25">
      <c r="A63" t="s">
        <v>2157</v>
      </c>
      <c r="B63" t="s">
        <v>176</v>
      </c>
      <c r="C63">
        <v>10</v>
      </c>
      <c r="D63" t="s">
        <v>1702</v>
      </c>
      <c r="E63">
        <v>0</v>
      </c>
      <c r="F63" t="s">
        <v>1948</v>
      </c>
      <c r="G63">
        <v>0</v>
      </c>
      <c r="I63">
        <f t="shared" si="0"/>
        <v>7.5</v>
      </c>
    </row>
    <row r="64" spans="1:9" x14ac:dyDescent="0.25">
      <c r="A64" t="s">
        <v>2134</v>
      </c>
      <c r="B64" t="s">
        <v>177</v>
      </c>
      <c r="C64">
        <v>0.5</v>
      </c>
      <c r="D64" t="s">
        <v>1703</v>
      </c>
      <c r="E64">
        <v>0.62</v>
      </c>
      <c r="F64" t="s">
        <v>1949</v>
      </c>
      <c r="G64">
        <v>0.63</v>
      </c>
      <c r="I64">
        <f t="shared" si="0"/>
        <v>0.53049999999999997</v>
      </c>
    </row>
    <row r="65" spans="1:9" x14ac:dyDescent="0.25">
      <c r="A65" t="s">
        <v>2158</v>
      </c>
      <c r="B65" t="s">
        <v>178</v>
      </c>
      <c r="C65">
        <v>1</v>
      </c>
      <c r="D65" t="s">
        <v>1704</v>
      </c>
      <c r="E65">
        <v>1</v>
      </c>
      <c r="F65" t="s">
        <v>1950</v>
      </c>
      <c r="G65">
        <v>1</v>
      </c>
      <c r="I65">
        <f t="shared" si="0"/>
        <v>1</v>
      </c>
    </row>
    <row r="66" spans="1:9" x14ac:dyDescent="0.25">
      <c r="A66" t="s">
        <v>2159</v>
      </c>
      <c r="B66" t="s">
        <v>179</v>
      </c>
      <c r="C66">
        <v>0</v>
      </c>
      <c r="D66" t="s">
        <v>1705</v>
      </c>
      <c r="E66">
        <v>0</v>
      </c>
      <c r="F66" t="s">
        <v>1951</v>
      </c>
      <c r="G66">
        <v>0</v>
      </c>
      <c r="I66">
        <f t="shared" si="0"/>
        <v>0</v>
      </c>
    </row>
    <row r="67" spans="1:9" x14ac:dyDescent="0.25">
      <c r="A67" t="s">
        <v>2160</v>
      </c>
      <c r="B67" t="s">
        <v>180</v>
      </c>
      <c r="C67">
        <v>0</v>
      </c>
      <c r="D67" t="s">
        <v>1706</v>
      </c>
      <c r="E67">
        <v>0</v>
      </c>
      <c r="F67" t="s">
        <v>1952</v>
      </c>
      <c r="G67">
        <v>0</v>
      </c>
      <c r="I67">
        <f t="shared" si="0"/>
        <v>0</v>
      </c>
    </row>
    <row r="68" spans="1:9" x14ac:dyDescent="0.25">
      <c r="A68" t="s">
        <v>2134</v>
      </c>
      <c r="B68" t="s">
        <v>181</v>
      </c>
      <c r="C68">
        <v>0.2</v>
      </c>
      <c r="D68" t="s">
        <v>1707</v>
      </c>
      <c r="E68">
        <v>0.2</v>
      </c>
      <c r="F68" t="s">
        <v>1953</v>
      </c>
      <c r="G68">
        <v>0.5</v>
      </c>
      <c r="I68">
        <f t="shared" si="0"/>
        <v>0.21500000000000002</v>
      </c>
    </row>
    <row r="69" spans="1:9" x14ac:dyDescent="0.25">
      <c r="A69" t="s">
        <v>2134</v>
      </c>
      <c r="B69" t="s">
        <v>182</v>
      </c>
      <c r="C69">
        <v>3.4700000000000002E-2</v>
      </c>
      <c r="D69" t="s">
        <v>1708</v>
      </c>
      <c r="E69">
        <v>3.4700000000000002E-2</v>
      </c>
      <c r="F69" t="s">
        <v>1954</v>
      </c>
      <c r="G69">
        <v>3.4700000000000002E-2</v>
      </c>
      <c r="I69">
        <f t="shared" si="0"/>
        <v>3.4700000000000002E-2</v>
      </c>
    </row>
    <row r="70" spans="1:9" x14ac:dyDescent="0.25">
      <c r="A70" t="s">
        <v>2134</v>
      </c>
      <c r="B70" t="s">
        <v>183</v>
      </c>
      <c r="C70">
        <v>0.1086</v>
      </c>
      <c r="D70" t="s">
        <v>1709</v>
      </c>
      <c r="E70">
        <v>0.1086</v>
      </c>
      <c r="F70" t="s">
        <v>1955</v>
      </c>
      <c r="G70">
        <v>0.1086</v>
      </c>
      <c r="I70">
        <f t="shared" si="0"/>
        <v>0.1086</v>
      </c>
    </row>
    <row r="71" spans="1:9" x14ac:dyDescent="0.25">
      <c r="A71" t="s">
        <v>2161</v>
      </c>
      <c r="B71" t="s">
        <v>184</v>
      </c>
      <c r="C71">
        <v>22</v>
      </c>
      <c r="D71" t="s">
        <v>1710</v>
      </c>
      <c r="E71">
        <v>22</v>
      </c>
      <c r="F71" t="s">
        <v>1956</v>
      </c>
      <c r="G71">
        <v>22</v>
      </c>
      <c r="I71">
        <f t="shared" si="0"/>
        <v>22</v>
      </c>
    </row>
    <row r="72" spans="1:9" x14ac:dyDescent="0.25">
      <c r="A72" t="s">
        <v>2162</v>
      </c>
      <c r="B72" t="s">
        <v>185</v>
      </c>
      <c r="C72">
        <v>4.8</v>
      </c>
      <c r="D72" t="s">
        <v>1711</v>
      </c>
      <c r="E72">
        <v>4.8</v>
      </c>
      <c r="F72" t="s">
        <v>1957</v>
      </c>
      <c r="G72">
        <v>4.8</v>
      </c>
      <c r="I72">
        <f t="shared" si="0"/>
        <v>4.8</v>
      </c>
    </row>
    <row r="73" spans="1:9" x14ac:dyDescent="0.25">
      <c r="A73" t="s">
        <v>2163</v>
      </c>
      <c r="B73" t="s">
        <v>186</v>
      </c>
      <c r="C73">
        <v>1568</v>
      </c>
      <c r="D73" t="s">
        <v>1712</v>
      </c>
      <c r="E73">
        <v>1568</v>
      </c>
      <c r="F73" t="s">
        <v>1958</v>
      </c>
      <c r="G73">
        <v>1568</v>
      </c>
      <c r="I73">
        <f t="shared" si="0"/>
        <v>1568</v>
      </c>
    </row>
    <row r="74" spans="1:9" x14ac:dyDescent="0.25">
      <c r="A74" t="s">
        <v>2164</v>
      </c>
      <c r="B74" t="s">
        <v>187</v>
      </c>
      <c r="C74">
        <v>106</v>
      </c>
      <c r="D74" t="s">
        <v>1713</v>
      </c>
      <c r="E74">
        <v>106</v>
      </c>
      <c r="F74" t="s">
        <v>1959</v>
      </c>
      <c r="G74">
        <v>106</v>
      </c>
      <c r="I74">
        <f t="shared" si="0"/>
        <v>106</v>
      </c>
    </row>
    <row r="75" spans="1:9" x14ac:dyDescent="0.25">
      <c r="A75" t="s">
        <v>2140</v>
      </c>
      <c r="B75" t="s">
        <v>188</v>
      </c>
      <c r="C75">
        <v>1.6</v>
      </c>
      <c r="D75" t="s">
        <v>1714</v>
      </c>
      <c r="E75">
        <v>1.6</v>
      </c>
      <c r="F75" t="s">
        <v>1960</v>
      </c>
      <c r="G75">
        <v>1.6</v>
      </c>
      <c r="I75">
        <f t="shared" si="0"/>
        <v>1.6000000000000003</v>
      </c>
    </row>
    <row r="76" spans="1:9" x14ac:dyDescent="0.25">
      <c r="A76" t="s">
        <v>2140</v>
      </c>
      <c r="B76" t="s">
        <v>189</v>
      </c>
      <c r="C76">
        <v>1.6</v>
      </c>
      <c r="D76" t="s">
        <v>1715</v>
      </c>
      <c r="E76">
        <v>1.6</v>
      </c>
      <c r="F76" t="s">
        <v>1961</v>
      </c>
      <c r="G76">
        <v>1.6</v>
      </c>
      <c r="I76">
        <f t="shared" si="0"/>
        <v>1.6000000000000003</v>
      </c>
    </row>
    <row r="77" spans="1:9" x14ac:dyDescent="0.25">
      <c r="A77" t="s">
        <v>2165</v>
      </c>
      <c r="B77" t="s">
        <v>190</v>
      </c>
      <c r="C77">
        <v>3.24</v>
      </c>
      <c r="D77" t="s">
        <v>1716</v>
      </c>
      <c r="E77">
        <v>3.24</v>
      </c>
      <c r="F77" t="s">
        <v>1962</v>
      </c>
      <c r="G77">
        <v>3.24</v>
      </c>
      <c r="I77">
        <f t="shared" si="0"/>
        <v>3.24</v>
      </c>
    </row>
    <row r="78" spans="1:9" x14ac:dyDescent="0.25">
      <c r="A78" t="s">
        <v>2166</v>
      </c>
      <c r="B78" t="s">
        <v>191</v>
      </c>
      <c r="C78">
        <v>17.600000000000001</v>
      </c>
      <c r="D78" t="s">
        <v>1717</v>
      </c>
      <c r="E78">
        <v>17.600000000000001</v>
      </c>
      <c r="F78" t="s">
        <v>1963</v>
      </c>
      <c r="G78">
        <v>17.600000000000001</v>
      </c>
      <c r="I78">
        <f t="shared" ref="I78:I141" si="1">C78*$H$5+E78*$H$6+G78*$H$7</f>
        <v>17.600000000000001</v>
      </c>
    </row>
    <row r="79" spans="1:9" x14ac:dyDescent="0.25">
      <c r="A79" t="s">
        <v>2136</v>
      </c>
      <c r="B79" t="s">
        <v>192</v>
      </c>
      <c r="C79">
        <v>5.7</v>
      </c>
      <c r="D79" t="s">
        <v>1718</v>
      </c>
      <c r="E79">
        <v>5.7</v>
      </c>
      <c r="F79" t="s">
        <v>1964</v>
      </c>
      <c r="G79">
        <v>5.7</v>
      </c>
      <c r="I79">
        <f t="shared" si="1"/>
        <v>5.7000000000000011</v>
      </c>
    </row>
    <row r="80" spans="1:9" x14ac:dyDescent="0.25">
      <c r="A80" t="s">
        <v>2134</v>
      </c>
      <c r="B80" t="s">
        <v>193</v>
      </c>
      <c r="C80">
        <v>0.1</v>
      </c>
      <c r="D80" t="s">
        <v>1719</v>
      </c>
      <c r="E80">
        <v>0.1</v>
      </c>
      <c r="F80" t="s">
        <v>1965</v>
      </c>
      <c r="G80">
        <v>0.1</v>
      </c>
      <c r="I80">
        <f t="shared" si="1"/>
        <v>0.10000000000000002</v>
      </c>
    </row>
    <row r="81" spans="1:9" x14ac:dyDescent="0.25">
      <c r="A81" t="s">
        <v>2134</v>
      </c>
      <c r="B81" t="s">
        <v>194</v>
      </c>
      <c r="C81">
        <v>9.4E-2</v>
      </c>
      <c r="D81" t="s">
        <v>1720</v>
      </c>
      <c r="E81">
        <v>9.4E-2</v>
      </c>
      <c r="F81" t="s">
        <v>1966</v>
      </c>
      <c r="G81">
        <v>9.4E-2</v>
      </c>
      <c r="I81">
        <f t="shared" si="1"/>
        <v>9.4E-2</v>
      </c>
    </row>
    <row r="82" spans="1:9" x14ac:dyDescent="0.25">
      <c r="A82" t="s">
        <v>2167</v>
      </c>
      <c r="B82" t="s">
        <v>195</v>
      </c>
      <c r="C82">
        <v>3</v>
      </c>
      <c r="D82" t="s">
        <v>1721</v>
      </c>
      <c r="E82">
        <v>3</v>
      </c>
      <c r="F82" t="s">
        <v>1967</v>
      </c>
      <c r="G82">
        <v>3</v>
      </c>
      <c r="I82">
        <f t="shared" si="1"/>
        <v>3</v>
      </c>
    </row>
    <row r="83" spans="1:9" x14ac:dyDescent="0.25">
      <c r="A83" t="s">
        <v>2134</v>
      </c>
      <c r="B83" t="s">
        <v>196</v>
      </c>
      <c r="C83">
        <v>0.95</v>
      </c>
      <c r="D83" t="s">
        <v>1722</v>
      </c>
      <c r="E83">
        <v>0.95</v>
      </c>
      <c r="F83" t="s">
        <v>1968</v>
      </c>
      <c r="G83">
        <v>0.95</v>
      </c>
      <c r="I83">
        <f t="shared" si="1"/>
        <v>0.94999999999999984</v>
      </c>
    </row>
    <row r="84" spans="1:9" x14ac:dyDescent="0.25">
      <c r="A84" t="s">
        <v>2134</v>
      </c>
      <c r="B84" t="s">
        <v>197</v>
      </c>
      <c r="C84">
        <v>0.1</v>
      </c>
      <c r="D84" t="s">
        <v>1723</v>
      </c>
      <c r="E84">
        <v>0.1</v>
      </c>
      <c r="F84" t="s">
        <v>1969</v>
      </c>
      <c r="G84">
        <v>0.1</v>
      </c>
      <c r="I84">
        <f t="shared" si="1"/>
        <v>0.10000000000000002</v>
      </c>
    </row>
    <row r="85" spans="1:9" x14ac:dyDescent="0.25">
      <c r="A85" t="s">
        <v>2134</v>
      </c>
      <c r="B85" t="s">
        <v>198</v>
      </c>
      <c r="C85">
        <v>0.4</v>
      </c>
      <c r="D85" t="s">
        <v>1724</v>
      </c>
      <c r="E85">
        <v>0.15</v>
      </c>
      <c r="F85" t="s">
        <v>1970</v>
      </c>
      <c r="G85">
        <v>8.5000000000000006E-2</v>
      </c>
      <c r="I85">
        <f t="shared" si="1"/>
        <v>0.33425000000000005</v>
      </c>
    </row>
    <row r="86" spans="1:9" x14ac:dyDescent="0.25">
      <c r="A86" t="s">
        <v>2134</v>
      </c>
      <c r="B86" t="s">
        <v>199</v>
      </c>
      <c r="C86">
        <v>0.05</v>
      </c>
      <c r="D86" t="s">
        <v>1725</v>
      </c>
      <c r="E86">
        <v>0.4</v>
      </c>
      <c r="F86" t="s">
        <v>1971</v>
      </c>
      <c r="G86">
        <v>0.37</v>
      </c>
      <c r="I86">
        <f t="shared" si="1"/>
        <v>0.13600000000000001</v>
      </c>
    </row>
    <row r="87" spans="1:9" x14ac:dyDescent="0.25">
      <c r="A87" t="s">
        <v>2134</v>
      </c>
      <c r="B87" t="s">
        <v>200</v>
      </c>
      <c r="C87">
        <v>0.35</v>
      </c>
      <c r="D87" t="s">
        <v>1726</v>
      </c>
      <c r="E87">
        <v>0.1</v>
      </c>
      <c r="F87" t="s">
        <v>1972</v>
      </c>
      <c r="G87">
        <v>0.15</v>
      </c>
      <c r="I87">
        <f t="shared" si="1"/>
        <v>0.28999999999999998</v>
      </c>
    </row>
    <row r="88" spans="1:9" x14ac:dyDescent="0.25">
      <c r="A88" t="s">
        <v>2134</v>
      </c>
      <c r="B88" t="s">
        <v>201</v>
      </c>
      <c r="C88">
        <v>0.55000000000000004</v>
      </c>
      <c r="D88" t="s">
        <v>1727</v>
      </c>
      <c r="E88">
        <v>0.54</v>
      </c>
      <c r="F88" t="s">
        <v>1973</v>
      </c>
      <c r="G88">
        <v>0.54</v>
      </c>
      <c r="I88">
        <f t="shared" si="1"/>
        <v>0.5475000000000001</v>
      </c>
    </row>
    <row r="89" spans="1:9" x14ac:dyDescent="0.25">
      <c r="A89" t="s">
        <v>2168</v>
      </c>
      <c r="B89" t="s">
        <v>202</v>
      </c>
      <c r="C89">
        <v>0</v>
      </c>
      <c r="D89" t="s">
        <v>1728</v>
      </c>
      <c r="E89">
        <v>0</v>
      </c>
      <c r="F89" t="s">
        <v>1974</v>
      </c>
      <c r="G89">
        <v>0</v>
      </c>
      <c r="I89">
        <f t="shared" si="1"/>
        <v>0</v>
      </c>
    </row>
    <row r="90" spans="1:9" x14ac:dyDescent="0.25">
      <c r="A90" t="s">
        <v>2169</v>
      </c>
      <c r="B90" t="s">
        <v>203</v>
      </c>
      <c r="C90">
        <v>0</v>
      </c>
      <c r="D90" t="s">
        <v>1729</v>
      </c>
      <c r="E90">
        <v>0</v>
      </c>
      <c r="F90" t="s">
        <v>1975</v>
      </c>
      <c r="G90">
        <v>0</v>
      </c>
      <c r="I90">
        <f t="shared" si="1"/>
        <v>0</v>
      </c>
    </row>
    <row r="91" spans="1:9" x14ac:dyDescent="0.25">
      <c r="A91" t="s">
        <v>2170</v>
      </c>
      <c r="B91" t="s">
        <v>204</v>
      </c>
      <c r="C91">
        <v>0</v>
      </c>
      <c r="D91" t="s">
        <v>1730</v>
      </c>
      <c r="E91">
        <v>0</v>
      </c>
      <c r="F91" t="s">
        <v>1976</v>
      </c>
      <c r="G91">
        <v>0</v>
      </c>
      <c r="I91">
        <f t="shared" si="1"/>
        <v>0</v>
      </c>
    </row>
    <row r="92" spans="1:9" x14ac:dyDescent="0.25">
      <c r="A92" t="s">
        <v>2171</v>
      </c>
      <c r="B92" t="s">
        <v>205</v>
      </c>
      <c r="C92">
        <v>2</v>
      </c>
      <c r="D92" t="s">
        <v>1731</v>
      </c>
      <c r="E92">
        <v>2</v>
      </c>
      <c r="F92" t="s">
        <v>1977</v>
      </c>
      <c r="G92">
        <v>2</v>
      </c>
      <c r="I92">
        <f t="shared" si="1"/>
        <v>2</v>
      </c>
    </row>
    <row r="93" spans="1:9" x14ac:dyDescent="0.25">
      <c r="A93" t="s">
        <v>2172</v>
      </c>
      <c r="B93" t="s">
        <v>206</v>
      </c>
      <c r="C93">
        <v>4</v>
      </c>
      <c r="D93" t="s">
        <v>1732</v>
      </c>
      <c r="E93">
        <v>4</v>
      </c>
      <c r="F93" t="s">
        <v>1978</v>
      </c>
      <c r="G93">
        <v>4</v>
      </c>
      <c r="I93">
        <f t="shared" si="1"/>
        <v>4</v>
      </c>
    </row>
    <row r="94" spans="1:9" x14ac:dyDescent="0.25">
      <c r="A94" t="s">
        <v>2173</v>
      </c>
      <c r="B94" t="s">
        <v>207</v>
      </c>
      <c r="C94">
        <v>50</v>
      </c>
      <c r="D94" t="s">
        <v>1733</v>
      </c>
      <c r="E94">
        <v>50</v>
      </c>
      <c r="F94" t="s">
        <v>1979</v>
      </c>
      <c r="G94">
        <v>50</v>
      </c>
      <c r="I94">
        <f t="shared" si="1"/>
        <v>50</v>
      </c>
    </row>
    <row r="95" spans="1:9" x14ac:dyDescent="0.25">
      <c r="A95" t="s">
        <v>2134</v>
      </c>
      <c r="B95" t="s">
        <v>208</v>
      </c>
      <c r="C95">
        <v>0.27</v>
      </c>
      <c r="D95" t="s">
        <v>1734</v>
      </c>
      <c r="E95">
        <v>0.25</v>
      </c>
      <c r="F95" t="s">
        <v>1980</v>
      </c>
      <c r="G95">
        <v>0.13</v>
      </c>
      <c r="I95">
        <f t="shared" si="1"/>
        <v>0.25900000000000001</v>
      </c>
    </row>
    <row r="96" spans="1:9" x14ac:dyDescent="0.25">
      <c r="A96" t="s">
        <v>1239</v>
      </c>
      <c r="B96" t="s">
        <v>209</v>
      </c>
      <c r="C96">
        <v>1100</v>
      </c>
      <c r="D96" t="s">
        <v>1735</v>
      </c>
      <c r="E96">
        <v>1100</v>
      </c>
      <c r="F96" t="s">
        <v>1981</v>
      </c>
      <c r="G96">
        <v>1100</v>
      </c>
      <c r="I96">
        <f t="shared" si="1"/>
        <v>1100</v>
      </c>
    </row>
    <row r="97" spans="1:9" x14ac:dyDescent="0.25">
      <c r="A97" t="s">
        <v>1530</v>
      </c>
      <c r="B97" t="s">
        <v>210</v>
      </c>
      <c r="C97">
        <v>0</v>
      </c>
      <c r="D97" t="s">
        <v>1736</v>
      </c>
      <c r="E97">
        <v>150</v>
      </c>
      <c r="F97" t="s">
        <v>1982</v>
      </c>
      <c r="G97">
        <v>150</v>
      </c>
      <c r="I97">
        <f t="shared" si="1"/>
        <v>37.5</v>
      </c>
    </row>
    <row r="98" spans="1:9" x14ac:dyDescent="0.25">
      <c r="A98" t="s">
        <v>2174</v>
      </c>
      <c r="B98" t="s">
        <v>211</v>
      </c>
      <c r="C98">
        <v>0</v>
      </c>
      <c r="D98" t="s">
        <v>1737</v>
      </c>
      <c r="E98">
        <v>1100</v>
      </c>
      <c r="F98" t="s">
        <v>1983</v>
      </c>
      <c r="G98">
        <v>1100</v>
      </c>
      <c r="I98">
        <f t="shared" si="1"/>
        <v>275</v>
      </c>
    </row>
    <row r="99" spans="1:9" x14ac:dyDescent="0.25">
      <c r="A99" t="s">
        <v>2175</v>
      </c>
      <c r="B99" t="s">
        <v>212</v>
      </c>
      <c r="C99">
        <v>0</v>
      </c>
      <c r="D99" t="s">
        <v>1738</v>
      </c>
      <c r="E99">
        <v>250</v>
      </c>
      <c r="F99" t="s">
        <v>1984</v>
      </c>
      <c r="G99">
        <v>250</v>
      </c>
      <c r="I99">
        <f t="shared" si="1"/>
        <v>62.5</v>
      </c>
    </row>
    <row r="100" spans="1:9" x14ac:dyDescent="0.25">
      <c r="A100" t="s">
        <v>916</v>
      </c>
      <c r="B100" t="s">
        <v>213</v>
      </c>
      <c r="C100">
        <v>0</v>
      </c>
      <c r="D100" t="s">
        <v>1739</v>
      </c>
      <c r="E100">
        <v>8</v>
      </c>
      <c r="F100" t="s">
        <v>1985</v>
      </c>
      <c r="G100">
        <v>11</v>
      </c>
      <c r="I100">
        <f t="shared" si="1"/>
        <v>2.1500000000000004</v>
      </c>
    </row>
    <row r="101" spans="1:9" x14ac:dyDescent="0.25">
      <c r="A101" t="s">
        <v>114</v>
      </c>
      <c r="B101" t="s">
        <v>214</v>
      </c>
      <c r="C101">
        <v>100</v>
      </c>
      <c r="D101" t="s">
        <v>1740</v>
      </c>
      <c r="E101">
        <v>70</v>
      </c>
      <c r="F101" t="s">
        <v>1986</v>
      </c>
      <c r="G101">
        <v>70</v>
      </c>
      <c r="I101">
        <f t="shared" si="1"/>
        <v>92.5</v>
      </c>
    </row>
    <row r="102" spans="1:9" x14ac:dyDescent="0.25">
      <c r="A102" t="s">
        <v>2176</v>
      </c>
      <c r="B102" t="s">
        <v>215</v>
      </c>
      <c r="C102">
        <v>0</v>
      </c>
      <c r="D102" t="s">
        <v>1741</v>
      </c>
      <c r="E102">
        <v>730</v>
      </c>
      <c r="F102" t="s">
        <v>1987</v>
      </c>
      <c r="G102">
        <v>670</v>
      </c>
      <c r="I102">
        <f t="shared" si="1"/>
        <v>179.5</v>
      </c>
    </row>
    <row r="103" spans="1:9" x14ac:dyDescent="0.25">
      <c r="A103" t="s">
        <v>2177</v>
      </c>
      <c r="B103" t="s">
        <v>216</v>
      </c>
      <c r="C103">
        <v>-1</v>
      </c>
      <c r="D103" t="s">
        <v>1742</v>
      </c>
      <c r="E103">
        <v>-1</v>
      </c>
      <c r="F103" t="s">
        <v>1988</v>
      </c>
      <c r="G103">
        <v>820</v>
      </c>
      <c r="I103">
        <f t="shared" si="1"/>
        <v>40.049999999999997</v>
      </c>
    </row>
    <row r="104" spans="1:9" x14ac:dyDescent="0.25">
      <c r="A104" t="s">
        <v>406</v>
      </c>
      <c r="B104" t="s">
        <v>217</v>
      </c>
      <c r="C104">
        <v>2500</v>
      </c>
      <c r="D104" t="s">
        <v>1743</v>
      </c>
      <c r="E104">
        <v>1360</v>
      </c>
      <c r="F104" t="s">
        <v>1989</v>
      </c>
      <c r="G104">
        <v>1460</v>
      </c>
      <c r="I104">
        <f t="shared" si="1"/>
        <v>2220</v>
      </c>
    </row>
    <row r="105" spans="1:9" x14ac:dyDescent="0.25">
      <c r="A105" t="s">
        <v>2178</v>
      </c>
      <c r="B105" t="s">
        <v>218</v>
      </c>
      <c r="C105">
        <v>40</v>
      </c>
      <c r="D105" t="s">
        <v>1744</v>
      </c>
      <c r="E105">
        <v>40</v>
      </c>
      <c r="F105" t="s">
        <v>1990</v>
      </c>
      <c r="G105">
        <v>34</v>
      </c>
      <c r="I105">
        <f t="shared" si="1"/>
        <v>39.700000000000003</v>
      </c>
    </row>
    <row r="106" spans="1:9" x14ac:dyDescent="0.25">
      <c r="A106" t="s">
        <v>407</v>
      </c>
      <c r="B106" t="s">
        <v>219</v>
      </c>
      <c r="C106">
        <v>1400</v>
      </c>
      <c r="D106" t="s">
        <v>1745</v>
      </c>
      <c r="E106">
        <v>1400</v>
      </c>
      <c r="F106" t="s">
        <v>1991</v>
      </c>
      <c r="G106">
        <v>1400</v>
      </c>
      <c r="I106">
        <f t="shared" si="1"/>
        <v>1400</v>
      </c>
    </row>
    <row r="107" spans="1:9" x14ac:dyDescent="0.25">
      <c r="A107" t="s">
        <v>1238</v>
      </c>
      <c r="B107" t="s">
        <v>220</v>
      </c>
      <c r="C107">
        <v>250</v>
      </c>
      <c r="D107" t="s">
        <v>1746</v>
      </c>
      <c r="E107">
        <v>500</v>
      </c>
      <c r="F107" t="s">
        <v>1992</v>
      </c>
      <c r="G107">
        <v>500</v>
      </c>
      <c r="I107">
        <f t="shared" si="1"/>
        <v>312.5</v>
      </c>
    </row>
    <row r="108" spans="1:9" x14ac:dyDescent="0.25">
      <c r="A108" t="s">
        <v>2134</v>
      </c>
      <c r="B108" t="s">
        <v>221</v>
      </c>
      <c r="C108">
        <v>4.37E-4</v>
      </c>
      <c r="D108" t="s">
        <v>1747</v>
      </c>
      <c r="E108">
        <v>4.37E-4</v>
      </c>
      <c r="F108" t="s">
        <v>1993</v>
      </c>
      <c r="G108">
        <v>4.37E-4</v>
      </c>
      <c r="I108">
        <f t="shared" si="1"/>
        <v>4.3700000000000005E-4</v>
      </c>
    </row>
    <row r="109" spans="1:9" x14ac:dyDescent="0.25">
      <c r="A109" t="s">
        <v>371</v>
      </c>
      <c r="B109" t="s">
        <v>222</v>
      </c>
      <c r="C109">
        <v>375</v>
      </c>
      <c r="D109" t="s">
        <v>1748</v>
      </c>
      <c r="E109">
        <v>234</v>
      </c>
      <c r="F109" t="s">
        <v>1994</v>
      </c>
      <c r="G109">
        <v>340</v>
      </c>
      <c r="I109">
        <f t="shared" si="1"/>
        <v>345.05</v>
      </c>
    </row>
    <row r="110" spans="1:9" x14ac:dyDescent="0.25">
      <c r="A110" t="s">
        <v>2147</v>
      </c>
      <c r="B110" t="s">
        <v>223</v>
      </c>
      <c r="C110">
        <v>2.66</v>
      </c>
      <c r="D110" t="s">
        <v>1749</v>
      </c>
      <c r="E110">
        <v>10.4</v>
      </c>
      <c r="F110" t="s">
        <v>1995</v>
      </c>
      <c r="G110">
        <v>10.4</v>
      </c>
      <c r="I110">
        <f t="shared" si="1"/>
        <v>4.5950000000000006</v>
      </c>
    </row>
    <row r="111" spans="1:9" x14ac:dyDescent="0.25">
      <c r="A111" t="s">
        <v>2134</v>
      </c>
      <c r="B111" t="s">
        <v>224</v>
      </c>
      <c r="C111">
        <v>0.25</v>
      </c>
      <c r="D111" t="s">
        <v>1750</v>
      </c>
      <c r="E111">
        <v>0.01</v>
      </c>
      <c r="F111" t="s">
        <v>1996</v>
      </c>
      <c r="G111">
        <v>0.01</v>
      </c>
      <c r="I111">
        <f t="shared" si="1"/>
        <v>0.19</v>
      </c>
    </row>
    <row r="112" spans="1:9" x14ac:dyDescent="0.25">
      <c r="A112" t="s">
        <v>2134</v>
      </c>
      <c r="B112" t="s">
        <v>225</v>
      </c>
      <c r="C112">
        <v>0.65</v>
      </c>
      <c r="D112" t="s">
        <v>1751</v>
      </c>
      <c r="E112">
        <v>0.5</v>
      </c>
      <c r="F112" t="s">
        <v>1997</v>
      </c>
      <c r="G112">
        <v>0.45</v>
      </c>
      <c r="I112">
        <f t="shared" si="1"/>
        <v>0.61</v>
      </c>
    </row>
    <row r="113" spans="1:9" x14ac:dyDescent="0.25">
      <c r="A113" t="s">
        <v>112</v>
      </c>
      <c r="B113" t="s">
        <v>226</v>
      </c>
      <c r="C113">
        <v>0</v>
      </c>
      <c r="D113" t="s">
        <v>1752</v>
      </c>
      <c r="E113">
        <v>0</v>
      </c>
      <c r="F113" t="s">
        <v>1998</v>
      </c>
      <c r="G113">
        <v>0</v>
      </c>
      <c r="I113">
        <f t="shared" si="1"/>
        <v>0</v>
      </c>
    </row>
    <row r="114" spans="1:9" x14ac:dyDescent="0.25">
      <c r="A114" t="s">
        <v>1525</v>
      </c>
      <c r="B114" t="s">
        <v>227</v>
      </c>
      <c r="C114">
        <v>0.33</v>
      </c>
      <c r="D114" t="s">
        <v>1753</v>
      </c>
      <c r="E114">
        <v>0.33</v>
      </c>
      <c r="F114" t="s">
        <v>1999</v>
      </c>
      <c r="G114">
        <v>0.33</v>
      </c>
      <c r="I114">
        <f t="shared" si="1"/>
        <v>0.33</v>
      </c>
    </row>
    <row r="115" spans="1:9" x14ac:dyDescent="0.25">
      <c r="A115" t="s">
        <v>2179</v>
      </c>
      <c r="B115" t="s">
        <v>228</v>
      </c>
      <c r="C115">
        <v>0</v>
      </c>
      <c r="D115" t="s">
        <v>1754</v>
      </c>
      <c r="E115">
        <v>0</v>
      </c>
      <c r="F115" t="s">
        <v>2000</v>
      </c>
      <c r="G115">
        <v>0</v>
      </c>
      <c r="I115">
        <f t="shared" si="1"/>
        <v>0</v>
      </c>
    </row>
    <row r="116" spans="1:9" x14ac:dyDescent="0.25">
      <c r="A116" t="s">
        <v>113</v>
      </c>
      <c r="B116" t="s">
        <v>229</v>
      </c>
      <c r="C116">
        <v>0</v>
      </c>
      <c r="D116" t="s">
        <v>1755</v>
      </c>
      <c r="E116">
        <v>0</v>
      </c>
      <c r="F116" t="s">
        <v>2001</v>
      </c>
      <c r="G116">
        <v>0</v>
      </c>
      <c r="I116">
        <f t="shared" si="1"/>
        <v>0</v>
      </c>
    </row>
    <row r="117" spans="1:9" x14ac:dyDescent="0.25">
      <c r="A117" t="s">
        <v>2180</v>
      </c>
      <c r="B117" t="s">
        <v>230</v>
      </c>
      <c r="C117">
        <v>200</v>
      </c>
      <c r="D117" t="s">
        <v>1756</v>
      </c>
      <c r="E117">
        <v>200</v>
      </c>
      <c r="F117" t="s">
        <v>2002</v>
      </c>
      <c r="G117">
        <v>200</v>
      </c>
      <c r="I117">
        <f t="shared" si="1"/>
        <v>200</v>
      </c>
    </row>
    <row r="118" spans="1:9" x14ac:dyDescent="0.25">
      <c r="A118" t="s">
        <v>2181</v>
      </c>
      <c r="B118" t="s">
        <v>231</v>
      </c>
      <c r="C118">
        <v>83129</v>
      </c>
      <c r="D118" t="s">
        <v>1757</v>
      </c>
      <c r="E118">
        <v>83129</v>
      </c>
      <c r="F118" t="s">
        <v>2003</v>
      </c>
      <c r="G118">
        <v>83129</v>
      </c>
      <c r="I118">
        <f t="shared" si="1"/>
        <v>83129</v>
      </c>
    </row>
    <row r="119" spans="1:9" x14ac:dyDescent="0.25">
      <c r="A119" t="s">
        <v>2182</v>
      </c>
      <c r="B119" t="s">
        <v>232</v>
      </c>
      <c r="C119">
        <v>83129</v>
      </c>
      <c r="D119" t="s">
        <v>1758</v>
      </c>
      <c r="E119">
        <v>83129</v>
      </c>
      <c r="F119" t="s">
        <v>2004</v>
      </c>
      <c r="G119">
        <v>83129</v>
      </c>
      <c r="I119">
        <f t="shared" si="1"/>
        <v>83129</v>
      </c>
    </row>
    <row r="120" spans="1:9" x14ac:dyDescent="0.25">
      <c r="A120" t="s">
        <v>2183</v>
      </c>
      <c r="B120" t="s">
        <v>233</v>
      </c>
      <c r="C120">
        <v>200000</v>
      </c>
      <c r="D120" t="s">
        <v>1759</v>
      </c>
      <c r="E120">
        <v>200000</v>
      </c>
      <c r="F120" t="s">
        <v>2005</v>
      </c>
      <c r="G120">
        <v>200000</v>
      </c>
      <c r="I120">
        <f t="shared" si="1"/>
        <v>200000</v>
      </c>
    </row>
    <row r="121" spans="1:9" x14ac:dyDescent="0.25">
      <c r="A121" t="s">
        <v>2184</v>
      </c>
      <c r="B121" t="s">
        <v>234</v>
      </c>
      <c r="C121">
        <v>6</v>
      </c>
      <c r="D121" t="s">
        <v>1760</v>
      </c>
      <c r="E121">
        <v>6</v>
      </c>
      <c r="F121" t="s">
        <v>2006</v>
      </c>
      <c r="G121">
        <v>6</v>
      </c>
      <c r="I121">
        <f t="shared" si="1"/>
        <v>6</v>
      </c>
    </row>
    <row r="122" spans="1:9" x14ac:dyDescent="0.25">
      <c r="A122" t="s">
        <v>2185</v>
      </c>
      <c r="B122" t="s">
        <v>235</v>
      </c>
      <c r="C122">
        <v>284600</v>
      </c>
      <c r="D122" t="s">
        <v>1761</v>
      </c>
      <c r="E122">
        <v>284600</v>
      </c>
      <c r="F122" t="s">
        <v>2007</v>
      </c>
      <c r="G122">
        <v>284600</v>
      </c>
      <c r="I122">
        <f t="shared" si="1"/>
        <v>284600</v>
      </c>
    </row>
    <row r="123" spans="1:9" x14ac:dyDescent="0.25">
      <c r="A123" t="s">
        <v>2186</v>
      </c>
      <c r="B123" t="s">
        <v>236</v>
      </c>
      <c r="C123">
        <v>120</v>
      </c>
      <c r="D123" t="s">
        <v>1762</v>
      </c>
      <c r="E123">
        <v>120</v>
      </c>
      <c r="F123" t="s">
        <v>2008</v>
      </c>
      <c r="G123">
        <v>120</v>
      </c>
      <c r="I123">
        <f t="shared" si="1"/>
        <v>120</v>
      </c>
    </row>
    <row r="124" spans="1:9" x14ac:dyDescent="0.25">
      <c r="A124" t="s">
        <v>2187</v>
      </c>
      <c r="B124" t="s">
        <v>237</v>
      </c>
      <c r="C124">
        <v>50</v>
      </c>
      <c r="D124" t="s">
        <v>1763</v>
      </c>
      <c r="E124">
        <v>50</v>
      </c>
      <c r="F124" t="s">
        <v>2009</v>
      </c>
      <c r="G124">
        <v>50</v>
      </c>
      <c r="I124">
        <f t="shared" si="1"/>
        <v>50</v>
      </c>
    </row>
    <row r="125" spans="1:9" x14ac:dyDescent="0.25">
      <c r="A125" t="s">
        <v>2188</v>
      </c>
      <c r="B125" t="s">
        <v>238</v>
      </c>
      <c r="C125">
        <v>284600</v>
      </c>
      <c r="D125" t="s">
        <v>1764</v>
      </c>
      <c r="E125">
        <v>284600</v>
      </c>
      <c r="F125" t="s">
        <v>2010</v>
      </c>
      <c r="G125">
        <v>284600</v>
      </c>
      <c r="I125">
        <f t="shared" si="1"/>
        <v>284600</v>
      </c>
    </row>
    <row r="126" spans="1:9" x14ac:dyDescent="0.25">
      <c r="A126" t="s">
        <v>2140</v>
      </c>
      <c r="B126" t="s">
        <v>239</v>
      </c>
      <c r="C126">
        <v>1.5</v>
      </c>
      <c r="D126" t="s">
        <v>1765</v>
      </c>
      <c r="E126">
        <v>1</v>
      </c>
      <c r="F126" t="s">
        <v>2011</v>
      </c>
      <c r="G126">
        <v>2</v>
      </c>
      <c r="I126">
        <f t="shared" si="1"/>
        <v>1.425</v>
      </c>
    </row>
    <row r="127" spans="1:9" x14ac:dyDescent="0.25">
      <c r="A127" t="s">
        <v>2189</v>
      </c>
      <c r="B127" t="s">
        <v>240</v>
      </c>
      <c r="C127">
        <v>0</v>
      </c>
      <c r="D127" t="s">
        <v>1766</v>
      </c>
      <c r="E127">
        <v>0</v>
      </c>
      <c r="F127" t="s">
        <v>2012</v>
      </c>
      <c r="G127">
        <v>0</v>
      </c>
      <c r="I127">
        <f t="shared" si="1"/>
        <v>0</v>
      </c>
    </row>
    <row r="128" spans="1:9" x14ac:dyDescent="0.25">
      <c r="A128" t="s">
        <v>2134</v>
      </c>
      <c r="B128" t="s">
        <v>241</v>
      </c>
      <c r="C128">
        <v>0.2</v>
      </c>
      <c r="D128" t="s">
        <v>1767</v>
      </c>
      <c r="E128">
        <v>0.2</v>
      </c>
      <c r="F128" t="s">
        <v>2013</v>
      </c>
      <c r="G128">
        <v>1</v>
      </c>
      <c r="I128">
        <f t="shared" si="1"/>
        <v>0.24000000000000005</v>
      </c>
    </row>
    <row r="129" spans="1:9" x14ac:dyDescent="0.25">
      <c r="A129" t="s">
        <v>2134</v>
      </c>
      <c r="B129" t="s">
        <v>242</v>
      </c>
      <c r="C129">
        <v>0.4</v>
      </c>
      <c r="D129" t="s">
        <v>1768</v>
      </c>
      <c r="E129">
        <v>0.4</v>
      </c>
      <c r="F129" t="s">
        <v>2014</v>
      </c>
      <c r="G129">
        <v>0.4</v>
      </c>
      <c r="I129">
        <f t="shared" si="1"/>
        <v>0.40000000000000008</v>
      </c>
    </row>
    <row r="130" spans="1:9" x14ac:dyDescent="0.25">
      <c r="A130" t="s">
        <v>2190</v>
      </c>
      <c r="B130" t="s">
        <v>243</v>
      </c>
      <c r="C130">
        <v>0</v>
      </c>
      <c r="D130" t="s">
        <v>1769</v>
      </c>
      <c r="E130">
        <v>0.76</v>
      </c>
      <c r="F130" t="s">
        <v>2015</v>
      </c>
      <c r="G130">
        <v>0</v>
      </c>
      <c r="I130">
        <f t="shared" si="1"/>
        <v>0.15200000000000002</v>
      </c>
    </row>
    <row r="131" spans="1:9" x14ac:dyDescent="0.25">
      <c r="A131" t="s">
        <v>1220</v>
      </c>
      <c r="B131" t="s">
        <v>244</v>
      </c>
      <c r="C131">
        <v>270</v>
      </c>
      <c r="D131" t="s">
        <v>1770</v>
      </c>
      <c r="E131">
        <v>460</v>
      </c>
      <c r="F131" t="s">
        <v>2016</v>
      </c>
      <c r="G131">
        <v>650</v>
      </c>
      <c r="I131">
        <f t="shared" si="1"/>
        <v>327</v>
      </c>
    </row>
    <row r="132" spans="1:9" x14ac:dyDescent="0.25">
      <c r="A132" t="s">
        <v>2191</v>
      </c>
      <c r="B132" t="s">
        <v>245</v>
      </c>
      <c r="C132">
        <v>0</v>
      </c>
      <c r="D132" t="s">
        <v>1771</v>
      </c>
      <c r="E132">
        <v>0</v>
      </c>
      <c r="F132" t="s">
        <v>2017</v>
      </c>
      <c r="G132">
        <v>0</v>
      </c>
      <c r="I132">
        <f t="shared" si="1"/>
        <v>0</v>
      </c>
    </row>
    <row r="133" spans="1:9" x14ac:dyDescent="0.25">
      <c r="A133" t="s">
        <v>2134</v>
      </c>
      <c r="B133" t="s">
        <v>246</v>
      </c>
      <c r="C133" s="20">
        <v>1.4999999999999999E-2</v>
      </c>
      <c r="D133" t="s">
        <v>1772</v>
      </c>
      <c r="E133">
        <v>0.1</v>
      </c>
      <c r="F133" t="s">
        <v>2018</v>
      </c>
      <c r="G133">
        <v>0.1</v>
      </c>
      <c r="I133">
        <f t="shared" si="1"/>
        <v>3.6250000000000004E-2</v>
      </c>
    </row>
    <row r="134" spans="1:9" x14ac:dyDescent="0.25">
      <c r="A134" t="s">
        <v>2192</v>
      </c>
      <c r="B134" t="s">
        <v>247</v>
      </c>
      <c r="C134">
        <v>0</v>
      </c>
      <c r="D134" t="s">
        <v>1773</v>
      </c>
      <c r="E134">
        <v>0</v>
      </c>
      <c r="F134" t="s">
        <v>2019</v>
      </c>
      <c r="G134">
        <v>0</v>
      </c>
      <c r="I134">
        <f t="shared" si="1"/>
        <v>0</v>
      </c>
    </row>
    <row r="135" spans="1:9" x14ac:dyDescent="0.25">
      <c r="A135" t="s">
        <v>2193</v>
      </c>
      <c r="B135" t="s">
        <v>248</v>
      </c>
      <c r="C135">
        <v>0</v>
      </c>
      <c r="D135" t="s">
        <v>1774</v>
      </c>
      <c r="E135">
        <v>0</v>
      </c>
      <c r="F135" t="s">
        <v>2020</v>
      </c>
      <c r="G135">
        <v>0</v>
      </c>
      <c r="I135">
        <f t="shared" si="1"/>
        <v>0</v>
      </c>
    </row>
    <row r="136" spans="1:9" x14ac:dyDescent="0.25">
      <c r="A136" t="s">
        <v>2194</v>
      </c>
      <c r="B136" t="s">
        <v>249</v>
      </c>
      <c r="C136">
        <v>0</v>
      </c>
      <c r="D136" t="s">
        <v>1775</v>
      </c>
      <c r="E136">
        <v>0</v>
      </c>
      <c r="F136" t="s">
        <v>2021</v>
      </c>
      <c r="G136">
        <v>0</v>
      </c>
      <c r="I136">
        <f t="shared" si="1"/>
        <v>0</v>
      </c>
    </row>
    <row r="137" spans="1:9" x14ac:dyDescent="0.25">
      <c r="A137" t="s">
        <v>2195</v>
      </c>
      <c r="B137" t="s">
        <v>250</v>
      </c>
      <c r="C137">
        <v>0</v>
      </c>
      <c r="D137" t="s">
        <v>1776</v>
      </c>
      <c r="E137">
        <v>0</v>
      </c>
      <c r="F137" t="s">
        <v>2022</v>
      </c>
      <c r="G137">
        <v>0</v>
      </c>
      <c r="I137">
        <f t="shared" si="1"/>
        <v>0</v>
      </c>
    </row>
    <row r="138" spans="1:9" x14ac:dyDescent="0.25">
      <c r="A138" t="s">
        <v>1177</v>
      </c>
      <c r="B138" t="s">
        <v>251</v>
      </c>
      <c r="C138" s="20">
        <v>450</v>
      </c>
      <c r="D138" t="s">
        <v>1777</v>
      </c>
      <c r="E138">
        <v>330</v>
      </c>
      <c r="F138" t="s">
        <v>2023</v>
      </c>
      <c r="G138">
        <v>450</v>
      </c>
      <c r="I138">
        <f t="shared" si="1"/>
        <v>426</v>
      </c>
    </row>
    <row r="139" spans="1:9" x14ac:dyDescent="0.25">
      <c r="A139" t="s">
        <v>2134</v>
      </c>
      <c r="B139" t="s">
        <v>252</v>
      </c>
      <c r="C139">
        <v>2.5000000000000001E-4</v>
      </c>
      <c r="D139" t="s">
        <v>1778</v>
      </c>
      <c r="E139">
        <v>2.5000000000000001E-4</v>
      </c>
      <c r="F139" t="s">
        <v>2024</v>
      </c>
      <c r="G139">
        <v>2.5000000000000001E-4</v>
      </c>
      <c r="I139">
        <f t="shared" si="1"/>
        <v>2.5000000000000001E-4</v>
      </c>
    </row>
    <row r="140" spans="1:9" x14ac:dyDescent="0.25">
      <c r="A140" t="s">
        <v>2196</v>
      </c>
      <c r="B140" t="s">
        <v>253</v>
      </c>
      <c r="C140">
        <v>0</v>
      </c>
      <c r="D140" t="s">
        <v>1779</v>
      </c>
      <c r="E140">
        <v>0</v>
      </c>
      <c r="F140" t="s">
        <v>2025</v>
      </c>
      <c r="G140">
        <v>0</v>
      </c>
      <c r="I140">
        <f t="shared" si="1"/>
        <v>0</v>
      </c>
    </row>
    <row r="141" spans="1:9" x14ac:dyDescent="0.25">
      <c r="A141" t="s">
        <v>2197</v>
      </c>
      <c r="B141" t="s">
        <v>254</v>
      </c>
      <c r="C141">
        <v>0</v>
      </c>
      <c r="D141" t="s">
        <v>1780</v>
      </c>
      <c r="E141">
        <v>0</v>
      </c>
      <c r="F141" t="s">
        <v>2026</v>
      </c>
      <c r="G141">
        <v>0</v>
      </c>
      <c r="I141">
        <f t="shared" si="1"/>
        <v>0</v>
      </c>
    </row>
    <row r="142" spans="1:9" x14ac:dyDescent="0.25">
      <c r="A142" t="s">
        <v>2198</v>
      </c>
      <c r="B142" t="s">
        <v>255</v>
      </c>
      <c r="C142">
        <v>1.0000000000000001E-5</v>
      </c>
      <c r="D142" t="s">
        <v>1781</v>
      </c>
      <c r="E142">
        <v>2.0000000000000001E-4</v>
      </c>
      <c r="F142" t="s">
        <v>2027</v>
      </c>
      <c r="G142">
        <v>2.0000000000000001E-4</v>
      </c>
      <c r="I142">
        <f t="shared" ref="I142:I205" si="2">C142*$H$5+E142*$H$6+G142*$H$7</f>
        <v>5.7500000000000002E-5</v>
      </c>
    </row>
    <row r="143" spans="1:9" x14ac:dyDescent="0.25">
      <c r="A143" t="s">
        <v>2134</v>
      </c>
      <c r="B143" t="s">
        <v>256</v>
      </c>
      <c r="C143">
        <v>0.15</v>
      </c>
      <c r="D143" t="s">
        <v>1782</v>
      </c>
      <c r="E143">
        <v>0.1</v>
      </c>
      <c r="F143" t="s">
        <v>2028</v>
      </c>
      <c r="G143">
        <v>0.1</v>
      </c>
      <c r="I143">
        <f t="shared" si="2"/>
        <v>0.13750000000000001</v>
      </c>
    </row>
    <row r="144" spans="1:9" x14ac:dyDescent="0.25">
      <c r="A144" t="s">
        <v>2199</v>
      </c>
      <c r="B144" t="s">
        <v>257</v>
      </c>
      <c r="C144">
        <v>25</v>
      </c>
      <c r="D144" t="s">
        <v>1783</v>
      </c>
      <c r="E144">
        <v>35</v>
      </c>
      <c r="F144" t="s">
        <v>2029</v>
      </c>
      <c r="G144">
        <v>35</v>
      </c>
      <c r="I144">
        <f t="shared" si="2"/>
        <v>27.5</v>
      </c>
    </row>
    <row r="145" spans="1:9" x14ac:dyDescent="0.25">
      <c r="A145" t="s">
        <v>2134</v>
      </c>
      <c r="B145" t="s">
        <v>258</v>
      </c>
      <c r="C145">
        <v>0.03</v>
      </c>
      <c r="D145" t="s">
        <v>1784</v>
      </c>
      <c r="E145">
        <v>0.03</v>
      </c>
      <c r="F145" t="s">
        <v>2030</v>
      </c>
      <c r="G145">
        <v>0.02</v>
      </c>
      <c r="I145">
        <f t="shared" si="2"/>
        <v>2.9499999999999998E-2</v>
      </c>
    </row>
    <row r="146" spans="1:9" x14ac:dyDescent="0.25">
      <c r="A146" t="s">
        <v>2134</v>
      </c>
      <c r="B146" t="s">
        <v>259</v>
      </c>
      <c r="C146">
        <v>0.01</v>
      </c>
      <c r="D146" t="s">
        <v>1785</v>
      </c>
      <c r="E146">
        <v>0.01</v>
      </c>
      <c r="F146" t="s">
        <v>2031</v>
      </c>
      <c r="G146">
        <v>0.01</v>
      </c>
      <c r="I146">
        <f t="shared" si="2"/>
        <v>0.01</v>
      </c>
    </row>
    <row r="147" spans="1:9" x14ac:dyDescent="0.25">
      <c r="A147" t="s">
        <v>2134</v>
      </c>
      <c r="B147" t="s">
        <v>260</v>
      </c>
      <c r="C147">
        <v>1.4999999999999999E-2</v>
      </c>
      <c r="D147" t="s">
        <v>1786</v>
      </c>
      <c r="E147">
        <v>1.4999999999999999E-2</v>
      </c>
      <c r="F147" t="s">
        <v>2032</v>
      </c>
      <c r="G147">
        <v>0.01</v>
      </c>
      <c r="I147">
        <f t="shared" si="2"/>
        <v>1.4749999999999999E-2</v>
      </c>
    </row>
    <row r="148" spans="1:9" x14ac:dyDescent="0.25">
      <c r="A148" t="s">
        <v>2134</v>
      </c>
      <c r="B148" t="s">
        <v>261</v>
      </c>
      <c r="C148">
        <v>1E-3</v>
      </c>
      <c r="D148" t="s">
        <v>1787</v>
      </c>
      <c r="E148">
        <v>1E-3</v>
      </c>
      <c r="F148" t="s">
        <v>2033</v>
      </c>
      <c r="G148">
        <v>1E-3</v>
      </c>
      <c r="I148">
        <f t="shared" si="2"/>
        <v>1E-3</v>
      </c>
    </row>
    <row r="149" spans="1:9" x14ac:dyDescent="0.25">
      <c r="A149" t="s">
        <v>2134</v>
      </c>
      <c r="B149" t="s">
        <v>262</v>
      </c>
      <c r="C149">
        <v>0.11</v>
      </c>
      <c r="D149" t="s">
        <v>1788</v>
      </c>
      <c r="E149">
        <v>0.5</v>
      </c>
      <c r="F149" t="s">
        <v>2034</v>
      </c>
      <c r="G149">
        <v>0.4</v>
      </c>
      <c r="I149">
        <f t="shared" si="2"/>
        <v>0.20250000000000001</v>
      </c>
    </row>
    <row r="150" spans="1:9" x14ac:dyDescent="0.25">
      <c r="A150" t="s">
        <v>2200</v>
      </c>
      <c r="B150" t="s">
        <v>263</v>
      </c>
      <c r="C150">
        <v>100000000</v>
      </c>
      <c r="D150" t="s">
        <v>1789</v>
      </c>
      <c r="E150">
        <v>100000000</v>
      </c>
      <c r="F150" t="s">
        <v>2035</v>
      </c>
      <c r="G150">
        <v>100000000</v>
      </c>
      <c r="I150">
        <f t="shared" si="2"/>
        <v>100000000</v>
      </c>
    </row>
    <row r="151" spans="1:9" x14ac:dyDescent="0.25">
      <c r="A151" t="s">
        <v>2201</v>
      </c>
      <c r="B151" t="s">
        <v>264</v>
      </c>
      <c r="C151">
        <v>0</v>
      </c>
      <c r="D151" t="s">
        <v>1790</v>
      </c>
      <c r="E151">
        <v>0</v>
      </c>
      <c r="F151" t="s">
        <v>2036</v>
      </c>
      <c r="G151">
        <v>0</v>
      </c>
      <c r="I151">
        <f t="shared" si="2"/>
        <v>0</v>
      </c>
    </row>
    <row r="152" spans="1:9" x14ac:dyDescent="0.25">
      <c r="A152" t="s">
        <v>2134</v>
      </c>
      <c r="B152" t="s">
        <v>265</v>
      </c>
      <c r="C152">
        <v>0.17499999999999999</v>
      </c>
      <c r="D152" t="s">
        <v>1791</v>
      </c>
      <c r="E152">
        <v>0.17499999999999999</v>
      </c>
      <c r="F152" t="s">
        <v>2037</v>
      </c>
      <c r="G152">
        <v>0.17499999999999999</v>
      </c>
      <c r="I152">
        <f t="shared" si="2"/>
        <v>0.17499999999999999</v>
      </c>
    </row>
    <row r="153" spans="1:9" x14ac:dyDescent="0.25">
      <c r="A153" t="s">
        <v>2134</v>
      </c>
      <c r="B153" t="s">
        <v>266</v>
      </c>
      <c r="C153">
        <v>0.17499999999999999</v>
      </c>
      <c r="D153" t="s">
        <v>1792</v>
      </c>
      <c r="E153">
        <v>0.17499999999999999</v>
      </c>
      <c r="F153" t="s">
        <v>2038</v>
      </c>
      <c r="G153">
        <v>0.17499999999999999</v>
      </c>
      <c r="I153">
        <f t="shared" si="2"/>
        <v>0.17499999999999999</v>
      </c>
    </row>
    <row r="154" spans="1:9" x14ac:dyDescent="0.25">
      <c r="A154" t="s">
        <v>2134</v>
      </c>
      <c r="B154" t="s">
        <v>267</v>
      </c>
      <c r="C154">
        <v>5.0000000000000001E-4</v>
      </c>
      <c r="D154" t="s">
        <v>1793</v>
      </c>
      <c r="E154">
        <v>5.0000000000000001E-4</v>
      </c>
      <c r="F154" t="s">
        <v>2039</v>
      </c>
      <c r="G154">
        <v>5.0000000000000001E-4</v>
      </c>
      <c r="I154">
        <f t="shared" si="2"/>
        <v>5.0000000000000001E-4</v>
      </c>
    </row>
    <row r="155" spans="1:9" x14ac:dyDescent="0.25">
      <c r="A155" t="s">
        <v>2202</v>
      </c>
      <c r="B155" t="s">
        <v>268</v>
      </c>
      <c r="C155">
        <v>1.0000000000000001E-9</v>
      </c>
      <c r="D155" t="s">
        <v>1794</v>
      </c>
      <c r="E155">
        <v>1.0000000000000001E-9</v>
      </c>
      <c r="F155" t="s">
        <v>2040</v>
      </c>
      <c r="G155">
        <v>1.0000000000000001E-9</v>
      </c>
      <c r="I155">
        <f t="shared" si="2"/>
        <v>1.0000000000000003E-9</v>
      </c>
    </row>
    <row r="156" spans="1:9" x14ac:dyDescent="0.25">
      <c r="A156" t="s">
        <v>2203</v>
      </c>
      <c r="B156" t="s">
        <v>269</v>
      </c>
      <c r="C156">
        <v>0</v>
      </c>
      <c r="D156" t="s">
        <v>1795</v>
      </c>
      <c r="E156">
        <v>0.19500000000000001</v>
      </c>
      <c r="F156" t="s">
        <v>2041</v>
      </c>
      <c r="G156">
        <v>0.432</v>
      </c>
      <c r="I156">
        <f t="shared" si="2"/>
        <v>6.0600000000000008E-2</v>
      </c>
    </row>
    <row r="157" spans="1:9" x14ac:dyDescent="0.25">
      <c r="A157" t="s">
        <v>2134</v>
      </c>
      <c r="B157" t="s">
        <v>270</v>
      </c>
      <c r="C157">
        <v>1.55E-2</v>
      </c>
      <c r="D157" t="s">
        <v>1796</v>
      </c>
      <c r="E157">
        <v>0.02</v>
      </c>
      <c r="F157" t="s">
        <v>2042</v>
      </c>
      <c r="G157">
        <v>0.02</v>
      </c>
      <c r="I157">
        <f t="shared" si="2"/>
        <v>1.6625000000000001E-2</v>
      </c>
    </row>
    <row r="158" spans="1:9" x14ac:dyDescent="0.25">
      <c r="A158" t="s">
        <v>2204</v>
      </c>
      <c r="B158" t="s">
        <v>271</v>
      </c>
      <c r="C158">
        <v>0</v>
      </c>
      <c r="D158" t="s">
        <v>1797</v>
      </c>
      <c r="E158">
        <v>0</v>
      </c>
      <c r="F158" t="s">
        <v>2043</v>
      </c>
      <c r="G158">
        <v>0</v>
      </c>
      <c r="I158">
        <f t="shared" si="2"/>
        <v>0</v>
      </c>
    </row>
    <row r="159" spans="1:9" x14ac:dyDescent="0.25">
      <c r="A159" t="s">
        <v>2134</v>
      </c>
      <c r="B159" t="s">
        <v>272</v>
      </c>
      <c r="C159">
        <v>1.15E-2</v>
      </c>
      <c r="D159" t="s">
        <v>1798</v>
      </c>
      <c r="E159">
        <v>2.7E-2</v>
      </c>
      <c r="F159" t="s">
        <v>2044</v>
      </c>
      <c r="G159">
        <v>1.2E-2</v>
      </c>
      <c r="I159">
        <f t="shared" si="2"/>
        <v>1.4625000000000001E-2</v>
      </c>
    </row>
    <row r="160" spans="1:9" x14ac:dyDescent="0.25">
      <c r="A160" t="s">
        <v>2134</v>
      </c>
      <c r="B160" t="s">
        <v>273</v>
      </c>
      <c r="C160">
        <v>2.5000000000000001E-3</v>
      </c>
      <c r="D160" t="s">
        <v>1799</v>
      </c>
      <c r="E160">
        <v>8.0000000000000002E-3</v>
      </c>
      <c r="F160" t="s">
        <v>2045</v>
      </c>
      <c r="G160">
        <v>3.5000000000000001E-3</v>
      </c>
      <c r="I160">
        <f t="shared" si="2"/>
        <v>3.6499999999999996E-3</v>
      </c>
    </row>
    <row r="161" spans="1:9" x14ac:dyDescent="0.25">
      <c r="A161" t="s">
        <v>2134</v>
      </c>
      <c r="B161" t="s">
        <v>274</v>
      </c>
      <c r="C161">
        <v>0.03</v>
      </c>
      <c r="D161" t="s">
        <v>1800</v>
      </c>
      <c r="E161">
        <v>2.7E-2</v>
      </c>
      <c r="F161" t="s">
        <v>2046</v>
      </c>
      <c r="G161">
        <v>1.2E-2</v>
      </c>
      <c r="I161">
        <f t="shared" si="2"/>
        <v>2.8500000000000001E-2</v>
      </c>
    </row>
    <row r="162" spans="1:9" x14ac:dyDescent="0.25">
      <c r="A162" t="s">
        <v>2134</v>
      </c>
      <c r="B162" t="s">
        <v>275</v>
      </c>
      <c r="C162">
        <v>0.03</v>
      </c>
      <c r="D162" t="s">
        <v>1801</v>
      </c>
      <c r="E162">
        <v>8.0000000000000002E-3</v>
      </c>
      <c r="F162" t="s">
        <v>2047</v>
      </c>
      <c r="G162">
        <v>3.5000000000000001E-3</v>
      </c>
      <c r="I162">
        <f t="shared" si="2"/>
        <v>2.4275000000000001E-2</v>
      </c>
    </row>
    <row r="163" spans="1:9" x14ac:dyDescent="0.25">
      <c r="A163" t="s">
        <v>2134</v>
      </c>
      <c r="B163" t="s">
        <v>276</v>
      </c>
      <c r="C163">
        <v>0.03</v>
      </c>
      <c r="D163" t="s">
        <v>1802</v>
      </c>
      <c r="E163">
        <v>4.7E-2</v>
      </c>
      <c r="F163" t="s">
        <v>2048</v>
      </c>
      <c r="G163">
        <v>3.2000000000000001E-2</v>
      </c>
      <c r="I163">
        <f t="shared" si="2"/>
        <v>3.3499999999999995E-2</v>
      </c>
    </row>
    <row r="164" spans="1:9" x14ac:dyDescent="0.25">
      <c r="A164" t="s">
        <v>2134</v>
      </c>
      <c r="B164" t="s">
        <v>277</v>
      </c>
      <c r="C164">
        <v>0.03</v>
      </c>
      <c r="D164" t="s">
        <v>1803</v>
      </c>
      <c r="E164">
        <v>0.03</v>
      </c>
      <c r="F164" t="s">
        <v>2049</v>
      </c>
      <c r="G164">
        <v>0.01</v>
      </c>
      <c r="I164">
        <f t="shared" si="2"/>
        <v>2.8999999999999998E-2</v>
      </c>
    </row>
    <row r="165" spans="1:9" x14ac:dyDescent="0.25">
      <c r="A165" t="s">
        <v>2134</v>
      </c>
      <c r="B165" t="s">
        <v>278</v>
      </c>
      <c r="C165">
        <v>0.03</v>
      </c>
      <c r="D165" t="s">
        <v>1804</v>
      </c>
      <c r="E165">
        <v>2.7E-2</v>
      </c>
      <c r="F165" t="s">
        <v>2050</v>
      </c>
      <c r="G165">
        <v>1.2E-2</v>
      </c>
      <c r="I165">
        <f t="shared" si="2"/>
        <v>2.8500000000000001E-2</v>
      </c>
    </row>
    <row r="166" spans="1:9" x14ac:dyDescent="0.25">
      <c r="A166" t="s">
        <v>2134</v>
      </c>
      <c r="B166" t="s">
        <v>279</v>
      </c>
      <c r="C166">
        <v>0.03</v>
      </c>
      <c r="D166" t="s">
        <v>1805</v>
      </c>
      <c r="E166">
        <v>8.0000000000000002E-3</v>
      </c>
      <c r="F166" t="s">
        <v>2051</v>
      </c>
      <c r="G166">
        <v>3.5000000000000001E-3</v>
      </c>
      <c r="I166">
        <f t="shared" si="2"/>
        <v>2.4275000000000001E-2</v>
      </c>
    </row>
    <row r="167" spans="1:9" x14ac:dyDescent="0.25">
      <c r="A167" t="s">
        <v>2205</v>
      </c>
      <c r="B167" t="s">
        <v>280</v>
      </c>
      <c r="C167">
        <v>5</v>
      </c>
      <c r="D167" t="s">
        <v>1806</v>
      </c>
      <c r="E167">
        <v>5</v>
      </c>
      <c r="F167" t="s">
        <v>2052</v>
      </c>
      <c r="G167">
        <v>5</v>
      </c>
      <c r="I167">
        <f t="shared" si="2"/>
        <v>5</v>
      </c>
    </row>
    <row r="168" spans="1:9" x14ac:dyDescent="0.25">
      <c r="A168" t="s">
        <v>2134</v>
      </c>
      <c r="B168" t="s">
        <v>281</v>
      </c>
      <c r="C168">
        <v>0.5</v>
      </c>
      <c r="D168" t="s">
        <v>1807</v>
      </c>
      <c r="E168">
        <v>0</v>
      </c>
      <c r="F168" t="s">
        <v>2053</v>
      </c>
      <c r="G168">
        <v>0</v>
      </c>
      <c r="I168">
        <f t="shared" si="2"/>
        <v>0.375</v>
      </c>
    </row>
    <row r="169" spans="1:9" x14ac:dyDescent="0.25">
      <c r="A169" t="s">
        <v>2206</v>
      </c>
      <c r="B169" t="s">
        <v>282</v>
      </c>
      <c r="C169">
        <v>44</v>
      </c>
      <c r="D169" t="s">
        <v>1808</v>
      </c>
      <c r="E169">
        <v>44</v>
      </c>
      <c r="F169" t="s">
        <v>2054</v>
      </c>
      <c r="G169">
        <v>44</v>
      </c>
      <c r="I169">
        <f t="shared" si="2"/>
        <v>44</v>
      </c>
    </row>
    <row r="170" spans="1:9" x14ac:dyDescent="0.25">
      <c r="A170" t="s">
        <v>2207</v>
      </c>
      <c r="B170" t="s">
        <v>283</v>
      </c>
      <c r="C170">
        <v>5</v>
      </c>
      <c r="D170" t="s">
        <v>1809</v>
      </c>
      <c r="E170">
        <v>5</v>
      </c>
      <c r="F170" t="s">
        <v>2055</v>
      </c>
      <c r="G170">
        <v>5</v>
      </c>
      <c r="I170">
        <f t="shared" si="2"/>
        <v>5</v>
      </c>
    </row>
    <row r="171" spans="1:9" x14ac:dyDescent="0.25">
      <c r="A171" t="s">
        <v>2208</v>
      </c>
      <c r="B171" t="s">
        <v>284</v>
      </c>
      <c r="C171">
        <v>35</v>
      </c>
      <c r="D171" t="s">
        <v>1810</v>
      </c>
      <c r="E171">
        <v>35</v>
      </c>
      <c r="F171" t="s">
        <v>2056</v>
      </c>
      <c r="G171">
        <v>35</v>
      </c>
      <c r="I171">
        <f t="shared" si="2"/>
        <v>35</v>
      </c>
    </row>
    <row r="172" spans="1:9" x14ac:dyDescent="0.25">
      <c r="A172" t="s">
        <v>2209</v>
      </c>
      <c r="B172" t="s">
        <v>285</v>
      </c>
      <c r="C172">
        <v>-6</v>
      </c>
      <c r="D172" t="s">
        <v>1811</v>
      </c>
      <c r="E172">
        <v>-6</v>
      </c>
      <c r="F172" t="s">
        <v>2057</v>
      </c>
      <c r="G172">
        <v>-6</v>
      </c>
      <c r="I172">
        <f t="shared" si="2"/>
        <v>-6</v>
      </c>
    </row>
    <row r="173" spans="1:9" x14ac:dyDescent="0.25">
      <c r="A173" t="s">
        <v>2210</v>
      </c>
      <c r="B173" t="s">
        <v>286</v>
      </c>
      <c r="C173">
        <v>2</v>
      </c>
      <c r="D173" t="s">
        <v>1812</v>
      </c>
      <c r="E173">
        <v>2</v>
      </c>
      <c r="F173" t="s">
        <v>2058</v>
      </c>
      <c r="G173">
        <v>1</v>
      </c>
      <c r="I173">
        <f t="shared" si="2"/>
        <v>1.95</v>
      </c>
    </row>
    <row r="174" spans="1:9" x14ac:dyDescent="0.25">
      <c r="A174" t="s">
        <v>2211</v>
      </c>
      <c r="B174" t="s">
        <v>287</v>
      </c>
      <c r="C174">
        <v>5</v>
      </c>
      <c r="D174" t="s">
        <v>1813</v>
      </c>
      <c r="E174">
        <v>5</v>
      </c>
      <c r="F174" t="s">
        <v>2059</v>
      </c>
      <c r="G174">
        <v>5</v>
      </c>
      <c r="I174">
        <f t="shared" si="2"/>
        <v>5</v>
      </c>
    </row>
    <row r="175" spans="1:9" x14ac:dyDescent="0.25">
      <c r="A175" t="s">
        <v>2212</v>
      </c>
      <c r="B175" t="s">
        <v>288</v>
      </c>
      <c r="C175">
        <v>5</v>
      </c>
      <c r="D175" t="s">
        <v>1814</v>
      </c>
      <c r="E175">
        <v>5</v>
      </c>
      <c r="F175" t="s">
        <v>2060</v>
      </c>
      <c r="G175">
        <v>5</v>
      </c>
      <c r="I175">
        <f t="shared" si="2"/>
        <v>5</v>
      </c>
    </row>
    <row r="176" spans="1:9" x14ac:dyDescent="0.25">
      <c r="A176" t="s">
        <v>2213</v>
      </c>
      <c r="B176" t="s">
        <v>289</v>
      </c>
      <c r="C176">
        <v>0</v>
      </c>
      <c r="D176" t="s">
        <v>1815</v>
      </c>
      <c r="E176">
        <v>0</v>
      </c>
      <c r="F176" t="s">
        <v>2061</v>
      </c>
      <c r="G176">
        <v>0</v>
      </c>
      <c r="I176">
        <f t="shared" si="2"/>
        <v>0</v>
      </c>
    </row>
    <row r="177" spans="1:9" x14ac:dyDescent="0.25">
      <c r="A177" t="s">
        <v>2134</v>
      </c>
      <c r="B177" t="s">
        <v>290</v>
      </c>
      <c r="C177">
        <v>0.22</v>
      </c>
      <c r="D177" t="s">
        <v>1816</v>
      </c>
      <c r="E177">
        <v>0.25</v>
      </c>
      <c r="F177" t="s">
        <v>2062</v>
      </c>
      <c r="G177">
        <v>0.25</v>
      </c>
      <c r="I177">
        <f t="shared" si="2"/>
        <v>0.22750000000000004</v>
      </c>
    </row>
    <row r="178" spans="1:9" x14ac:dyDescent="0.25">
      <c r="A178" t="s">
        <v>2140</v>
      </c>
      <c r="B178" t="s">
        <v>291</v>
      </c>
      <c r="C178">
        <v>1.1000000000000001</v>
      </c>
      <c r="D178" t="s">
        <v>1817</v>
      </c>
      <c r="E178">
        <v>1.1000000000000001</v>
      </c>
      <c r="F178" t="s">
        <v>2063</v>
      </c>
      <c r="G178">
        <v>1.1000000000000001</v>
      </c>
      <c r="I178">
        <f t="shared" si="2"/>
        <v>1.1000000000000001</v>
      </c>
    </row>
    <row r="179" spans="1:9" x14ac:dyDescent="0.25">
      <c r="A179" t="s">
        <v>2214</v>
      </c>
      <c r="B179" t="s">
        <v>292</v>
      </c>
      <c r="C179">
        <v>0</v>
      </c>
      <c r="D179" t="s">
        <v>1818</v>
      </c>
      <c r="E179">
        <v>0</v>
      </c>
      <c r="F179" t="s">
        <v>2064</v>
      </c>
      <c r="G179">
        <v>0</v>
      </c>
      <c r="I179">
        <f t="shared" si="2"/>
        <v>0</v>
      </c>
    </row>
    <row r="180" spans="1:9" x14ac:dyDescent="0.25">
      <c r="A180" t="s">
        <v>2136</v>
      </c>
      <c r="B180" t="s">
        <v>293</v>
      </c>
      <c r="C180">
        <v>5.3</v>
      </c>
      <c r="D180" t="s">
        <v>1819</v>
      </c>
      <c r="E180">
        <v>5.3</v>
      </c>
      <c r="F180" t="s">
        <v>2065</v>
      </c>
      <c r="G180">
        <v>5.3</v>
      </c>
      <c r="I180">
        <f t="shared" si="2"/>
        <v>5.3</v>
      </c>
    </row>
    <row r="181" spans="1:9" x14ac:dyDescent="0.25">
      <c r="A181" t="s">
        <v>2215</v>
      </c>
      <c r="B181" t="s">
        <v>294</v>
      </c>
      <c r="C181">
        <v>-3.2</v>
      </c>
      <c r="D181" t="s">
        <v>1820</v>
      </c>
      <c r="E181">
        <v>-3.2</v>
      </c>
      <c r="F181" t="s">
        <v>2066</v>
      </c>
      <c r="G181">
        <v>-3.2</v>
      </c>
      <c r="I181">
        <f t="shared" si="2"/>
        <v>-3.2000000000000006</v>
      </c>
    </row>
    <row r="182" spans="1:9" x14ac:dyDescent="0.25">
      <c r="A182" t="s">
        <v>2134</v>
      </c>
      <c r="B182" t="s">
        <v>295</v>
      </c>
      <c r="C182">
        <v>0.84</v>
      </c>
      <c r="D182" t="s">
        <v>1821</v>
      </c>
      <c r="E182">
        <v>1</v>
      </c>
      <c r="F182" t="s">
        <v>2067</v>
      </c>
      <c r="G182">
        <v>1</v>
      </c>
      <c r="I182">
        <f t="shared" si="2"/>
        <v>0.88000000000000012</v>
      </c>
    </row>
    <row r="183" spans="1:9" x14ac:dyDescent="0.25">
      <c r="A183" t="s">
        <v>2216</v>
      </c>
      <c r="B183" t="s">
        <v>296</v>
      </c>
      <c r="C183">
        <v>-30</v>
      </c>
      <c r="D183" t="s">
        <v>1822</v>
      </c>
      <c r="E183">
        <v>-30</v>
      </c>
      <c r="F183" t="s">
        <v>2068</v>
      </c>
      <c r="G183">
        <v>-30</v>
      </c>
      <c r="I183">
        <f t="shared" si="2"/>
        <v>-30</v>
      </c>
    </row>
    <row r="184" spans="1:9" x14ac:dyDescent="0.25">
      <c r="A184" t="s">
        <v>2217</v>
      </c>
      <c r="B184" t="s">
        <v>297</v>
      </c>
      <c r="C184">
        <v>50</v>
      </c>
      <c r="D184" t="s">
        <v>1823</v>
      </c>
      <c r="E184">
        <v>40</v>
      </c>
      <c r="F184" t="s">
        <v>2069</v>
      </c>
      <c r="G184">
        <v>48</v>
      </c>
      <c r="I184">
        <f t="shared" si="2"/>
        <v>47.9</v>
      </c>
    </row>
    <row r="185" spans="1:9" x14ac:dyDescent="0.25">
      <c r="A185" t="s">
        <v>2218</v>
      </c>
      <c r="B185" t="s">
        <v>298</v>
      </c>
      <c r="C185">
        <v>0</v>
      </c>
      <c r="D185" t="s">
        <v>1824</v>
      </c>
      <c r="E185">
        <v>0</v>
      </c>
      <c r="F185" t="s">
        <v>2070</v>
      </c>
      <c r="G185">
        <v>10</v>
      </c>
      <c r="I185">
        <f t="shared" si="2"/>
        <v>0.5</v>
      </c>
    </row>
    <row r="186" spans="1:9" x14ac:dyDescent="0.25">
      <c r="A186" t="s">
        <v>1195</v>
      </c>
      <c r="B186" t="s">
        <v>299</v>
      </c>
      <c r="C186">
        <v>25</v>
      </c>
      <c r="D186" t="s">
        <v>1825</v>
      </c>
      <c r="E186">
        <v>20</v>
      </c>
      <c r="F186" t="s">
        <v>2071</v>
      </c>
      <c r="G186">
        <v>28</v>
      </c>
      <c r="I186">
        <f t="shared" si="2"/>
        <v>24.15</v>
      </c>
    </row>
    <row r="187" spans="1:9" x14ac:dyDescent="0.25">
      <c r="A187" t="s">
        <v>2134</v>
      </c>
      <c r="B187" t="s">
        <v>300</v>
      </c>
      <c r="C187">
        <v>0.5</v>
      </c>
      <c r="D187" t="s">
        <v>1826</v>
      </c>
      <c r="E187">
        <v>0.4</v>
      </c>
      <c r="F187" t="s">
        <v>2072</v>
      </c>
      <c r="G187">
        <v>0.4</v>
      </c>
      <c r="I187">
        <f t="shared" si="2"/>
        <v>0.47500000000000003</v>
      </c>
    </row>
    <row r="188" spans="1:9" x14ac:dyDescent="0.25">
      <c r="A188" t="s">
        <v>2147</v>
      </c>
      <c r="B188" t="s">
        <v>301</v>
      </c>
      <c r="C188">
        <v>2.8</v>
      </c>
      <c r="D188" t="s">
        <v>1827</v>
      </c>
      <c r="E188">
        <v>1.8</v>
      </c>
      <c r="F188" t="s">
        <v>2073</v>
      </c>
      <c r="G188">
        <v>6.7</v>
      </c>
      <c r="I188">
        <f t="shared" si="2"/>
        <v>2.7949999999999995</v>
      </c>
    </row>
    <row r="189" spans="1:9" x14ac:dyDescent="0.25">
      <c r="A189" t="s">
        <v>2134</v>
      </c>
      <c r="B189" t="s">
        <v>302</v>
      </c>
      <c r="C189">
        <v>1.2500000000000001E-2</v>
      </c>
      <c r="D189" t="s">
        <v>1828</v>
      </c>
      <c r="E189">
        <v>1.2500000000000001E-2</v>
      </c>
      <c r="F189" t="s">
        <v>2074</v>
      </c>
      <c r="G189">
        <v>0.02</v>
      </c>
      <c r="I189">
        <f t="shared" si="2"/>
        <v>1.2875000000000001E-2</v>
      </c>
    </row>
    <row r="190" spans="1:9" x14ac:dyDescent="0.25">
      <c r="A190" t="s">
        <v>2136</v>
      </c>
      <c r="B190" t="s">
        <v>303</v>
      </c>
      <c r="C190">
        <v>5.9</v>
      </c>
      <c r="D190" t="s">
        <v>1829</v>
      </c>
      <c r="E190">
        <v>1</v>
      </c>
      <c r="F190" t="s">
        <v>2075</v>
      </c>
      <c r="G190">
        <v>0.21</v>
      </c>
      <c r="I190">
        <f t="shared" si="2"/>
        <v>4.6355000000000013</v>
      </c>
    </row>
    <row r="191" spans="1:9" x14ac:dyDescent="0.25">
      <c r="A191" t="s">
        <v>2219</v>
      </c>
      <c r="B191" t="s">
        <v>304</v>
      </c>
      <c r="C191">
        <v>20</v>
      </c>
      <c r="D191" t="s">
        <v>1830</v>
      </c>
      <c r="E191">
        <v>4</v>
      </c>
      <c r="F191" t="s">
        <v>2076</v>
      </c>
      <c r="G191">
        <v>4</v>
      </c>
      <c r="I191">
        <f t="shared" si="2"/>
        <v>16</v>
      </c>
    </row>
    <row r="192" spans="1:9" x14ac:dyDescent="0.25">
      <c r="A192" t="s">
        <v>2220</v>
      </c>
      <c r="B192" t="s">
        <v>305</v>
      </c>
      <c r="C192">
        <v>0</v>
      </c>
      <c r="D192" t="s">
        <v>1831</v>
      </c>
      <c r="E192">
        <v>0</v>
      </c>
      <c r="F192" t="s">
        <v>2077</v>
      </c>
      <c r="G192">
        <v>0</v>
      </c>
      <c r="I192">
        <f t="shared" si="2"/>
        <v>0</v>
      </c>
    </row>
    <row r="193" spans="1:9" x14ac:dyDescent="0.25">
      <c r="A193" t="s">
        <v>2134</v>
      </c>
      <c r="B193" t="s">
        <v>306</v>
      </c>
      <c r="C193">
        <v>0.21</v>
      </c>
      <c r="D193" t="s">
        <v>1832</v>
      </c>
      <c r="E193">
        <v>0.21</v>
      </c>
      <c r="F193" t="s">
        <v>2078</v>
      </c>
      <c r="G193">
        <v>0.21</v>
      </c>
      <c r="I193">
        <f t="shared" si="2"/>
        <v>0.21000000000000002</v>
      </c>
    </row>
    <row r="194" spans="1:9" x14ac:dyDescent="0.25">
      <c r="A194" t="s">
        <v>2140</v>
      </c>
      <c r="B194" t="s">
        <v>307</v>
      </c>
      <c r="C194">
        <v>1.25</v>
      </c>
      <c r="D194" t="s">
        <v>1833</v>
      </c>
      <c r="E194">
        <v>1.25</v>
      </c>
      <c r="F194" t="s">
        <v>2079</v>
      </c>
      <c r="G194">
        <v>1.25</v>
      </c>
      <c r="I194">
        <f t="shared" si="2"/>
        <v>1.25</v>
      </c>
    </row>
    <row r="195" spans="1:9" x14ac:dyDescent="0.25">
      <c r="A195" t="s">
        <v>2221</v>
      </c>
      <c r="B195" t="s">
        <v>308</v>
      </c>
      <c r="C195">
        <v>5</v>
      </c>
      <c r="D195" t="s">
        <v>1834</v>
      </c>
      <c r="E195">
        <v>5</v>
      </c>
      <c r="F195" t="s">
        <v>2080</v>
      </c>
      <c r="G195">
        <v>5</v>
      </c>
      <c r="I195">
        <f t="shared" si="2"/>
        <v>5</v>
      </c>
    </row>
    <row r="196" spans="1:9" x14ac:dyDescent="0.25">
      <c r="A196" t="s">
        <v>2134</v>
      </c>
      <c r="B196" t="s">
        <v>309</v>
      </c>
      <c r="C196">
        <v>0.01</v>
      </c>
      <c r="D196" t="s">
        <v>1835</v>
      </c>
      <c r="E196">
        <v>0.01</v>
      </c>
      <c r="F196" t="s">
        <v>2081</v>
      </c>
      <c r="G196">
        <v>0.01</v>
      </c>
      <c r="I196">
        <f t="shared" si="2"/>
        <v>0.01</v>
      </c>
    </row>
    <row r="197" spans="1:9" x14ac:dyDescent="0.25">
      <c r="A197" t="s">
        <v>2222</v>
      </c>
      <c r="B197" t="s">
        <v>310</v>
      </c>
      <c r="C197">
        <v>10</v>
      </c>
      <c r="D197" t="s">
        <v>1836</v>
      </c>
      <c r="E197">
        <v>70</v>
      </c>
      <c r="F197" t="s">
        <v>2082</v>
      </c>
      <c r="G197">
        <v>70</v>
      </c>
      <c r="I197">
        <f t="shared" si="2"/>
        <v>25</v>
      </c>
    </row>
    <row r="198" spans="1:9" x14ac:dyDescent="0.25">
      <c r="A198" t="s">
        <v>2223</v>
      </c>
      <c r="B198" t="s">
        <v>311</v>
      </c>
      <c r="C198">
        <v>2</v>
      </c>
      <c r="D198" t="s">
        <v>1837</v>
      </c>
      <c r="E198">
        <v>2</v>
      </c>
      <c r="F198" t="s">
        <v>2083</v>
      </c>
      <c r="G198">
        <v>2</v>
      </c>
      <c r="I198">
        <f t="shared" si="2"/>
        <v>2</v>
      </c>
    </row>
    <row r="199" spans="1:9" x14ac:dyDescent="0.25">
      <c r="A199" t="s">
        <v>2224</v>
      </c>
      <c r="B199" t="s">
        <v>312</v>
      </c>
      <c r="C199">
        <v>1</v>
      </c>
      <c r="D199" t="s">
        <v>1838</v>
      </c>
      <c r="E199">
        <v>1</v>
      </c>
      <c r="F199" t="s">
        <v>2084</v>
      </c>
      <c r="G199">
        <v>1</v>
      </c>
      <c r="I199">
        <f t="shared" si="2"/>
        <v>1</v>
      </c>
    </row>
    <row r="200" spans="1:9" x14ac:dyDescent="0.25">
      <c r="A200" t="s">
        <v>2225</v>
      </c>
      <c r="B200" t="s">
        <v>313</v>
      </c>
      <c r="C200">
        <v>6.25</v>
      </c>
      <c r="D200" t="s">
        <v>1839</v>
      </c>
      <c r="E200">
        <v>6.25</v>
      </c>
      <c r="F200" t="s">
        <v>2085</v>
      </c>
      <c r="G200">
        <v>6.25</v>
      </c>
      <c r="I200">
        <f t="shared" si="2"/>
        <v>6.25</v>
      </c>
    </row>
    <row r="201" spans="1:9" x14ac:dyDescent="0.25">
      <c r="A201" t="s">
        <v>2226</v>
      </c>
      <c r="B201" t="s">
        <v>314</v>
      </c>
      <c r="C201">
        <v>0</v>
      </c>
      <c r="D201" t="s">
        <v>1840</v>
      </c>
      <c r="E201">
        <v>0</v>
      </c>
      <c r="F201" t="s">
        <v>2086</v>
      </c>
      <c r="G201">
        <v>0</v>
      </c>
      <c r="I201">
        <f t="shared" si="2"/>
        <v>0</v>
      </c>
    </row>
    <row r="202" spans="1:9" x14ac:dyDescent="0.25">
      <c r="A202" t="s">
        <v>2227</v>
      </c>
      <c r="B202" t="s">
        <v>315</v>
      </c>
      <c r="C202">
        <v>1</v>
      </c>
      <c r="D202" t="s">
        <v>1841</v>
      </c>
      <c r="E202">
        <v>1</v>
      </c>
      <c r="F202" t="s">
        <v>2087</v>
      </c>
      <c r="G202">
        <v>1</v>
      </c>
      <c r="I202">
        <f t="shared" si="2"/>
        <v>1</v>
      </c>
    </row>
    <row r="203" spans="1:9" x14ac:dyDescent="0.25">
      <c r="A203" t="s">
        <v>2228</v>
      </c>
      <c r="B203" t="s">
        <v>316</v>
      </c>
      <c r="C203">
        <v>1</v>
      </c>
      <c r="D203" t="s">
        <v>1842</v>
      </c>
      <c r="E203">
        <v>1</v>
      </c>
      <c r="F203" t="s">
        <v>2088</v>
      </c>
      <c r="G203">
        <v>1</v>
      </c>
      <c r="I203">
        <f t="shared" si="2"/>
        <v>1</v>
      </c>
    </row>
    <row r="204" spans="1:9" x14ac:dyDescent="0.25">
      <c r="A204" t="s">
        <v>2229</v>
      </c>
      <c r="B204" t="s">
        <v>317</v>
      </c>
      <c r="C204">
        <v>650.4</v>
      </c>
      <c r="D204" t="s">
        <v>1843</v>
      </c>
      <c r="E204">
        <v>646.20000000000005</v>
      </c>
      <c r="F204" t="s">
        <v>2089</v>
      </c>
      <c r="G204">
        <v>620</v>
      </c>
      <c r="I204">
        <f t="shared" si="2"/>
        <v>648.04</v>
      </c>
    </row>
    <row r="205" spans="1:9" x14ac:dyDescent="0.25">
      <c r="A205" t="s">
        <v>2134</v>
      </c>
      <c r="B205" t="s">
        <v>318</v>
      </c>
      <c r="C205">
        <v>0.01</v>
      </c>
      <c r="D205" t="s">
        <v>1844</v>
      </c>
      <c r="E205">
        <v>0</v>
      </c>
      <c r="F205" t="s">
        <v>2090</v>
      </c>
      <c r="G205">
        <v>0</v>
      </c>
      <c r="I205">
        <f t="shared" si="2"/>
        <v>7.4999999999999997E-3</v>
      </c>
    </row>
    <row r="206" spans="1:9" x14ac:dyDescent="0.25">
      <c r="A206" t="s">
        <v>2134</v>
      </c>
      <c r="B206" t="s">
        <v>319</v>
      </c>
      <c r="C206">
        <v>0.01</v>
      </c>
      <c r="D206" t="s">
        <v>1845</v>
      </c>
      <c r="E206">
        <v>0</v>
      </c>
      <c r="F206" t="s">
        <v>2091</v>
      </c>
      <c r="G206">
        <v>0</v>
      </c>
      <c r="I206">
        <f t="shared" ref="I206:I247" si="3">C206*$H$5+E206*$H$6+G206*$H$7</f>
        <v>7.4999999999999997E-3</v>
      </c>
    </row>
    <row r="207" spans="1:9" x14ac:dyDescent="0.25">
      <c r="A207" t="s">
        <v>2134</v>
      </c>
      <c r="B207" t="s">
        <v>320</v>
      </c>
      <c r="C207">
        <v>0.01</v>
      </c>
      <c r="D207" t="s">
        <v>1846</v>
      </c>
      <c r="E207">
        <v>0</v>
      </c>
      <c r="F207" t="s">
        <v>2092</v>
      </c>
      <c r="G207">
        <v>0</v>
      </c>
      <c r="I207">
        <f t="shared" si="3"/>
        <v>7.4999999999999997E-3</v>
      </c>
    </row>
    <row r="208" spans="1:9" x14ac:dyDescent="0.25">
      <c r="A208" t="s">
        <v>2230</v>
      </c>
      <c r="B208" t="s">
        <v>321</v>
      </c>
      <c r="C208">
        <v>0</v>
      </c>
      <c r="D208" t="s">
        <v>1847</v>
      </c>
      <c r="E208">
        <v>0</v>
      </c>
      <c r="F208" t="s">
        <v>2093</v>
      </c>
      <c r="G208">
        <v>0</v>
      </c>
      <c r="I208">
        <f t="shared" si="3"/>
        <v>0</v>
      </c>
    </row>
    <row r="209" spans="1:9" x14ac:dyDescent="0.25">
      <c r="A209" t="s">
        <v>2231</v>
      </c>
      <c r="B209" t="s">
        <v>322</v>
      </c>
      <c r="C209">
        <v>0</v>
      </c>
      <c r="D209" t="s">
        <v>1848</v>
      </c>
      <c r="E209">
        <v>0.01</v>
      </c>
      <c r="F209" t="s">
        <v>2094</v>
      </c>
      <c r="G209">
        <v>0.01</v>
      </c>
      <c r="I209">
        <f t="shared" si="3"/>
        <v>2.5000000000000001E-3</v>
      </c>
    </row>
    <row r="210" spans="1:9" x14ac:dyDescent="0.25">
      <c r="A210" t="s">
        <v>2232</v>
      </c>
      <c r="B210" t="s">
        <v>323</v>
      </c>
      <c r="C210">
        <v>270</v>
      </c>
      <c r="D210" t="s">
        <v>1849</v>
      </c>
      <c r="E210">
        <v>270</v>
      </c>
      <c r="F210" t="s">
        <v>2095</v>
      </c>
      <c r="G210">
        <v>270</v>
      </c>
      <c r="I210">
        <f t="shared" si="3"/>
        <v>270</v>
      </c>
    </row>
    <row r="211" spans="1:9" x14ac:dyDescent="0.25">
      <c r="A211" t="s">
        <v>2134</v>
      </c>
      <c r="B211" t="s">
        <v>324</v>
      </c>
      <c r="C211">
        <v>0.75</v>
      </c>
      <c r="D211" t="s">
        <v>1850</v>
      </c>
      <c r="E211">
        <v>0</v>
      </c>
      <c r="F211" t="s">
        <v>2096</v>
      </c>
      <c r="G211">
        <v>0</v>
      </c>
      <c r="I211">
        <f t="shared" si="3"/>
        <v>0.5625</v>
      </c>
    </row>
    <row r="212" spans="1:9" x14ac:dyDescent="0.25">
      <c r="A212" t="s">
        <v>2233</v>
      </c>
      <c r="B212" t="s">
        <v>325</v>
      </c>
      <c r="C212">
        <v>0</v>
      </c>
      <c r="D212" t="s">
        <v>1851</v>
      </c>
      <c r="E212">
        <v>0.2</v>
      </c>
      <c r="F212" t="s">
        <v>2097</v>
      </c>
      <c r="G212">
        <v>0.5</v>
      </c>
      <c r="I212">
        <f t="shared" si="3"/>
        <v>6.5000000000000002E-2</v>
      </c>
    </row>
    <row r="213" spans="1:9" x14ac:dyDescent="0.25">
      <c r="A213" t="s">
        <v>368</v>
      </c>
      <c r="B213" t="s">
        <v>326</v>
      </c>
      <c r="C213" s="20">
        <v>17.5</v>
      </c>
      <c r="D213" t="s">
        <v>1852</v>
      </c>
      <c r="E213">
        <v>28.1</v>
      </c>
      <c r="F213" t="s">
        <v>2098</v>
      </c>
      <c r="G213">
        <v>35</v>
      </c>
      <c r="I213">
        <f t="shared" si="3"/>
        <v>20.495000000000001</v>
      </c>
    </row>
    <row r="214" spans="1:9" x14ac:dyDescent="0.25">
      <c r="A214" t="s">
        <v>369</v>
      </c>
      <c r="B214" t="s">
        <v>327</v>
      </c>
      <c r="C214" s="20">
        <v>13</v>
      </c>
      <c r="D214" t="s">
        <v>1853</v>
      </c>
      <c r="E214">
        <v>28.1</v>
      </c>
      <c r="F214" t="s">
        <v>2099</v>
      </c>
      <c r="G214">
        <v>8</v>
      </c>
      <c r="I214">
        <f t="shared" si="3"/>
        <v>15.770000000000001</v>
      </c>
    </row>
    <row r="215" spans="1:9" x14ac:dyDescent="0.25">
      <c r="A215" t="s">
        <v>2234</v>
      </c>
      <c r="B215" t="s">
        <v>328</v>
      </c>
      <c r="C215">
        <v>10.4</v>
      </c>
      <c r="D215" t="s">
        <v>1854</v>
      </c>
      <c r="E215">
        <v>10.4</v>
      </c>
      <c r="F215" t="s">
        <v>2100</v>
      </c>
      <c r="G215">
        <v>4</v>
      </c>
      <c r="I215">
        <f t="shared" si="3"/>
        <v>10.08</v>
      </c>
    </row>
    <row r="216" spans="1:9" x14ac:dyDescent="0.25">
      <c r="A216" t="s">
        <v>2235</v>
      </c>
      <c r="B216" t="s">
        <v>329</v>
      </c>
      <c r="C216">
        <v>1</v>
      </c>
      <c r="D216" t="s">
        <v>1855</v>
      </c>
      <c r="E216">
        <v>1</v>
      </c>
      <c r="F216" t="s">
        <v>2101</v>
      </c>
      <c r="G216">
        <v>1</v>
      </c>
      <c r="I216">
        <f t="shared" si="3"/>
        <v>1</v>
      </c>
    </row>
    <row r="217" spans="1:9" x14ac:dyDescent="0.25">
      <c r="A217" t="s">
        <v>2165</v>
      </c>
      <c r="B217" t="s">
        <v>330</v>
      </c>
      <c r="C217">
        <v>3.3</v>
      </c>
      <c r="D217" t="s">
        <v>1856</v>
      </c>
      <c r="E217">
        <v>3.3</v>
      </c>
      <c r="F217" t="s">
        <v>2102</v>
      </c>
      <c r="G217">
        <v>3.3</v>
      </c>
      <c r="I217">
        <f t="shared" si="3"/>
        <v>3.3</v>
      </c>
    </row>
    <row r="218" spans="1:9" x14ac:dyDescent="0.25">
      <c r="A218" t="s">
        <v>2236</v>
      </c>
      <c r="B218" t="s">
        <v>331</v>
      </c>
      <c r="C218">
        <v>1</v>
      </c>
      <c r="D218" t="s">
        <v>1857</v>
      </c>
      <c r="E218">
        <v>1</v>
      </c>
      <c r="F218" t="s">
        <v>2103</v>
      </c>
      <c r="G218">
        <v>1</v>
      </c>
      <c r="I218">
        <f t="shared" si="3"/>
        <v>1</v>
      </c>
    </row>
    <row r="219" spans="1:9" x14ac:dyDescent="0.25">
      <c r="A219" t="s">
        <v>2237</v>
      </c>
      <c r="B219" t="s">
        <v>332</v>
      </c>
      <c r="C219">
        <v>70000</v>
      </c>
      <c r="D219" t="s">
        <v>1858</v>
      </c>
      <c r="E219">
        <v>70000</v>
      </c>
      <c r="F219" t="s">
        <v>2104</v>
      </c>
      <c r="G219">
        <v>70000</v>
      </c>
      <c r="I219">
        <f t="shared" si="3"/>
        <v>70000</v>
      </c>
    </row>
    <row r="220" spans="1:9" x14ac:dyDescent="0.25">
      <c r="A220" t="s">
        <v>2238</v>
      </c>
      <c r="B220" t="s">
        <v>333</v>
      </c>
      <c r="C220">
        <v>5000</v>
      </c>
      <c r="D220" t="s">
        <v>1859</v>
      </c>
      <c r="E220">
        <v>5000</v>
      </c>
      <c r="F220" t="s">
        <v>2105</v>
      </c>
      <c r="G220">
        <v>5000</v>
      </c>
      <c r="I220">
        <f t="shared" si="3"/>
        <v>5000</v>
      </c>
    </row>
    <row r="221" spans="1:9" x14ac:dyDescent="0.25">
      <c r="A221" t="s">
        <v>2140</v>
      </c>
      <c r="B221" t="s">
        <v>334</v>
      </c>
      <c r="C221">
        <v>1.75</v>
      </c>
      <c r="D221" t="s">
        <v>1860</v>
      </c>
      <c r="E221">
        <v>1.75</v>
      </c>
      <c r="F221" t="s">
        <v>2106</v>
      </c>
      <c r="G221">
        <v>1.75</v>
      </c>
      <c r="I221">
        <f t="shared" si="3"/>
        <v>1.75</v>
      </c>
    </row>
    <row r="222" spans="1:9" x14ac:dyDescent="0.25">
      <c r="A222" t="s">
        <v>2140</v>
      </c>
      <c r="B222" t="s">
        <v>335</v>
      </c>
      <c r="C222">
        <v>1.1000000000000001</v>
      </c>
      <c r="D222" t="s">
        <v>1861</v>
      </c>
      <c r="E222">
        <v>1.1000000000000001</v>
      </c>
      <c r="F222" t="s">
        <v>2107</v>
      </c>
      <c r="G222">
        <v>1.1000000000000001</v>
      </c>
      <c r="I222">
        <f t="shared" si="3"/>
        <v>1.1000000000000001</v>
      </c>
    </row>
    <row r="223" spans="1:9" x14ac:dyDescent="0.25">
      <c r="A223" t="s">
        <v>2239</v>
      </c>
      <c r="B223" t="s">
        <v>336</v>
      </c>
      <c r="C223">
        <v>-2.75</v>
      </c>
      <c r="D223" t="s">
        <v>1862</v>
      </c>
      <c r="E223">
        <v>-2.75</v>
      </c>
      <c r="F223" t="s">
        <v>2108</v>
      </c>
      <c r="G223">
        <v>-2.75</v>
      </c>
      <c r="I223">
        <f t="shared" si="3"/>
        <v>-2.75</v>
      </c>
    </row>
    <row r="224" spans="1:9" x14ac:dyDescent="0.25">
      <c r="A224" t="s">
        <v>2134</v>
      </c>
      <c r="B224" t="s">
        <v>337</v>
      </c>
      <c r="C224">
        <v>0.03</v>
      </c>
      <c r="D224" t="s">
        <v>1863</v>
      </c>
      <c r="E224">
        <v>0.03</v>
      </c>
      <c r="F224" t="s">
        <v>2109</v>
      </c>
      <c r="G224">
        <v>0.03</v>
      </c>
      <c r="I224">
        <f t="shared" si="3"/>
        <v>0.03</v>
      </c>
    </row>
    <row r="225" spans="1:9" x14ac:dyDescent="0.25">
      <c r="A225" t="s">
        <v>2134</v>
      </c>
      <c r="B225" t="s">
        <v>338</v>
      </c>
      <c r="C225">
        <v>0.8</v>
      </c>
      <c r="D225" t="s">
        <v>1864</v>
      </c>
      <c r="E225">
        <v>0.9</v>
      </c>
      <c r="F225" t="s">
        <v>2110</v>
      </c>
      <c r="G225">
        <v>0.7</v>
      </c>
      <c r="I225">
        <f t="shared" si="3"/>
        <v>0.81500000000000017</v>
      </c>
    </row>
    <row r="226" spans="1:9" x14ac:dyDescent="0.25">
      <c r="A226" t="s">
        <v>2240</v>
      </c>
      <c r="B226" t="s">
        <v>339</v>
      </c>
      <c r="C226">
        <v>0</v>
      </c>
      <c r="D226" t="s">
        <v>1865</v>
      </c>
      <c r="E226">
        <v>5</v>
      </c>
      <c r="F226" t="s">
        <v>2111</v>
      </c>
      <c r="G226">
        <v>5</v>
      </c>
      <c r="I226">
        <f t="shared" si="3"/>
        <v>1.25</v>
      </c>
    </row>
    <row r="227" spans="1:9" x14ac:dyDescent="0.25">
      <c r="A227" t="s">
        <v>2241</v>
      </c>
      <c r="B227" t="s">
        <v>340</v>
      </c>
      <c r="C227">
        <v>50</v>
      </c>
      <c r="D227" t="s">
        <v>1866</v>
      </c>
      <c r="E227">
        <v>50</v>
      </c>
      <c r="F227" t="s">
        <v>2112</v>
      </c>
      <c r="G227">
        <v>50</v>
      </c>
      <c r="I227">
        <f t="shared" si="3"/>
        <v>50</v>
      </c>
    </row>
    <row r="228" spans="1:9" x14ac:dyDescent="0.25">
      <c r="A228" t="s">
        <v>2134</v>
      </c>
      <c r="B228" t="s">
        <v>341</v>
      </c>
      <c r="C228">
        <v>7.0000000000000001E-3</v>
      </c>
      <c r="D228" t="s">
        <v>1867</v>
      </c>
      <c r="E228">
        <v>2.7000000000000001E-3</v>
      </c>
      <c r="F228" t="s">
        <v>2113</v>
      </c>
      <c r="G228">
        <v>1.2999999999999999E-3</v>
      </c>
      <c r="I228">
        <f t="shared" si="3"/>
        <v>5.855E-3</v>
      </c>
    </row>
    <row r="229" spans="1:9" x14ac:dyDescent="0.25">
      <c r="A229" t="s">
        <v>2242</v>
      </c>
      <c r="B229" t="s">
        <v>342</v>
      </c>
      <c r="C229">
        <v>0</v>
      </c>
      <c r="D229" t="s">
        <v>1868</v>
      </c>
      <c r="E229">
        <v>5.0000000000000001E-4</v>
      </c>
      <c r="F229" t="s">
        <v>2114</v>
      </c>
      <c r="G229">
        <v>5.0000000000000001E-4</v>
      </c>
      <c r="I229">
        <f t="shared" si="3"/>
        <v>1.25E-4</v>
      </c>
    </row>
    <row r="230" spans="1:9" x14ac:dyDescent="0.25">
      <c r="A230" t="s">
        <v>2243</v>
      </c>
      <c r="B230" t="s">
        <v>343</v>
      </c>
      <c r="C230">
        <v>0</v>
      </c>
      <c r="D230" t="s">
        <v>1869</v>
      </c>
      <c r="E230">
        <v>0</v>
      </c>
      <c r="F230" t="s">
        <v>2115</v>
      </c>
      <c r="G230">
        <v>0</v>
      </c>
      <c r="I230">
        <f t="shared" si="3"/>
        <v>0</v>
      </c>
    </row>
    <row r="231" spans="1:9" x14ac:dyDescent="0.25">
      <c r="A231" t="s">
        <v>2244</v>
      </c>
      <c r="B231" t="s">
        <v>344</v>
      </c>
      <c r="C231">
        <v>0</v>
      </c>
      <c r="D231" t="s">
        <v>1870</v>
      </c>
      <c r="E231">
        <v>0</v>
      </c>
      <c r="F231" t="s">
        <v>2116</v>
      </c>
      <c r="G231">
        <v>0</v>
      </c>
      <c r="I231">
        <f t="shared" si="3"/>
        <v>0</v>
      </c>
    </row>
    <row r="232" spans="1:9" x14ac:dyDescent="0.25">
      <c r="A232" t="s">
        <v>2245</v>
      </c>
      <c r="B232" t="s">
        <v>345</v>
      </c>
      <c r="C232">
        <v>0</v>
      </c>
      <c r="D232" t="s">
        <v>1871</v>
      </c>
      <c r="E232">
        <v>0</v>
      </c>
      <c r="F232" t="s">
        <v>2117</v>
      </c>
      <c r="G232">
        <v>0</v>
      </c>
      <c r="I232">
        <f t="shared" si="3"/>
        <v>0</v>
      </c>
    </row>
    <row r="233" spans="1:9" x14ac:dyDescent="0.25">
      <c r="A233" t="s">
        <v>2134</v>
      </c>
      <c r="B233" t="s">
        <v>346</v>
      </c>
      <c r="C233">
        <v>1.2E-2</v>
      </c>
      <c r="D233" t="s">
        <v>1872</v>
      </c>
      <c r="E233">
        <v>1.2E-2</v>
      </c>
      <c r="F233" t="s">
        <v>2118</v>
      </c>
      <c r="G233">
        <v>1.2E-2</v>
      </c>
      <c r="I233">
        <f t="shared" si="3"/>
        <v>1.2E-2</v>
      </c>
    </row>
    <row r="234" spans="1:9" x14ac:dyDescent="0.25">
      <c r="A234" t="s">
        <v>2134</v>
      </c>
      <c r="B234" t="s">
        <v>347</v>
      </c>
      <c r="C234">
        <v>0.06</v>
      </c>
      <c r="D234" t="s">
        <v>1873</v>
      </c>
      <c r="E234">
        <v>0.06</v>
      </c>
      <c r="F234" t="s">
        <v>2119</v>
      </c>
      <c r="G234">
        <v>0.06</v>
      </c>
      <c r="I234">
        <f t="shared" si="3"/>
        <v>0.06</v>
      </c>
    </row>
    <row r="235" spans="1:9" x14ac:dyDescent="0.25">
      <c r="A235" t="s">
        <v>2134</v>
      </c>
      <c r="B235" t="s">
        <v>348</v>
      </c>
      <c r="C235">
        <v>6.0000000000000001E-3</v>
      </c>
      <c r="D235" t="s">
        <v>1874</v>
      </c>
      <c r="E235">
        <v>6.0000000000000001E-3</v>
      </c>
      <c r="F235" t="s">
        <v>2120</v>
      </c>
      <c r="G235">
        <v>6.0000000000000001E-3</v>
      </c>
      <c r="I235">
        <f t="shared" si="3"/>
        <v>6.0000000000000001E-3</v>
      </c>
    </row>
    <row r="236" spans="1:9" x14ac:dyDescent="0.25">
      <c r="A236" t="s">
        <v>2134</v>
      </c>
      <c r="B236" t="s">
        <v>349</v>
      </c>
      <c r="C236">
        <v>7.4999999999999997E-3</v>
      </c>
      <c r="D236" t="s">
        <v>1875</v>
      </c>
      <c r="E236">
        <v>7.4999999999999997E-3</v>
      </c>
      <c r="F236" t="s">
        <v>2121</v>
      </c>
      <c r="G236">
        <v>7.4999999999999997E-3</v>
      </c>
      <c r="I236">
        <f t="shared" si="3"/>
        <v>7.4999999999999997E-3</v>
      </c>
    </row>
    <row r="237" spans="1:9" x14ac:dyDescent="0.25">
      <c r="A237" t="s">
        <v>2246</v>
      </c>
      <c r="B237" t="s">
        <v>350</v>
      </c>
      <c r="C237">
        <v>1</v>
      </c>
      <c r="D237" t="s">
        <v>1876</v>
      </c>
      <c r="E237">
        <v>1</v>
      </c>
      <c r="F237" t="s">
        <v>2122</v>
      </c>
      <c r="G237">
        <v>1</v>
      </c>
      <c r="I237">
        <f t="shared" si="3"/>
        <v>1</v>
      </c>
    </row>
    <row r="238" spans="1:9" x14ac:dyDescent="0.25">
      <c r="A238" t="s">
        <v>2247</v>
      </c>
      <c r="B238" t="s">
        <v>351</v>
      </c>
      <c r="C238" s="20">
        <v>16.5</v>
      </c>
      <c r="D238" t="s">
        <v>1877</v>
      </c>
      <c r="E238">
        <v>122</v>
      </c>
      <c r="F238" t="s">
        <v>2123</v>
      </c>
      <c r="G238">
        <v>50</v>
      </c>
      <c r="I238">
        <f t="shared" si="3"/>
        <v>39.275000000000006</v>
      </c>
    </row>
    <row r="239" spans="1:9" x14ac:dyDescent="0.25">
      <c r="A239" t="s">
        <v>2165</v>
      </c>
      <c r="B239" t="s">
        <v>352</v>
      </c>
      <c r="C239">
        <v>3.1</v>
      </c>
      <c r="D239" t="s">
        <v>1878</v>
      </c>
      <c r="E239">
        <v>3.1</v>
      </c>
      <c r="F239" t="s">
        <v>2124</v>
      </c>
      <c r="G239">
        <v>3.1</v>
      </c>
      <c r="I239">
        <f t="shared" si="3"/>
        <v>3.1000000000000005</v>
      </c>
    </row>
    <row r="240" spans="1:9" x14ac:dyDescent="0.25">
      <c r="A240" t="s">
        <v>2248</v>
      </c>
      <c r="B240" t="s">
        <v>353</v>
      </c>
      <c r="C240">
        <v>0</v>
      </c>
      <c r="D240" t="s">
        <v>1879</v>
      </c>
      <c r="E240">
        <v>0</v>
      </c>
      <c r="F240" t="s">
        <v>2125</v>
      </c>
      <c r="G240">
        <v>0</v>
      </c>
      <c r="I240">
        <f t="shared" si="3"/>
        <v>0</v>
      </c>
    </row>
    <row r="241" spans="1:9" x14ac:dyDescent="0.25">
      <c r="A241" t="s">
        <v>2134</v>
      </c>
      <c r="B241" t="s">
        <v>354</v>
      </c>
      <c r="C241">
        <v>7.0000000000000007E-2</v>
      </c>
      <c r="D241" t="s">
        <v>1880</v>
      </c>
      <c r="E241">
        <v>7.0000000000000007E-2</v>
      </c>
      <c r="F241" t="s">
        <v>2126</v>
      </c>
      <c r="G241">
        <v>7.0000000000000007E-2</v>
      </c>
      <c r="I241">
        <f t="shared" si="3"/>
        <v>7.0000000000000007E-2</v>
      </c>
    </row>
    <row r="242" spans="1:9" x14ac:dyDescent="0.25">
      <c r="A242" t="s">
        <v>2136</v>
      </c>
      <c r="B242" t="s">
        <v>355</v>
      </c>
      <c r="C242" s="20">
        <v>6.7</v>
      </c>
      <c r="D242" t="s">
        <v>1881</v>
      </c>
      <c r="E242">
        <v>10.9</v>
      </c>
      <c r="F242" t="s">
        <v>2127</v>
      </c>
      <c r="G242">
        <v>5</v>
      </c>
      <c r="I242">
        <f t="shared" si="3"/>
        <v>7.4550000000000001</v>
      </c>
    </row>
    <row r="243" spans="1:9" x14ac:dyDescent="0.25">
      <c r="A243" t="s">
        <v>2136</v>
      </c>
      <c r="B243" t="s">
        <v>356</v>
      </c>
      <c r="C243" s="20">
        <v>3.1</v>
      </c>
      <c r="D243" t="s">
        <v>1882</v>
      </c>
      <c r="E243">
        <v>10.9</v>
      </c>
      <c r="F243" t="s">
        <v>2128</v>
      </c>
      <c r="G243">
        <v>5.45</v>
      </c>
      <c r="I243">
        <f t="shared" si="3"/>
        <v>4.7775000000000007</v>
      </c>
    </row>
    <row r="244" spans="1:9" x14ac:dyDescent="0.25">
      <c r="A244" t="s">
        <v>2249</v>
      </c>
      <c r="B244" t="s">
        <v>357</v>
      </c>
      <c r="C244">
        <v>1</v>
      </c>
      <c r="D244" t="s">
        <v>1883</v>
      </c>
      <c r="E244">
        <v>1.2</v>
      </c>
      <c r="F244" t="s">
        <v>2129</v>
      </c>
      <c r="G244">
        <v>2</v>
      </c>
      <c r="I244">
        <f t="shared" si="3"/>
        <v>1.0900000000000001</v>
      </c>
    </row>
    <row r="245" spans="1:9" x14ac:dyDescent="0.25">
      <c r="A245" t="s">
        <v>361</v>
      </c>
      <c r="B245" t="s">
        <v>358</v>
      </c>
      <c r="C245">
        <v>300</v>
      </c>
      <c r="D245" t="s">
        <v>1884</v>
      </c>
      <c r="E245">
        <v>300</v>
      </c>
      <c r="F245" t="s">
        <v>2130</v>
      </c>
      <c r="G245">
        <v>300</v>
      </c>
      <c r="I245">
        <f t="shared" si="3"/>
        <v>300</v>
      </c>
    </row>
    <row r="246" spans="1:9" x14ac:dyDescent="0.25">
      <c r="A246" t="s">
        <v>109</v>
      </c>
      <c r="B246" t="s">
        <v>359</v>
      </c>
      <c r="C246" s="20">
        <v>42</v>
      </c>
      <c r="D246" t="s">
        <v>1885</v>
      </c>
      <c r="E246">
        <v>40</v>
      </c>
      <c r="F246" t="s">
        <v>2131</v>
      </c>
      <c r="G246">
        <v>40</v>
      </c>
      <c r="I246">
        <f t="shared" si="3"/>
        <v>41.5</v>
      </c>
    </row>
    <row r="247" spans="1:9" x14ac:dyDescent="0.25">
      <c r="A247" t="s">
        <v>110</v>
      </c>
      <c r="B247" t="s">
        <v>360</v>
      </c>
      <c r="C247" s="20">
        <v>35</v>
      </c>
      <c r="D247" t="s">
        <v>1886</v>
      </c>
      <c r="E247">
        <v>40</v>
      </c>
      <c r="F247" t="s">
        <v>2132</v>
      </c>
      <c r="G247">
        <v>40</v>
      </c>
      <c r="I247">
        <f t="shared" si="3"/>
        <v>36.25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B2D5-24C6-4D5A-8DD9-725C2DEA7169}">
  <dimension ref="A1:CK79"/>
  <sheetViews>
    <sheetView workbookViewId="0">
      <pane xSplit="1" ySplit="1" topLeftCell="B13" activePane="bottomRight" state="frozen"/>
      <selection pane="topRight" activeCell="B1" sqref="B1"/>
      <selection pane="bottomLeft" activeCell="A2" sqref="A2"/>
      <selection pane="bottomRight" activeCell="A14" sqref="A14"/>
    </sheetView>
  </sheetViews>
  <sheetFormatPr defaultRowHeight="15" x14ac:dyDescent="0.25"/>
  <cols>
    <col min="1" max="1" width="21" customWidth="1"/>
    <col min="2" max="2" width="13.85546875" customWidth="1"/>
    <col min="3" max="3" width="24.5703125" customWidth="1"/>
    <col min="4" max="4" width="44" customWidth="1"/>
    <col min="5" max="5" width="9.140625" customWidth="1"/>
    <col min="6" max="6" width="8.42578125" customWidth="1"/>
    <col min="7" max="7" width="46.85546875" customWidth="1"/>
    <col min="8" max="8" width="24.28515625" customWidth="1"/>
    <col min="9" max="9" width="19.42578125" customWidth="1"/>
    <col min="10" max="10" width="8.5703125" customWidth="1"/>
    <col min="11" max="11" width="7.85546875" customWidth="1"/>
    <col min="12" max="12" width="10.7109375" customWidth="1"/>
    <col min="13" max="13" width="10" customWidth="1"/>
    <col min="14" max="14" width="10" hidden="1" customWidth="1"/>
    <col min="15" max="15" width="40.42578125" customWidth="1"/>
    <col min="16" max="16" width="13.140625" customWidth="1"/>
    <col min="19" max="19" width="26.28515625" customWidth="1"/>
    <col min="20" max="20" width="14.28515625" customWidth="1"/>
    <col min="21" max="21" width="11.28515625" customWidth="1"/>
    <col min="22" max="22" width="12.28515625" customWidth="1"/>
    <col min="23" max="23" width="16.85546875" customWidth="1"/>
    <col min="24" max="24" width="60.140625" customWidth="1"/>
    <col min="32" max="32" width="46.28515625" customWidth="1"/>
    <col min="35" max="35" width="17.5703125" customWidth="1"/>
    <col min="36" max="38" width="27.5703125" customWidth="1"/>
    <col min="39" max="39" width="18.7109375" customWidth="1"/>
    <col min="47" max="47" width="14.85546875" customWidth="1"/>
    <col min="48" max="50" width="10.7109375" customWidth="1"/>
    <col min="53" max="54" width="15.42578125" customWidth="1"/>
    <col min="55" max="55" width="55.7109375" customWidth="1"/>
    <col min="59" max="60" width="24.42578125" customWidth="1"/>
    <col min="64" max="64" width="11.42578125" customWidth="1"/>
    <col min="65" max="65" width="57.28515625" customWidth="1"/>
    <col min="76" max="76" width="52.5703125" customWidth="1"/>
  </cols>
  <sheetData>
    <row r="1" spans="1:89" ht="29.25" customHeight="1" x14ac:dyDescent="0.45">
      <c r="A1" s="38"/>
      <c r="B1" s="30" t="s">
        <v>1246</v>
      </c>
      <c r="C1" s="30" t="s">
        <v>1256</v>
      </c>
      <c r="D1" s="38" t="s">
        <v>1215</v>
      </c>
      <c r="E1" s="38" t="s">
        <v>1206</v>
      </c>
      <c r="F1" s="38" t="s">
        <v>1205</v>
      </c>
      <c r="G1" s="48" t="s">
        <v>2551</v>
      </c>
      <c r="H1" s="39" t="s">
        <v>1565</v>
      </c>
      <c r="I1" s="38" t="s">
        <v>1202</v>
      </c>
      <c r="J1" s="38" t="s">
        <v>1587</v>
      </c>
      <c r="K1" s="38" t="s">
        <v>1588</v>
      </c>
      <c r="L1" s="38" t="s">
        <v>1589</v>
      </c>
      <c r="M1" s="38" t="s">
        <v>378</v>
      </c>
      <c r="N1" s="38" t="s">
        <v>1247</v>
      </c>
      <c r="O1" s="30" t="s">
        <v>1257</v>
      </c>
      <c r="P1" s="30" t="s">
        <v>1209</v>
      </c>
      <c r="Q1" s="30" t="s">
        <v>1210</v>
      </c>
      <c r="R1" s="38"/>
      <c r="S1" s="43" t="s">
        <v>1567</v>
      </c>
      <c r="T1" s="39" t="s">
        <v>1568</v>
      </c>
      <c r="U1" s="38" t="s">
        <v>1200</v>
      </c>
      <c r="V1" s="38" t="s">
        <v>1201</v>
      </c>
      <c r="W1" s="38" t="s">
        <v>1213</v>
      </c>
      <c r="X1" s="30" t="s">
        <v>1257</v>
      </c>
      <c r="Y1" s="30" t="s">
        <v>1209</v>
      </c>
      <c r="Z1" s="30" t="s">
        <v>1210</v>
      </c>
      <c r="AA1" s="43" t="s">
        <v>2552</v>
      </c>
      <c r="AB1" s="39" t="s">
        <v>1568</v>
      </c>
      <c r="AC1" s="38" t="str">
        <f>U1</f>
        <v>Range_min</v>
      </c>
      <c r="AD1" s="38" t="str">
        <f t="shared" ref="AD1:AF1" si="0">V1</f>
        <v>Range_max</v>
      </c>
      <c r="AE1" s="38" t="str">
        <f t="shared" si="0"/>
        <v>Estimated middle</v>
      </c>
      <c r="AF1" s="38" t="str">
        <f t="shared" si="0"/>
        <v>Search text</v>
      </c>
      <c r="AG1" s="38" t="str">
        <f t="shared" ref="AG1" si="1">Y1</f>
        <v>citation</v>
      </c>
      <c r="AH1" s="38" t="str">
        <f t="shared" ref="AH1" si="2">Z1</f>
        <v>Google gemini link</v>
      </c>
      <c r="AI1" s="38"/>
      <c r="AJ1" s="39" t="s">
        <v>2535</v>
      </c>
      <c r="AK1" s="39" t="s">
        <v>2536</v>
      </c>
      <c r="AL1" s="39" t="s">
        <v>2537</v>
      </c>
      <c r="AM1" s="39" t="s">
        <v>2538</v>
      </c>
      <c r="AN1" s="39" t="s">
        <v>2521</v>
      </c>
      <c r="AO1" t="s">
        <v>66</v>
      </c>
      <c r="AP1" t="s">
        <v>2516</v>
      </c>
      <c r="AQ1" t="s">
        <v>2517</v>
      </c>
      <c r="AR1" t="s">
        <v>2518</v>
      </c>
      <c r="AS1" t="s">
        <v>2519</v>
      </c>
      <c r="AT1" t="s">
        <v>2516</v>
      </c>
      <c r="AU1" s="39" t="s">
        <v>1626</v>
      </c>
      <c r="AV1" t="str">
        <f t="shared" ref="AV1" si="3">S1</f>
        <v>Species 2 - common name</v>
      </c>
      <c r="AW1" t="s">
        <v>2578</v>
      </c>
      <c r="AX1" t="s">
        <v>2579</v>
      </c>
      <c r="AY1" t="str">
        <f>T1</f>
        <v>Species 2 - scientific name</v>
      </c>
      <c r="AZ1" t="str">
        <f>U1</f>
        <v>Range_min</v>
      </c>
      <c r="BA1" t="str">
        <f>V1</f>
        <v>Range_max</v>
      </c>
      <c r="BB1" t="s">
        <v>2582</v>
      </c>
      <c r="BC1" t="str">
        <f>X1</f>
        <v>Search text</v>
      </c>
      <c r="BD1" t="str">
        <f>Y1</f>
        <v>citation</v>
      </c>
      <c r="BE1" t="str">
        <f>Z1</f>
        <v>Google gemini link</v>
      </c>
      <c r="BF1" t="str">
        <f>AA1</f>
        <v>Species 3 - common name</v>
      </c>
      <c r="BG1" s="20" t="s">
        <v>2523</v>
      </c>
      <c r="BH1" t="s">
        <v>2527</v>
      </c>
      <c r="BI1" t="s">
        <v>2525</v>
      </c>
      <c r="BJ1" t="str">
        <f>AY1</f>
        <v>Species 2 - scientific name</v>
      </c>
      <c r="BK1" t="str">
        <f>AZ1</f>
        <v>Range_min</v>
      </c>
      <c r="BL1" t="str">
        <f>BA1</f>
        <v>Range_max</v>
      </c>
      <c r="BM1" t="e">
        <f>#REF!</f>
        <v>#REF!</v>
      </c>
      <c r="BN1" t="str">
        <f>BC1</f>
        <v>Search text</v>
      </c>
      <c r="BO1" t="str">
        <f>BD1</f>
        <v>citation</v>
      </c>
      <c r="BP1" t="str">
        <f>BE1</f>
        <v>Google gemini link</v>
      </c>
      <c r="BR1" s="20" t="s">
        <v>1567</v>
      </c>
      <c r="BS1" t="s">
        <v>2525</v>
      </c>
      <c r="BT1" t="str">
        <f>BI1</f>
        <v>examples</v>
      </c>
      <c r="BU1" t="str">
        <f>BJ1</f>
        <v>Species 2 - scientific name</v>
      </c>
      <c r="BV1" t="str">
        <f>BK1</f>
        <v>Range_min</v>
      </c>
      <c r="BW1" t="str">
        <f>BL1</f>
        <v>Range_max</v>
      </c>
      <c r="BX1" t="e">
        <f t="shared" ref="BX1" si="4">BM1</f>
        <v>#REF!</v>
      </c>
      <c r="BY1" t="str">
        <f>BN1</f>
        <v>Search text</v>
      </c>
      <c r="BZ1" t="str">
        <f>BO1</f>
        <v>citation</v>
      </c>
      <c r="CA1" t="s">
        <v>2530</v>
      </c>
      <c r="CC1" s="20" t="s">
        <v>2539</v>
      </c>
      <c r="CD1" s="20" t="s">
        <v>2540</v>
      </c>
      <c r="CE1" s="20" t="s">
        <v>2541</v>
      </c>
      <c r="CF1" s="20" t="s">
        <v>2542</v>
      </c>
      <c r="CG1" t="s">
        <v>2543</v>
      </c>
      <c r="CH1">
        <v>1</v>
      </c>
      <c r="CI1">
        <v>2</v>
      </c>
      <c r="CJ1">
        <v>3</v>
      </c>
      <c r="CK1">
        <v>4</v>
      </c>
    </row>
    <row r="2" spans="1:89" ht="106.5" customHeight="1" x14ac:dyDescent="0.25">
      <c r="A2" s="30" t="s">
        <v>1177</v>
      </c>
      <c r="B2" s="30"/>
      <c r="C2" s="30" t="s">
        <v>1214</v>
      </c>
      <c r="D2" t="s">
        <v>1216</v>
      </c>
      <c r="E2" t="s">
        <v>1218</v>
      </c>
      <c r="F2" t="s">
        <v>1217</v>
      </c>
      <c r="J2">
        <v>400</v>
      </c>
      <c r="K2">
        <v>550</v>
      </c>
      <c r="L2">
        <f t="shared" ref="L2:L23" si="5">J2+(K2-J2)*0.5</f>
        <v>475</v>
      </c>
      <c r="M2" s="8" t="s">
        <v>1250</v>
      </c>
      <c r="N2" s="8" t="s">
        <v>1251</v>
      </c>
      <c r="O2" s="36" t="str">
        <f>_xlfn.CONCAT("studies which report the ",D2," as ",E2,"  (",F2,") , and the values reported therein, of ",M2, " (",N2, ") under semi-arid environments. Provide the links to the scientific article")</f>
        <v>studies which report the Michaelis–Menten constant for O2 at 25◦C as micromols per mol per mbar  ( µmol mol^−1 mbar^-1) , and the values reported therein, of Cenchrus grass species (Cenchrus ciliaris, Cenchrus purpureus, Cenchrus setiger, Cenchrus setaceus, Cenchrus biflorus, Cenchrus Mezianus ) under semi-arid environments. Provide the links to the scientific article</v>
      </c>
      <c r="Q2" t="s">
        <v>1259</v>
      </c>
      <c r="S2" t="s">
        <v>1566</v>
      </c>
      <c r="T2" t="s">
        <v>88</v>
      </c>
      <c r="W2">
        <v>450</v>
      </c>
      <c r="X2" s="37" t="str">
        <f t="shared" ref="X2:X39" si="6">_xlfn.CONCAT("studies which report the ",D2," as ",E2,"  (",F2,") , and the values reported therein, of ",S2, " (",T2, ") under semi-arid environments. Provide the links to the scientific article")</f>
        <v>studies which report the Michaelis–Menten constant for O2 at 25◦C as micromols per mol per mbar  ( µmol mol^−1 mbar^-1) , and the values reported therein, of red oat grass  (Themeda triandra) under semi-arid environments. Provide the links to the scientific article</v>
      </c>
      <c r="Y2" s="19" t="s">
        <v>1606</v>
      </c>
      <c r="Z2" t="s">
        <v>1605</v>
      </c>
      <c r="AA2" t="s">
        <v>2553</v>
      </c>
      <c r="AB2" t="s">
        <v>1535</v>
      </c>
      <c r="AD2">
        <v>450</v>
      </c>
      <c r="AE2" s="20">
        <v>450</v>
      </c>
      <c r="AF2" s="37" t="str">
        <f>_xlfn.CONCAT("studies which report the ",D2," as ",E2,"  (",F2,") , and the values reported therein, of ",AA2, " (",AB2, ") under semi-arid environments. Provide the links to the scientific article")</f>
        <v>studies which report the Michaelis–Menten constant for O2 at 25◦C as micromols per mol per mbar  ( µmol mol^−1 mbar^-1) , and the values reported therein, of bermuda grass (cynodon dactylon) under semi-arid environments. Provide the links to the scientific article</v>
      </c>
      <c r="AH2" t="s">
        <v>2565</v>
      </c>
      <c r="AI2">
        <f>$L2*AO$2+$W2*AO$3</f>
        <v>345</v>
      </c>
      <c r="AJ2">
        <f>$L2*AO$2+$W2*AO$3+$AE2*AO$4</f>
        <v>457.5</v>
      </c>
      <c r="AK2">
        <f t="shared" ref="AK2:AM2" si="7">$L2*AP$2+$W2*AP$3+$AE2*AP$4</f>
        <v>460</v>
      </c>
      <c r="AL2">
        <f t="shared" si="7"/>
        <v>460</v>
      </c>
      <c r="AM2">
        <f t="shared" si="7"/>
        <v>457.5</v>
      </c>
      <c r="AN2" t="s">
        <v>1586</v>
      </c>
      <c r="AO2">
        <v>0.3</v>
      </c>
      <c r="AP2">
        <v>0.4</v>
      </c>
      <c r="AQ2">
        <v>0.4</v>
      </c>
      <c r="AR2">
        <v>0.3</v>
      </c>
      <c r="AU2" t="s">
        <v>1627</v>
      </c>
      <c r="AV2" t="s">
        <v>1260</v>
      </c>
      <c r="AW2" s="15" t="s">
        <v>2581</v>
      </c>
      <c r="AX2" t="s">
        <v>2580</v>
      </c>
      <c r="BC2" s="42" t="str">
        <f>_xlfn.CONCAT("studies which report the ",D2," as ",E2,"  (",F2,") , and the values reported therein, of ",ABX2, " (",AV2, ") under semi-arid environments. Provide the links to the scientific article")</f>
        <v>studies which report the Michaelis–Menten constant for O2 at 25◦C as micromols per mol per mbar  ( µmol mol^−1 mbar^-1) , and the values reported therein, of  (Vachellia drepanolobium) under semi-arid environments. Provide the links to the scientific article</v>
      </c>
      <c r="BG2" t="s">
        <v>2524</v>
      </c>
      <c r="BH2" t="s">
        <v>2526</v>
      </c>
      <c r="BM2" s="42" t="str">
        <f t="shared" ref="BM2:BM44" si="8">_xlfn.CONCAT("studies which report the ",D2," as ",E2,"  (",F2,") , and the values reported therein of ",BG2," genus vegetation (e.g.  ",BH2," ). Provide the links to the scientific article")</f>
        <v>studies which report the Michaelis–Menten constant for O2 at 25◦C as micromols per mol per mbar  ( µmol mol^−1 mbar^-1) , and the values reported therein of indigofera genus vegetation (e.g.  Indigofera voharamensis, indigofera volkensii ). Provide the links to the scientific article</v>
      </c>
      <c r="BQ2" t="s">
        <v>2528</v>
      </c>
      <c r="BR2" t="s">
        <v>2529</v>
      </c>
      <c r="BW2">
        <v>0.5</v>
      </c>
      <c r="BX2" s="42" t="str">
        <f t="shared" ref="BX2:BX44" si="9">_xlfn.CONCAT("studies which report the ",D2," as ",E2,"  (",F2,") , and the values reported therein of ",BQ2," genus vegetation (e.g.  ",BR2," ). Provide the links to the scientific article")</f>
        <v>studies which report the Michaelis–Menten constant for O2 at 25◦C as micromols per mol per mbar  ( µmol mol^−1 mbar^-1) , and the values reported therein of tephrosia genus vegetation (e.g.  tephrosia elata ). Provide the links to the scientific article</v>
      </c>
      <c r="CB2">
        <f>$BL2*CG$2+$BW2*CG$3</f>
        <v>0.3</v>
      </c>
      <c r="CC2">
        <f t="shared" ref="CC2:CE2" si="10">$BL2*CH$2+$BW2*CH$3</f>
        <v>0.25</v>
      </c>
      <c r="CD2">
        <f t="shared" si="10"/>
        <v>0.2</v>
      </c>
      <c r="CE2">
        <f t="shared" si="10"/>
        <v>0.15</v>
      </c>
      <c r="CF2" t="s">
        <v>2524</v>
      </c>
      <c r="CG2">
        <v>0.4</v>
      </c>
      <c r="CH2">
        <v>0.5</v>
      </c>
      <c r="CI2">
        <v>0.6</v>
      </c>
      <c r="CJ2">
        <v>0.7</v>
      </c>
    </row>
    <row r="3" spans="1:89" ht="92.25" customHeight="1" x14ac:dyDescent="0.25">
      <c r="A3" s="30" t="s">
        <v>1175</v>
      </c>
      <c r="B3" s="30"/>
      <c r="C3" s="19" t="s">
        <v>1214</v>
      </c>
      <c r="D3" t="s">
        <v>1224</v>
      </c>
      <c r="E3" t="s">
        <v>1225</v>
      </c>
      <c r="J3">
        <v>0.01</v>
      </c>
      <c r="K3">
        <v>3.5000000000000003E-2</v>
      </c>
      <c r="L3">
        <f t="shared" si="5"/>
        <v>2.2499999999999999E-2</v>
      </c>
      <c r="M3" t="str">
        <f>M2</f>
        <v>Cenchrus grass species</v>
      </c>
      <c r="N3" t="str">
        <f>N2</f>
        <v xml:space="preserve">Cenchrus ciliaris, Cenchrus purpureus, Cenchrus setiger, Cenchrus setaceus, Cenchrus biflorus, Cenchrus Mezianus </v>
      </c>
      <c r="O3" s="36" t="str">
        <f>_xlfn.CONCAT("studies which report the ",D3," as ",E3,"  (",F3,") , and the values reported therein, of ",M3, " (",N3, ") under semi-arid environments. Provide the links to the scientific article")</f>
        <v>studies which report the Maintenance coefficient at reference temperature as a fraction  () , and the values reported therein, of Cenchrus grass species (Cenchrus ciliaris, Cenchrus purpureus, Cenchrus setiger, Cenchrus setaceus, Cenchrus biflorus, Cenchrus Mezianus ) under semi-arid environments. Provide the links to the scientific article</v>
      </c>
      <c r="Q3" t="s">
        <v>1259</v>
      </c>
      <c r="S3" t="s">
        <v>1566</v>
      </c>
      <c r="T3" t="s">
        <v>88</v>
      </c>
      <c r="U3">
        <v>0.01</v>
      </c>
      <c r="V3">
        <v>0.02</v>
      </c>
      <c r="W3">
        <f t="shared" ref="W3:W39" si="11">(V3-U3)/2+U3</f>
        <v>1.4999999999999999E-2</v>
      </c>
      <c r="X3" s="37" t="str">
        <f t="shared" si="6"/>
        <v>studies which report the Maintenance coefficient at reference temperature as a fraction  () , and the values reported therein, of red oat grass  (Themeda triandra) under semi-arid environments. Provide the links to the scientific article</v>
      </c>
      <c r="Y3" s="27" t="s">
        <v>1608</v>
      </c>
      <c r="Z3" t="s">
        <v>1607</v>
      </c>
      <c r="AA3" t="s">
        <v>2553</v>
      </c>
      <c r="AB3" t="s">
        <v>1535</v>
      </c>
      <c r="AD3">
        <v>0.01</v>
      </c>
      <c r="AE3" s="20">
        <v>0.05</v>
      </c>
      <c r="AF3" s="37" t="str">
        <f t="shared" ref="AF3:AF44" si="12">_xlfn.CONCAT("studies which report the ",D3," as ",E3,"  (",F3,") , and the values reported therein, of ",AA3, " (",AB3, ") under semi-arid environments. Provide the links to the scientific article")</f>
        <v>studies which report the Maintenance coefficient at reference temperature as a fraction  () , and the values reported therein, of bermuda grass (cynodon dactylon) under semi-arid environments. Provide the links to the scientific article</v>
      </c>
      <c r="AH3" t="s">
        <v>2566</v>
      </c>
      <c r="AI3">
        <f t="shared" ref="AI3:AI44" si="13">$L3*AO$2+$W3*AO$3</f>
        <v>1.35E-2</v>
      </c>
      <c r="AJ3">
        <f t="shared" ref="AJ3:AJ44" si="14">$L3*AO$2+$W3*AO$3+$AE3*AO$4</f>
        <v>2.5999999999999995E-2</v>
      </c>
      <c r="AK3">
        <f t="shared" ref="AK3:AK44" si="15">$L3*AP$2+$W3*AP$3+$AE3*AP$4</f>
        <v>2.1499999999999998E-2</v>
      </c>
      <c r="AL3">
        <f t="shared" ref="AL3:AL44" si="16">$L3*AQ$2+$W3*AQ$3+$AE3*AQ$4</f>
        <v>2.1499999999999998E-2</v>
      </c>
      <c r="AM3">
        <f t="shared" ref="AM3:AM44" si="17">$L3*AR$2+$W3*AR$3+$AE3*AR$4</f>
        <v>2.0749999999999998E-2</v>
      </c>
      <c r="AN3" t="s">
        <v>88</v>
      </c>
      <c r="AO3">
        <v>0.45</v>
      </c>
      <c r="AP3">
        <v>0.5</v>
      </c>
      <c r="AQ3">
        <v>0.5</v>
      </c>
      <c r="AR3">
        <v>0.6</v>
      </c>
      <c r="AU3" t="s">
        <v>1627</v>
      </c>
      <c r="AV3" t="s">
        <v>1260</v>
      </c>
      <c r="AW3" s="15" t="s">
        <v>2581</v>
      </c>
      <c r="AX3" t="s">
        <v>2580</v>
      </c>
      <c r="BC3" s="42" t="str">
        <f t="shared" ref="BC3:BC15" si="18">_xlfn.CONCAT("studies which report the ",D3," as ",E3,"  (",F3,") , and the values reported therein, of ",AU3, " (",AV3, ") under semi-arid environments. If no data for this species exists, please default to tribe ",AW3," and if no data there exists, to the family ",AX3,"  Provide the links to the scientific article")</f>
        <v>studies which report the Maintenance coefficient at reference temperature as a fraction  () , and the values reported therein, of Whistling thorn (Vachellia drepanolobium) under semi-arid environments. If no data for this species exists, please default to tribe Mimosoideae   and if no data there exists, to the family Acacieae  Provide the links to the scientific article</v>
      </c>
      <c r="BG3" t="s">
        <v>2524</v>
      </c>
      <c r="BH3" t="s">
        <v>2526</v>
      </c>
      <c r="BM3" s="42" t="str">
        <f t="shared" si="8"/>
        <v>studies which report the Maintenance coefficient at reference temperature as a fraction  () , and the values reported therein of indigofera genus vegetation (e.g.  Indigofera voharamensis, indigofera volkensii ). Provide the links to the scientific article</v>
      </c>
      <c r="BQ3" t="s">
        <v>2528</v>
      </c>
      <c r="BR3" t="s">
        <v>2529</v>
      </c>
      <c r="BX3" s="42" t="str">
        <f t="shared" si="9"/>
        <v>studies which report the Maintenance coefficient at reference temperature as a fraction  () , and the values reported therein of tephrosia genus vegetation (e.g.  tephrosia elata ). Provide the links to the scientific article</v>
      </c>
      <c r="CB3">
        <f t="shared" ref="CB3:CB44" si="19">$BL3*CG$2+$BW3*CG$3</f>
        <v>0</v>
      </c>
      <c r="CC3">
        <f t="shared" ref="CC3:CC44" si="20">$BL3*CH$2+$BW3*CH$3</f>
        <v>0</v>
      </c>
      <c r="CD3">
        <f t="shared" ref="CD3:CD44" si="21">$BL3*CI$2+$BW3*CI$3</f>
        <v>0</v>
      </c>
      <c r="CE3">
        <f t="shared" ref="CE3:CE44" si="22">$BL3*CJ$2+$BW3*CJ$3</f>
        <v>0</v>
      </c>
      <c r="CF3" t="s">
        <v>2528</v>
      </c>
      <c r="CG3">
        <v>0.6</v>
      </c>
      <c r="CH3">
        <v>0.5</v>
      </c>
      <c r="CI3">
        <v>0.4</v>
      </c>
      <c r="CJ3">
        <v>0.3</v>
      </c>
    </row>
    <row r="4" spans="1:89" ht="98.25" customHeight="1" x14ac:dyDescent="0.25">
      <c r="A4" s="30" t="s">
        <v>1226</v>
      </c>
      <c r="B4" s="30"/>
      <c r="C4" s="19" t="s">
        <v>1214</v>
      </c>
      <c r="D4" t="s">
        <v>1227</v>
      </c>
      <c r="E4" t="s">
        <v>1228</v>
      </c>
      <c r="F4" t="s">
        <v>1229</v>
      </c>
      <c r="L4">
        <f t="shared" si="5"/>
        <v>0</v>
      </c>
      <c r="M4" t="str">
        <f t="shared" ref="M4:N6" si="23">M3</f>
        <v>Cenchrus grass species</v>
      </c>
      <c r="N4" t="str">
        <f t="shared" si="23"/>
        <v xml:space="preserve">Cenchrus ciliaris, Cenchrus purpureus, Cenchrus setiger, Cenchrus setaceus, Cenchrus biflorus, Cenchrus Mezianus </v>
      </c>
      <c r="O4" s="36" t="str">
        <f>_xlfn.CONCAT("studies which report the ",D4," as ",E4,"  (",F4,") , and the values reported therein, of ",M4, " (",N4, ") under semi-arid environments. Provide the links to the scientific article")</f>
        <v>studies which report the Maximum Rubisco activity at 25 degrees celsius as micromols per square meter per second  (umol m^-2 s^-1) , and the values reported therein, of Cenchrus grass species (Cenchrus ciliaris, Cenchrus purpureus, Cenchrus setiger, Cenchrus setaceus, Cenchrus biflorus, Cenchrus Mezianus ) under semi-arid environments. Provide the links to the scientific article</v>
      </c>
      <c r="S4" t="s">
        <v>1566</v>
      </c>
      <c r="T4" t="s">
        <v>88</v>
      </c>
      <c r="U4">
        <v>11</v>
      </c>
      <c r="V4">
        <v>22.4</v>
      </c>
      <c r="W4">
        <f t="shared" si="11"/>
        <v>16.7</v>
      </c>
      <c r="X4" s="37" t="str">
        <f t="shared" si="6"/>
        <v>studies which report the Maximum Rubisco activity at 25 degrees celsius as micromols per square meter per second  (umol m^-2 s^-1) , and the values reported therein, of red oat grass  (Themeda triandra) under semi-arid environments. Provide the links to the scientific article</v>
      </c>
      <c r="Y4" s="27" t="s">
        <v>1610</v>
      </c>
      <c r="Z4" s="27" t="s">
        <v>1609</v>
      </c>
      <c r="AA4" t="s">
        <v>2553</v>
      </c>
      <c r="AB4" t="s">
        <v>1535</v>
      </c>
      <c r="AF4" s="37" t="str">
        <f t="shared" si="12"/>
        <v>studies which report the Maximum Rubisco activity at 25 degrees celsius as micromols per square meter per second  (umol m^-2 s^-1) , and the values reported therein, of bermuda grass (cynodon dactylon) under semi-arid environments. Provide the links to the scientific article</v>
      </c>
      <c r="AG4" s="27" t="s">
        <v>2567</v>
      </c>
      <c r="AH4" t="s">
        <v>2568</v>
      </c>
      <c r="AI4">
        <f t="shared" si="13"/>
        <v>7.5149999999999997</v>
      </c>
      <c r="AJ4">
        <f t="shared" si="14"/>
        <v>7.5149999999999997</v>
      </c>
      <c r="AK4">
        <f t="shared" si="15"/>
        <v>8.35</v>
      </c>
      <c r="AL4">
        <f t="shared" si="16"/>
        <v>8.35</v>
      </c>
      <c r="AM4">
        <f t="shared" si="17"/>
        <v>10.02</v>
      </c>
      <c r="AN4" t="s">
        <v>1248</v>
      </c>
      <c r="AO4">
        <f>1-AO2-AO3</f>
        <v>0.24999999999999994</v>
      </c>
      <c r="AP4">
        <f t="shared" ref="AP4:AR4" si="24">1-AP2-AP3</f>
        <v>9.9999999999999978E-2</v>
      </c>
      <c r="AQ4">
        <f t="shared" si="24"/>
        <v>9.9999999999999978E-2</v>
      </c>
      <c r="AR4">
        <f t="shared" si="24"/>
        <v>9.9999999999999978E-2</v>
      </c>
      <c r="AU4" t="s">
        <v>1627</v>
      </c>
      <c r="AV4" t="s">
        <v>1260</v>
      </c>
      <c r="AW4" s="15" t="s">
        <v>2581</v>
      </c>
      <c r="AX4" t="s">
        <v>2580</v>
      </c>
      <c r="BC4" s="42" t="str">
        <f t="shared" si="18"/>
        <v>studies which report the Maximum Rubisco activity at 25 degrees celsius as micromols per square meter per second  (umol m^-2 s^-1) , and the values reported therein, of Whistling thorn (Vachellia drepanolobium) under semi-arid environments. If no data for this species exists, please default to tribe Mimosoideae   and if no data there exists, to the family Acacieae  Provide the links to the scientific article</v>
      </c>
      <c r="BG4" t="s">
        <v>2524</v>
      </c>
      <c r="BH4" t="s">
        <v>2526</v>
      </c>
      <c r="BM4" s="42" t="str">
        <f t="shared" si="8"/>
        <v>studies which report the Maximum Rubisco activity at 25 degrees celsius as micromols per square meter per second  (umol m^-2 s^-1) , and the values reported therein of indigofera genus vegetation (e.g.  Indigofera voharamensis, indigofera volkensii ). Provide the links to the scientific article</v>
      </c>
      <c r="BQ4" t="s">
        <v>2528</v>
      </c>
      <c r="BR4" t="s">
        <v>2529</v>
      </c>
      <c r="BX4" s="42" t="str">
        <f t="shared" si="9"/>
        <v>studies which report the Maximum Rubisco activity at 25 degrees celsius as micromols per square meter per second  (umol m^-2 s^-1) , and the values reported therein of tephrosia genus vegetation (e.g.  tephrosia elata ). Provide the links to the scientific article</v>
      </c>
      <c r="CB4">
        <f t="shared" si="19"/>
        <v>0</v>
      </c>
      <c r="CC4">
        <f t="shared" si="20"/>
        <v>0</v>
      </c>
      <c r="CD4">
        <f t="shared" si="21"/>
        <v>0</v>
      </c>
      <c r="CE4">
        <f t="shared" si="22"/>
        <v>0</v>
      </c>
    </row>
    <row r="5" spans="1:89" ht="78" customHeight="1" x14ac:dyDescent="0.25">
      <c r="A5" s="30" t="s">
        <v>901</v>
      </c>
      <c r="B5" s="8">
        <v>13</v>
      </c>
      <c r="C5" s="19" t="s">
        <v>1214</v>
      </c>
      <c r="D5" t="s">
        <v>1552</v>
      </c>
      <c r="E5" t="s">
        <v>1553</v>
      </c>
      <c r="F5" t="s">
        <v>1554</v>
      </c>
      <c r="J5">
        <v>37000</v>
      </c>
      <c r="K5">
        <v>45000</v>
      </c>
      <c r="L5">
        <f t="shared" si="5"/>
        <v>41000</v>
      </c>
      <c r="M5" t="str">
        <f>M4</f>
        <v>Cenchrus grass species</v>
      </c>
      <c r="N5" t="str">
        <f>N4</f>
        <v xml:space="preserve">Cenchrus ciliaris, Cenchrus purpureus, Cenchrus setiger, Cenchrus setaceus, Cenchrus biflorus, Cenchrus Mezianus </v>
      </c>
      <c r="O5" s="36" t="str">
        <f>_xlfn.CONCAT("studies which report the ",D5," as ",E5,"  (",F5,") , and the values reported therein, of ",M5, " (",N5, ") under semi-arid environments. Provide the links to the scientific article")</f>
        <v>studies which report the activation energy for electron transport as Joules per mol  (J mol^-1) , and the values reported therein, of Cenchrus grass species (Cenchrus ciliaris, Cenchrus purpureus, Cenchrus setiger, Cenchrus setaceus, Cenchrus biflorus, Cenchrus Mezianus ) under semi-arid environments. Provide the links to the scientific article</v>
      </c>
      <c r="Q5" t="s">
        <v>1259</v>
      </c>
      <c r="S5" t="s">
        <v>1566</v>
      </c>
      <c r="T5" t="s">
        <v>88</v>
      </c>
      <c r="U5">
        <v>35000</v>
      </c>
      <c r="V5">
        <v>45000</v>
      </c>
      <c r="W5">
        <f t="shared" si="11"/>
        <v>40000</v>
      </c>
      <c r="X5" s="37" t="str">
        <f t="shared" si="6"/>
        <v>studies which report the activation energy for electron transport as Joules per mol  (J mol^-1) , and the values reported therein, of red oat grass  (Themeda triandra) under semi-arid environments. Provide the links to the scientific article</v>
      </c>
      <c r="Y5" s="41" t="s">
        <v>1612</v>
      </c>
      <c r="Z5" t="s">
        <v>1611</v>
      </c>
      <c r="AA5" t="s">
        <v>2553</v>
      </c>
      <c r="AB5" t="s">
        <v>1535</v>
      </c>
      <c r="AF5" s="37" t="str">
        <f t="shared" si="12"/>
        <v>studies which report the activation energy for electron transport as Joules per mol  (J mol^-1) , and the values reported therein, of bermuda grass (cynodon dactylon) under semi-arid environments. Provide the links to the scientific article</v>
      </c>
      <c r="AI5">
        <f t="shared" si="13"/>
        <v>30300</v>
      </c>
      <c r="AJ5">
        <f t="shared" si="14"/>
        <v>30300</v>
      </c>
      <c r="AK5">
        <f t="shared" si="15"/>
        <v>36400</v>
      </c>
      <c r="AL5">
        <f t="shared" si="16"/>
        <v>36400</v>
      </c>
      <c r="AM5">
        <f t="shared" si="17"/>
        <v>36300</v>
      </c>
      <c r="AU5" t="s">
        <v>1627</v>
      </c>
      <c r="AV5" t="s">
        <v>1260</v>
      </c>
      <c r="AW5" s="15" t="s">
        <v>2581</v>
      </c>
      <c r="AX5" t="s">
        <v>2580</v>
      </c>
      <c r="BC5" s="42" t="str">
        <f t="shared" si="18"/>
        <v>studies which report the activation energy for electron transport as Joules per mol  (J mol^-1) , and the values reported therein, of Whistling thorn (Vachellia drepanolobium) under semi-arid environments. If no data for this species exists, please default to tribe Mimosoideae   and if no data there exists, to the family Acacieae  Provide the links to the scientific article</v>
      </c>
      <c r="BG5" t="s">
        <v>2524</v>
      </c>
      <c r="BH5" t="s">
        <v>2526</v>
      </c>
      <c r="BM5" s="42" t="str">
        <f t="shared" si="8"/>
        <v>studies which report the activation energy for electron transport as Joules per mol  (J mol^-1) , and the values reported therein of indigofera genus vegetation (e.g.  Indigofera voharamensis, indigofera volkensii ). Provide the links to the scientific article</v>
      </c>
      <c r="BQ5" t="s">
        <v>2528</v>
      </c>
      <c r="BR5" t="s">
        <v>2529</v>
      </c>
      <c r="BX5" s="42" t="str">
        <f t="shared" si="9"/>
        <v>studies which report the activation energy for electron transport as Joules per mol  (J mol^-1) , and the values reported therein of tephrosia genus vegetation (e.g.  tephrosia elata ). Provide the links to the scientific article</v>
      </c>
      <c r="CB5">
        <f t="shared" si="19"/>
        <v>0</v>
      </c>
      <c r="CC5">
        <f t="shared" si="20"/>
        <v>0</v>
      </c>
      <c r="CD5">
        <f t="shared" si="21"/>
        <v>0</v>
      </c>
      <c r="CE5">
        <f t="shared" si="22"/>
        <v>0</v>
      </c>
    </row>
    <row r="6" spans="1:89" ht="87.75" customHeight="1" x14ac:dyDescent="0.25">
      <c r="A6" s="30" t="s">
        <v>902</v>
      </c>
      <c r="B6" s="8">
        <v>14</v>
      </c>
      <c r="C6" s="19" t="s">
        <v>1214</v>
      </c>
      <c r="D6" s="49" t="s">
        <v>2570</v>
      </c>
      <c r="E6" t="s">
        <v>1553</v>
      </c>
      <c r="F6" t="s">
        <v>1554</v>
      </c>
      <c r="J6">
        <v>72900</v>
      </c>
      <c r="K6">
        <v>75400</v>
      </c>
      <c r="L6">
        <f t="shared" si="5"/>
        <v>74150</v>
      </c>
      <c r="M6" t="str">
        <f t="shared" si="23"/>
        <v>Cenchrus grass species</v>
      </c>
      <c r="N6" t="str">
        <f t="shared" si="23"/>
        <v xml:space="preserve">Cenchrus ciliaris, Cenchrus purpureus, Cenchrus setiger, Cenchrus setaceus, Cenchrus biflorus, Cenchrus Mezianus </v>
      </c>
      <c r="O6" s="29" t="str">
        <f>_xlfn.CONCAT("studies which report the ",D6," as ",E7,"  (",F6,") , and the values reported therein, of ",M6, " (",N6, ") under semi-arid environments. Provide the links to the scientific article")</f>
        <v>studies which report the Activation energy for Michaelis-Menten constant for CO2 as Joules per mol  (J mol^-1) , and the values reported therein, of Cenchrus grass species (Cenchrus ciliaris, Cenchrus purpureus, Cenchrus setiger, Cenchrus setaceus, Cenchrus biflorus, Cenchrus Mezianus ) under semi-arid environments. Provide the links to the scientific article</v>
      </c>
      <c r="Q6" s="27" t="s">
        <v>2577</v>
      </c>
      <c r="S6" t="s">
        <v>1566</v>
      </c>
      <c r="T6" t="s">
        <v>88</v>
      </c>
      <c r="W6">
        <v>36300</v>
      </c>
      <c r="X6" s="37" t="str">
        <f t="shared" si="6"/>
        <v>studies which report the Activation energy for Michaelis-Menten constant for CO2 as Joules per mol  (J mol^-1) , and the values reported therein, of red oat grass  (Themeda triandra) under semi-arid environments. Provide the links to the scientific article</v>
      </c>
      <c r="Y6" t="s">
        <v>1614</v>
      </c>
      <c r="Z6" s="27" t="s">
        <v>1613</v>
      </c>
      <c r="AA6" t="s">
        <v>2553</v>
      </c>
      <c r="AB6" t="s">
        <v>1535</v>
      </c>
      <c r="AF6" s="37" t="str">
        <f t="shared" si="12"/>
        <v>studies which report the Activation energy for Michaelis-Menten constant for CO2 as Joules per mol  (J mol^-1) , and the values reported therein, of bermuda grass (cynodon dactylon) under semi-arid environments. Provide the links to the scientific article</v>
      </c>
      <c r="AH6" t="s">
        <v>2572</v>
      </c>
      <c r="AI6">
        <f t="shared" si="13"/>
        <v>38580</v>
      </c>
      <c r="AJ6">
        <f t="shared" si="14"/>
        <v>38580</v>
      </c>
      <c r="AK6">
        <f t="shared" si="15"/>
        <v>47810</v>
      </c>
      <c r="AL6">
        <f t="shared" si="16"/>
        <v>47810</v>
      </c>
      <c r="AM6">
        <f t="shared" si="17"/>
        <v>44025</v>
      </c>
      <c r="AU6" t="s">
        <v>1627</v>
      </c>
      <c r="AV6" t="s">
        <v>1260</v>
      </c>
      <c r="AW6" s="15" t="s">
        <v>2581</v>
      </c>
      <c r="AX6" t="s">
        <v>2580</v>
      </c>
      <c r="BC6" s="42" t="str">
        <f t="shared" si="18"/>
        <v>studies which report the Activation energy for Michaelis-Menten constant for CO2 as Joules per mol  (J mol^-1) , and the values reported therein, of Whistling thorn (Vachellia drepanolobium) under semi-arid environments. If no data for this species exists, please default to tribe Mimosoideae   and if no data there exists, to the family Acacieae  Provide the links to the scientific article</v>
      </c>
      <c r="BG6" t="s">
        <v>2524</v>
      </c>
      <c r="BH6" t="s">
        <v>2526</v>
      </c>
      <c r="BM6" s="42" t="str">
        <f t="shared" si="8"/>
        <v>studies which report the Activation energy for Michaelis-Menten constant for CO2 as Joules per mol  (J mol^-1) , and the values reported therein of indigofera genus vegetation (e.g.  Indigofera voharamensis, indigofera volkensii ). Provide the links to the scientific article</v>
      </c>
      <c r="BQ6" t="s">
        <v>2528</v>
      </c>
      <c r="BR6" t="s">
        <v>2529</v>
      </c>
      <c r="BX6" s="42" t="str">
        <f t="shared" si="9"/>
        <v>studies which report the Activation energy for Michaelis-Menten constant for CO2 as Joules per mol  (J mol^-1) , and the values reported therein of tephrosia genus vegetation (e.g.  tephrosia elata ). Provide the links to the scientific article</v>
      </c>
      <c r="CB6">
        <f t="shared" si="19"/>
        <v>0</v>
      </c>
      <c r="CC6">
        <f t="shared" si="20"/>
        <v>0</v>
      </c>
      <c r="CD6">
        <f t="shared" si="21"/>
        <v>0</v>
      </c>
      <c r="CE6">
        <f t="shared" si="22"/>
        <v>0</v>
      </c>
    </row>
    <row r="7" spans="1:89" ht="135" x14ac:dyDescent="0.25">
      <c r="A7" s="30" t="s">
        <v>1555</v>
      </c>
      <c r="B7" s="8">
        <v>15</v>
      </c>
      <c r="C7" s="19" t="s">
        <v>1214</v>
      </c>
      <c r="D7" s="49" t="s">
        <v>2573</v>
      </c>
      <c r="E7" t="s">
        <v>1553</v>
      </c>
      <c r="F7" t="s">
        <v>1554</v>
      </c>
      <c r="I7">
        <v>36380</v>
      </c>
      <c r="J7">
        <v>36000</v>
      </c>
      <c r="K7">
        <v>36000</v>
      </c>
      <c r="L7">
        <f t="shared" si="5"/>
        <v>36000</v>
      </c>
      <c r="M7" t="str">
        <f t="shared" ref="M7:N7" si="25">M6</f>
        <v>Cenchrus grass species</v>
      </c>
      <c r="N7" t="str">
        <f t="shared" si="25"/>
        <v xml:space="preserve">Cenchrus ciliaris, Cenchrus purpureus, Cenchrus setiger, Cenchrus setaceus, Cenchrus biflorus, Cenchrus Mezianus </v>
      </c>
      <c r="O7" s="29" t="str">
        <f>_xlfn.CONCAT("studies which report the ",D7," as ",E8,"  (",F7,") , and the values reported therein, of ",M7, " (",N7, ") under semi-arid environments. Provide the links to the scientific article")</f>
        <v>studies which report the activation energy for Michaelis-Menten constant for O2 as Joules per mol  (J mol^-1) , and the values reported therein, of Cenchrus grass species (Cenchrus ciliaris, Cenchrus purpureus, Cenchrus setiger, Cenchrus setaceus, Cenchrus biflorus, Cenchrus Mezianus ) under semi-arid environments. Provide the links to the scientific article</v>
      </c>
      <c r="Q7" s="27" t="s">
        <v>1259</v>
      </c>
      <c r="S7" t="s">
        <v>1566</v>
      </c>
      <c r="T7" t="s">
        <v>88</v>
      </c>
      <c r="U7">
        <v>36000</v>
      </c>
      <c r="V7">
        <v>4000</v>
      </c>
      <c r="W7">
        <v>38000</v>
      </c>
      <c r="X7" s="37" t="str">
        <f t="shared" si="6"/>
        <v>studies which report the activation energy for Michaelis-Menten constant for O2 as Joules per mol  (J mol^-1) , and the values reported therein, of red oat grass  (Themeda triandra) under semi-arid environments. Provide the links to the scientific article</v>
      </c>
      <c r="Y7" s="19" t="s">
        <v>1616</v>
      </c>
      <c r="Z7" s="27" t="s">
        <v>1615</v>
      </c>
      <c r="AA7" t="s">
        <v>2553</v>
      </c>
      <c r="AB7" t="s">
        <v>1535</v>
      </c>
      <c r="AC7">
        <v>50000</v>
      </c>
      <c r="AD7">
        <v>70000</v>
      </c>
      <c r="AE7" s="20">
        <v>60000</v>
      </c>
      <c r="AF7" s="37" t="str">
        <f t="shared" si="12"/>
        <v>studies which report the activation energy for Michaelis-Menten constant for O2 as Joules per mol  (J mol^-1) , and the values reported therein, of bermuda grass (cynodon dactylon) under semi-arid environments. Provide the links to the scientific article</v>
      </c>
      <c r="AG7" s="27" t="s">
        <v>2576</v>
      </c>
      <c r="AH7" t="s">
        <v>2575</v>
      </c>
      <c r="AI7">
        <f t="shared" si="13"/>
        <v>27900</v>
      </c>
      <c r="AJ7">
        <f t="shared" si="14"/>
        <v>42900</v>
      </c>
      <c r="AK7">
        <f t="shared" si="15"/>
        <v>39400</v>
      </c>
      <c r="AL7">
        <f t="shared" si="16"/>
        <v>39400</v>
      </c>
      <c r="AM7">
        <f t="shared" si="17"/>
        <v>39600</v>
      </c>
      <c r="AU7" t="s">
        <v>1627</v>
      </c>
      <c r="AV7" t="s">
        <v>1260</v>
      </c>
      <c r="AW7" s="15" t="s">
        <v>2581</v>
      </c>
      <c r="AX7" t="s">
        <v>2580</v>
      </c>
      <c r="BC7" s="42" t="str">
        <f t="shared" si="18"/>
        <v>studies which report the activation energy for Michaelis-Menten constant for O2 as Joules per mol  (J mol^-1) , and the values reported therein, of Whistling thorn (Vachellia drepanolobium) under semi-arid environments. If no data for this species exists, please default to tribe Mimosoideae   and if no data there exists, to the family Acacieae  Provide the links to the scientific article</v>
      </c>
      <c r="BG7" t="s">
        <v>2524</v>
      </c>
      <c r="BH7" t="s">
        <v>2526</v>
      </c>
      <c r="BM7" s="42" t="str">
        <f t="shared" si="8"/>
        <v>studies which report the activation energy for Michaelis-Menten constant for O2 as Joules per mol  (J mol^-1) , and the values reported therein of indigofera genus vegetation (e.g.  Indigofera voharamensis, indigofera volkensii ). Provide the links to the scientific article</v>
      </c>
      <c r="BQ7" t="s">
        <v>2528</v>
      </c>
      <c r="BR7" t="s">
        <v>2529</v>
      </c>
      <c r="BX7" s="42" t="str">
        <f t="shared" si="9"/>
        <v>studies which report the activation energy for Michaelis-Menten constant for O2 as Joules per mol  (J mol^-1) , and the values reported therein of tephrosia genus vegetation (e.g.  tephrosia elata ). Provide the links to the scientific article</v>
      </c>
      <c r="CB7">
        <f t="shared" si="19"/>
        <v>0</v>
      </c>
      <c r="CC7">
        <f t="shared" si="20"/>
        <v>0</v>
      </c>
      <c r="CD7">
        <f t="shared" si="21"/>
        <v>0</v>
      </c>
      <c r="CE7">
        <f t="shared" si="22"/>
        <v>0</v>
      </c>
    </row>
    <row r="8" spans="1:89" ht="105" x14ac:dyDescent="0.25">
      <c r="A8" s="30" t="s">
        <v>1556</v>
      </c>
      <c r="B8" s="8">
        <v>16</v>
      </c>
      <c r="C8" s="19" t="s">
        <v>1214</v>
      </c>
      <c r="D8" t="s">
        <v>2571</v>
      </c>
      <c r="E8" t="s">
        <v>1553</v>
      </c>
      <c r="F8" t="s">
        <v>1554</v>
      </c>
      <c r="J8">
        <v>45000</v>
      </c>
      <c r="K8">
        <v>65000</v>
      </c>
      <c r="L8">
        <f t="shared" si="5"/>
        <v>55000</v>
      </c>
      <c r="M8" t="str">
        <f t="shared" ref="M8:N8" si="26">M7</f>
        <v>Cenchrus grass species</v>
      </c>
      <c r="N8" t="str">
        <f t="shared" si="26"/>
        <v xml:space="preserve">Cenchrus ciliaris, Cenchrus purpureus, Cenchrus setiger, Cenchrus setaceus, Cenchrus biflorus, Cenchrus Mezianus </v>
      </c>
      <c r="O8" s="36" t="str">
        <f>_xlfn.CONCAT("studies which report the ",D8," as ",E9,"  (",F8,") , and the values reported therein, of ",M8, " (",N8, ") under semi-arid environments. Provide the links to the scientific article")</f>
        <v>studies which report the Activation energy for dark respiration ( as Joules per mol  (J mol^-1) , and the values reported therein, of Cenchrus grass species (Cenchrus ciliaris, Cenchrus purpureus, Cenchrus setiger, Cenchrus setaceus, Cenchrus biflorus, Cenchrus Mezianus ) under semi-arid environments. Provide the links to the scientific article</v>
      </c>
      <c r="P8" t="s">
        <v>1560</v>
      </c>
      <c r="Q8" t="s">
        <v>1259</v>
      </c>
      <c r="S8" t="s">
        <v>1566</v>
      </c>
      <c r="T8" t="s">
        <v>88</v>
      </c>
      <c r="U8">
        <v>50000</v>
      </c>
      <c r="V8">
        <v>70000</v>
      </c>
      <c r="W8">
        <f t="shared" si="11"/>
        <v>60000</v>
      </c>
      <c r="X8" s="37" t="str">
        <f t="shared" si="6"/>
        <v>studies which report the Activation energy for dark respiration ( as Joules per mol  (J mol^-1) , and the values reported therein, of red oat grass  (Themeda triandra) under semi-arid environments. Provide the links to the scientific article</v>
      </c>
      <c r="Y8" s="27" t="s">
        <v>1618</v>
      </c>
      <c r="Z8" t="s">
        <v>1617</v>
      </c>
      <c r="AA8" t="s">
        <v>2553</v>
      </c>
      <c r="AB8" t="s">
        <v>1535</v>
      </c>
      <c r="AC8">
        <v>46390</v>
      </c>
      <c r="AD8">
        <v>46390</v>
      </c>
      <c r="AE8" s="20">
        <v>46390</v>
      </c>
      <c r="AF8" s="37" t="str">
        <f t="shared" si="12"/>
        <v>studies which report the Activation energy for dark respiration ( as Joules per mol  (J mol^-1) , and the values reported therein, of bermuda grass (cynodon dactylon) under semi-arid environments. Provide the links to the scientific article</v>
      </c>
      <c r="AH8" s="27" t="s">
        <v>2574</v>
      </c>
      <c r="AI8">
        <f t="shared" si="13"/>
        <v>43500</v>
      </c>
      <c r="AJ8">
        <f t="shared" si="14"/>
        <v>55097.5</v>
      </c>
      <c r="AK8">
        <f t="shared" si="15"/>
        <v>56639</v>
      </c>
      <c r="AL8">
        <f t="shared" si="16"/>
        <v>56639</v>
      </c>
      <c r="AM8">
        <f t="shared" si="17"/>
        <v>57139</v>
      </c>
      <c r="AU8" t="s">
        <v>1627</v>
      </c>
      <c r="AV8" t="s">
        <v>1260</v>
      </c>
      <c r="AW8" s="15" t="s">
        <v>2581</v>
      </c>
      <c r="AX8" t="s">
        <v>2580</v>
      </c>
      <c r="BC8" s="42" t="str">
        <f t="shared" si="18"/>
        <v>studies which report the Activation energy for dark respiration ( as Joules per mol  (J mol^-1) , and the values reported therein, of Whistling thorn (Vachellia drepanolobium) under semi-arid environments. If no data for this species exists, please default to tribe Mimosoideae   and if no data there exists, to the family Acacieae  Provide the links to the scientific article</v>
      </c>
      <c r="BG8" t="s">
        <v>2524</v>
      </c>
      <c r="BH8" t="s">
        <v>2526</v>
      </c>
      <c r="BM8" s="42" t="str">
        <f t="shared" si="8"/>
        <v>studies which report the Activation energy for dark respiration ( as Joules per mol  (J mol^-1) , and the values reported therein of indigofera genus vegetation (e.g.  Indigofera voharamensis, indigofera volkensii ). Provide the links to the scientific article</v>
      </c>
      <c r="BQ8" t="s">
        <v>2528</v>
      </c>
      <c r="BR8" t="s">
        <v>2529</v>
      </c>
      <c r="BX8" s="42" t="str">
        <f t="shared" si="9"/>
        <v>studies which report the Activation energy for dark respiration ( as Joules per mol  (J mol^-1) , and the values reported therein of tephrosia genus vegetation (e.g.  tephrosia elata ). Provide the links to the scientific article</v>
      </c>
      <c r="CB8">
        <f t="shared" si="19"/>
        <v>0</v>
      </c>
      <c r="CC8">
        <f t="shared" si="20"/>
        <v>0</v>
      </c>
      <c r="CD8">
        <f t="shared" si="21"/>
        <v>0</v>
      </c>
      <c r="CE8">
        <f t="shared" si="22"/>
        <v>0</v>
      </c>
    </row>
    <row r="9" spans="1:89" ht="105" x14ac:dyDescent="0.25">
      <c r="A9" s="30" t="s">
        <v>1557</v>
      </c>
      <c r="B9" s="8">
        <v>17</v>
      </c>
      <c r="C9" s="19" t="s">
        <v>1214</v>
      </c>
      <c r="D9" t="s">
        <v>1559</v>
      </c>
      <c r="E9" t="s">
        <v>1553</v>
      </c>
      <c r="F9" t="s">
        <v>1554</v>
      </c>
      <c r="J9">
        <v>36000</v>
      </c>
      <c r="K9">
        <v>66300</v>
      </c>
      <c r="L9">
        <f t="shared" si="5"/>
        <v>51150</v>
      </c>
      <c r="M9" t="str">
        <f t="shared" ref="M9:N9" si="27">M8</f>
        <v>Cenchrus grass species</v>
      </c>
      <c r="N9" t="str">
        <f t="shared" si="27"/>
        <v xml:space="preserve">Cenchrus ciliaris, Cenchrus purpureus, Cenchrus setiger, Cenchrus setaceus, Cenchrus biflorus, Cenchrus Mezianus </v>
      </c>
      <c r="O9" s="36" t="str">
        <f>_xlfn.CONCAT("studies which report the ",D9," as ",E10,"  (",F9,") , and the values reported therein, of ",M9, " (",N9, ") under semi-arid environments. Provide the links to the scientific article")</f>
        <v>studies which report the activation energy for photosynthesis as   (J mol^-1) , and the values reported therein, of Cenchrus grass species (Cenchrus ciliaris, Cenchrus purpureus, Cenchrus setiger, Cenchrus setaceus, Cenchrus biflorus, Cenchrus Mezianus ) under semi-arid environments. Provide the links to the scientific article</v>
      </c>
      <c r="Q9" s="27" t="s">
        <v>1259</v>
      </c>
      <c r="S9" t="s">
        <v>1566</v>
      </c>
      <c r="T9" t="s">
        <v>88</v>
      </c>
      <c r="U9">
        <v>56000</v>
      </c>
      <c r="V9">
        <v>82000</v>
      </c>
      <c r="W9">
        <f t="shared" si="11"/>
        <v>69000</v>
      </c>
      <c r="X9" s="37" t="str">
        <f t="shared" si="6"/>
        <v>studies which report the activation energy for photosynthesis as Joules per mol  (J mol^-1) , and the values reported therein, of red oat grass  (Themeda triandra) under semi-arid environments. Provide the links to the scientific article</v>
      </c>
      <c r="Y9" t="s">
        <v>1620</v>
      </c>
      <c r="Z9" t="s">
        <v>1619</v>
      </c>
      <c r="AA9" t="s">
        <v>2553</v>
      </c>
      <c r="AB9" t="s">
        <v>1535</v>
      </c>
      <c r="AC9">
        <v>50100</v>
      </c>
      <c r="AD9">
        <v>50100</v>
      </c>
      <c r="AE9" s="20">
        <v>50100</v>
      </c>
      <c r="AF9" s="37" t="str">
        <f t="shared" si="12"/>
        <v>studies which report the activation energy for photosynthesis as Joules per mol  (J mol^-1) , and the values reported therein, of bermuda grass (cynodon dactylon) under semi-arid environments. Provide the links to the scientific article</v>
      </c>
      <c r="AH9" t="s">
        <v>2569</v>
      </c>
      <c r="AI9">
        <f t="shared" si="13"/>
        <v>46395</v>
      </c>
      <c r="AJ9">
        <f t="shared" si="14"/>
        <v>58920</v>
      </c>
      <c r="AK9">
        <f t="shared" si="15"/>
        <v>59970</v>
      </c>
      <c r="AL9">
        <f t="shared" si="16"/>
        <v>59970</v>
      </c>
      <c r="AM9">
        <f t="shared" si="17"/>
        <v>61755</v>
      </c>
      <c r="AU9" t="s">
        <v>1627</v>
      </c>
      <c r="AV9" t="s">
        <v>1260</v>
      </c>
      <c r="AW9" s="15" t="s">
        <v>2581</v>
      </c>
      <c r="AX9" t="s">
        <v>2580</v>
      </c>
      <c r="BC9" s="42" t="str">
        <f t="shared" si="18"/>
        <v>studies which report the activation energy for photosynthesis as Joules per mol  (J mol^-1) , and the values reported therein, of Whistling thorn (Vachellia drepanolobium) under semi-arid environments. If no data for this species exists, please default to tribe Mimosoideae   and if no data there exists, to the family Acacieae  Provide the links to the scientific article</v>
      </c>
      <c r="BG9" t="s">
        <v>2524</v>
      </c>
      <c r="BH9" t="s">
        <v>2526</v>
      </c>
      <c r="BM9" s="42" t="str">
        <f t="shared" si="8"/>
        <v>studies which report the activation energy for photosynthesis as Joules per mol  (J mol^-1) , and the values reported therein of indigofera genus vegetation (e.g.  Indigofera voharamensis, indigofera volkensii ). Provide the links to the scientific article</v>
      </c>
      <c r="BQ9" t="s">
        <v>2528</v>
      </c>
      <c r="BR9" t="s">
        <v>2529</v>
      </c>
      <c r="BX9" s="42" t="str">
        <f t="shared" si="9"/>
        <v>studies which report the activation energy for photosynthesis as Joules per mol  (J mol^-1) , and the values reported therein of tephrosia genus vegetation (e.g.  tephrosia elata ). Provide the links to the scientific article</v>
      </c>
      <c r="CB9">
        <f t="shared" si="19"/>
        <v>0</v>
      </c>
      <c r="CC9">
        <f t="shared" si="20"/>
        <v>0</v>
      </c>
      <c r="CD9">
        <f t="shared" si="21"/>
        <v>0</v>
      </c>
      <c r="CE9">
        <f t="shared" si="22"/>
        <v>0</v>
      </c>
    </row>
    <row r="10" spans="1:89" ht="135" x14ac:dyDescent="0.25">
      <c r="A10" s="30" t="s">
        <v>1558</v>
      </c>
      <c r="B10" s="8">
        <v>18</v>
      </c>
      <c r="C10" s="19" t="s">
        <v>1214</v>
      </c>
      <c r="D10" s="44" t="s">
        <v>1636</v>
      </c>
      <c r="J10">
        <v>21000</v>
      </c>
      <c r="K10">
        <v>36000</v>
      </c>
      <c r="L10">
        <f t="shared" si="5"/>
        <v>28500</v>
      </c>
      <c r="M10" t="str">
        <f t="shared" ref="M10:N10" si="28">M9</f>
        <v>Cenchrus grass species</v>
      </c>
      <c r="N10" t="str">
        <f t="shared" si="28"/>
        <v xml:space="preserve">Cenchrus ciliaris, Cenchrus purpureus, Cenchrus setiger, Cenchrus setaceus, Cenchrus biflorus, Cenchrus Mezianus </v>
      </c>
      <c r="O10" s="36" t="e">
        <f>_xlfn.CONCAT("studies which report the ",D10," as ",#REF!,"  (",F10,") , and the values reported therein, of ",M10, " (",N10, ") under semi-arid environments. Provide the links to the scientific article")</f>
        <v>#REF!</v>
      </c>
      <c r="S10" t="s">
        <v>1566</v>
      </c>
      <c r="T10" t="s">
        <v>88</v>
      </c>
      <c r="U10">
        <v>21000</v>
      </c>
      <c r="V10">
        <v>36000</v>
      </c>
      <c r="W10">
        <f t="shared" si="11"/>
        <v>28500</v>
      </c>
      <c r="X10" s="37" t="str">
        <f t="shared" si="6"/>
        <v>studies which report the Curvature Parameter:  the shape of the light-response curve, which determines how quickly the electron transport rate (J) approaches its maximum (J_max) as Photosynthetically Active Radiation (PAR) increases. as   () , and the values reported therein, of red oat grass  (Themeda triandra) under semi-arid environments. Provide the links to the scientific article</v>
      </c>
      <c r="Y10" s="19" t="s">
        <v>1622</v>
      </c>
      <c r="Z10" t="s">
        <v>1621</v>
      </c>
      <c r="AA10" t="s">
        <v>2553</v>
      </c>
      <c r="AB10" t="s">
        <v>1535</v>
      </c>
      <c r="AF10" s="37" t="str">
        <f t="shared" si="12"/>
        <v>studies which report the Curvature Parameter:  the shape of the light-response curve, which determines how quickly the electron transport rate (J) approaches its maximum (J_max) as Photosynthetically Active Radiation (PAR) increases. as   () , and the values reported therein, of bermuda grass (cynodon dactylon) under semi-arid environments. Provide the links to the scientific article</v>
      </c>
      <c r="AI10">
        <f t="shared" si="13"/>
        <v>21375</v>
      </c>
      <c r="AJ10">
        <f t="shared" si="14"/>
        <v>21375</v>
      </c>
      <c r="AK10">
        <f t="shared" si="15"/>
        <v>25650</v>
      </c>
      <c r="AL10">
        <f t="shared" si="16"/>
        <v>25650</v>
      </c>
      <c r="AM10">
        <f t="shared" si="17"/>
        <v>25650</v>
      </c>
      <c r="AU10" t="s">
        <v>1627</v>
      </c>
      <c r="AV10" t="s">
        <v>1260</v>
      </c>
      <c r="AW10" s="15" t="s">
        <v>2581</v>
      </c>
      <c r="AX10" t="s">
        <v>2580</v>
      </c>
      <c r="BC10" s="42" t="str">
        <f t="shared" si="18"/>
        <v>studies which report the Curvature Parameter:  the shape of the light-response curve, which determines how quickly the electron transport rate (J) approaches its maximum (J_max) as Photosynthetically Active Radiation (PAR) increases. as   () , and the values reported therein, of Whistling thorn (Vachellia drepanolobium) under semi-arid environments. If no data for this species exists, please default to tribe Mimosoideae   and if no data there exists, to the family Acacieae  Provide the links to the scientific article</v>
      </c>
      <c r="BG10" t="s">
        <v>2524</v>
      </c>
      <c r="BH10" t="s">
        <v>2526</v>
      </c>
      <c r="BM10" s="42" t="str">
        <f t="shared" si="8"/>
        <v>studies which report the Curvature Parameter:  the shape of the light-response curve, which determines how quickly the electron transport rate (J) approaches its maximum (J_max) as Photosynthetically Active Radiation (PAR) increases. as   () , and the values reported therein of indigofera genus vegetation (e.g.  Indigofera voharamensis, indigofera volkensii ). Provide the links to the scientific article</v>
      </c>
      <c r="BQ10" t="s">
        <v>2528</v>
      </c>
      <c r="BR10" t="s">
        <v>2529</v>
      </c>
      <c r="BX10" s="42" t="str">
        <f t="shared" si="9"/>
        <v>studies which report the Curvature Parameter:  the shape of the light-response curve, which determines how quickly the electron transport rate (J) approaches its maximum (J_max) as Photosynthetically Active Radiation (PAR) increases. as   () , and the values reported therein of tephrosia genus vegetation (e.g.  tephrosia elata ). Provide the links to the scientific article</v>
      </c>
      <c r="CB10">
        <f t="shared" si="19"/>
        <v>0</v>
      </c>
      <c r="CC10">
        <f t="shared" si="20"/>
        <v>0</v>
      </c>
      <c r="CD10">
        <f t="shared" si="21"/>
        <v>0</v>
      </c>
      <c r="CE10">
        <f t="shared" si="22"/>
        <v>0</v>
      </c>
    </row>
    <row r="11" spans="1:89" ht="63.75" customHeight="1" x14ac:dyDescent="0.25">
      <c r="A11" s="19" t="s">
        <v>1220</v>
      </c>
      <c r="B11" s="19"/>
      <c r="C11" s="19" t="s">
        <v>1214</v>
      </c>
      <c r="D11" t="s">
        <v>2255</v>
      </c>
      <c r="L11">
        <f t="shared" si="5"/>
        <v>0</v>
      </c>
      <c r="M11" t="str">
        <f>M6</f>
        <v>Cenchrus grass species</v>
      </c>
      <c r="N11" t="str">
        <f>N6</f>
        <v xml:space="preserve">Cenchrus ciliaris, Cenchrus purpureus, Cenchrus setiger, Cenchrus setaceus, Cenchrus biflorus, Cenchrus Mezianus </v>
      </c>
      <c r="O11" s="29" t="str">
        <f t="shared" ref="O11:O39" si="29">_xlfn.CONCAT("studies which report the ",D11," as ",E11,"  (",F11,") , and the values reported therein, of ",M11, " (",N11, ") under semi-arid environments. Provide the links to the scientific article")</f>
        <v>studies which report the Relation between maximum electron transport rate and RubP saturated rate of carboxylation as   () , and the values reported therein, of Cenchrus grass species (Cenchrus ciliaris, Cenchrus purpureus, Cenchrus setiger, Cenchrus setaceus, Cenchrus biflorus, Cenchrus Mezianus ) under semi-arid environments. Provide the links to the scientific article</v>
      </c>
      <c r="S11" t="s">
        <v>1566</v>
      </c>
      <c r="T11" t="s">
        <v>88</v>
      </c>
      <c r="U11">
        <v>650</v>
      </c>
      <c r="V11">
        <v>685</v>
      </c>
      <c r="W11">
        <f t="shared" si="11"/>
        <v>667.5</v>
      </c>
      <c r="X11" s="37" t="str">
        <f t="shared" si="6"/>
        <v>studies which report the Relation between maximum electron transport rate and RubP saturated rate of carboxylation as   () , and the values reported therein, of red oat grass  (Themeda triandra) under semi-arid environments. Provide the links to the scientific article</v>
      </c>
      <c r="AA11" t="s">
        <v>2553</v>
      </c>
      <c r="AB11" t="s">
        <v>1535</v>
      </c>
      <c r="AF11" s="37" t="str">
        <f t="shared" si="12"/>
        <v>studies which report the Relation between maximum electron transport rate and RubP saturated rate of carboxylation as   () , and the values reported therein, of bermuda grass (cynodon dactylon) under semi-arid environments. Provide the links to the scientific article</v>
      </c>
      <c r="AI11">
        <f t="shared" si="13"/>
        <v>300.375</v>
      </c>
      <c r="AJ11">
        <f t="shared" si="14"/>
        <v>300.375</v>
      </c>
      <c r="AK11">
        <f t="shared" si="15"/>
        <v>333.75</v>
      </c>
      <c r="AL11">
        <f t="shared" si="16"/>
        <v>333.75</v>
      </c>
      <c r="AM11">
        <f t="shared" si="17"/>
        <v>400.5</v>
      </c>
      <c r="AU11" t="s">
        <v>1627</v>
      </c>
      <c r="AV11" t="s">
        <v>1260</v>
      </c>
      <c r="AW11" s="15" t="s">
        <v>2581</v>
      </c>
      <c r="AX11" t="s">
        <v>2580</v>
      </c>
      <c r="BC11" s="42" t="str">
        <f t="shared" si="18"/>
        <v>studies which report the Relation between maximum electron transport rate and RubP saturated rate of carboxylation as   () , and the values reported therein, of Whistling thorn (Vachellia drepanolobium) under semi-arid environments. If no data for this species exists, please default to tribe Mimosoideae   and if no data there exists, to the family Acacieae  Provide the links to the scientific article</v>
      </c>
      <c r="BG11" t="s">
        <v>2524</v>
      </c>
      <c r="BH11" t="s">
        <v>2526</v>
      </c>
      <c r="BM11" s="42" t="str">
        <f t="shared" si="8"/>
        <v>studies which report the Relation between maximum electron transport rate and RubP saturated rate of carboxylation as   () , and the values reported therein of indigofera genus vegetation (e.g.  Indigofera voharamensis, indigofera volkensii ). Provide the links to the scientific article</v>
      </c>
      <c r="BQ11" t="s">
        <v>2528</v>
      </c>
      <c r="BR11" t="s">
        <v>2529</v>
      </c>
      <c r="BX11" s="42" t="str">
        <f t="shared" si="9"/>
        <v>studies which report the Relation between maximum electron transport rate and RubP saturated rate of carboxylation as   () , and the values reported therein of tephrosia genus vegetation (e.g.  tephrosia elata ). Provide the links to the scientific article</v>
      </c>
      <c r="CB11">
        <f t="shared" si="19"/>
        <v>0</v>
      </c>
      <c r="CC11">
        <f t="shared" si="20"/>
        <v>0</v>
      </c>
      <c r="CD11">
        <f t="shared" si="21"/>
        <v>0</v>
      </c>
      <c r="CE11">
        <f t="shared" si="22"/>
        <v>0</v>
      </c>
    </row>
    <row r="12" spans="1:89" ht="70.5" customHeight="1" x14ac:dyDescent="0.25">
      <c r="A12" s="19" t="s">
        <v>1635</v>
      </c>
      <c r="B12" s="19"/>
      <c r="C12" s="19" t="s">
        <v>1214</v>
      </c>
      <c r="D12" t="s">
        <v>2264</v>
      </c>
      <c r="E12" t="s">
        <v>2265</v>
      </c>
      <c r="J12">
        <v>0.7</v>
      </c>
      <c r="K12">
        <v>0.9</v>
      </c>
      <c r="L12">
        <f t="shared" si="5"/>
        <v>0.8</v>
      </c>
      <c r="M12" t="str">
        <f>M7</f>
        <v>Cenchrus grass species</v>
      </c>
      <c r="N12" t="str">
        <f>N7</f>
        <v xml:space="preserve">Cenchrus ciliaris, Cenchrus purpureus, Cenchrus setiger, Cenchrus setaceus, Cenchrus biflorus, Cenchrus Mezianus </v>
      </c>
      <c r="O12" s="29" t="str">
        <f t="shared" ref="O12" si="30">_xlfn.CONCAT("studies which report the ",D12," as ",E12,"  (",F12,") , and the values reported therein, of ",M12, " (",N12, ") under semi-arid environments. Provide the links to the scientific article")</f>
        <v>studies which report the Curvature Parameter:  the shape of the light-response curve, which determines how quickly the electron transport rate (J) approaches its maximum (J_max) as Photosynthetically Active Radiation (PAR) increases. as unitless  () , and the values reported therein, of Cenchrus grass species (Cenchrus ciliaris, Cenchrus purpureus, Cenchrus setiger, Cenchrus setaceus, Cenchrus biflorus, Cenchrus Mezianus ) under semi-arid environments. Provide the links to the scientific article</v>
      </c>
      <c r="P12" t="s">
        <v>2522</v>
      </c>
      <c r="S12" t="s">
        <v>1566</v>
      </c>
      <c r="T12" t="s">
        <v>88</v>
      </c>
      <c r="U12">
        <v>0</v>
      </c>
      <c r="V12">
        <v>0.9</v>
      </c>
      <c r="W12">
        <f t="shared" si="11"/>
        <v>0.45</v>
      </c>
      <c r="X12" s="37" t="str">
        <f t="shared" si="6"/>
        <v>studies which report the Curvature Parameter:  the shape of the light-response curve, which determines how quickly the electron transport rate (J) approaches its maximum (J_max) as Photosynthetically Active Radiation (PAR) increases. as unitless  () , and the values reported therein, of red oat grass  (Themeda triandra) under semi-arid environments. Provide the links to the scientific article</v>
      </c>
      <c r="Z12" s="27" t="s">
        <v>2266</v>
      </c>
      <c r="AA12" t="s">
        <v>2553</v>
      </c>
      <c r="AB12" t="s">
        <v>1535</v>
      </c>
      <c r="AF12" s="37" t="str">
        <f t="shared" si="12"/>
        <v>studies which report the Curvature Parameter:  the shape of the light-response curve, which determines how quickly the electron transport rate (J) approaches its maximum (J_max) as Photosynthetically Active Radiation (PAR) increases. as unitless  () , and the values reported therein, of bermuda grass (cynodon dactylon) under semi-arid environments. Provide the links to the scientific article</v>
      </c>
      <c r="AI12">
        <f t="shared" si="13"/>
        <v>0.4425</v>
      </c>
      <c r="AJ12">
        <f t="shared" si="14"/>
        <v>0.4425</v>
      </c>
      <c r="AK12">
        <f t="shared" si="15"/>
        <v>0.54500000000000004</v>
      </c>
      <c r="AL12">
        <f t="shared" si="16"/>
        <v>0.54500000000000004</v>
      </c>
      <c r="AM12">
        <f t="shared" si="17"/>
        <v>0.51</v>
      </c>
      <c r="AU12" t="s">
        <v>1627</v>
      </c>
      <c r="AV12" t="s">
        <v>1260</v>
      </c>
      <c r="AW12" s="15" t="s">
        <v>2581</v>
      </c>
      <c r="AX12" t="s">
        <v>2580</v>
      </c>
      <c r="BC12" s="42" t="str">
        <f t="shared" si="18"/>
        <v>studies which report the Curvature Parameter:  the shape of the light-response curve, which determines how quickly the electron transport rate (J) approaches its maximum (J_max) as Photosynthetically Active Radiation (PAR) increases. as unitless  () , and the values reported therein, of Whistling thorn (Vachellia drepanolobium) under semi-arid environments. If no data for this species exists, please default to tribe Mimosoideae   and if no data there exists, to the family Acacieae  Provide the links to the scientific article</v>
      </c>
      <c r="BG12" t="s">
        <v>2524</v>
      </c>
      <c r="BH12" t="s">
        <v>2526</v>
      </c>
      <c r="BM12" s="42" t="str">
        <f t="shared" si="8"/>
        <v>studies which report the Curvature Parameter:  the shape of the light-response curve, which determines how quickly the electron transport rate (J) approaches its maximum (J_max) as Photosynthetically Active Radiation (PAR) increases. as unitless  () , and the values reported therein of indigofera genus vegetation (e.g.  Indigofera voharamensis, indigofera volkensii ). Provide the links to the scientific article</v>
      </c>
      <c r="BQ12" t="s">
        <v>2528</v>
      </c>
      <c r="BR12" t="s">
        <v>2529</v>
      </c>
      <c r="BX12" s="42" t="str">
        <f t="shared" si="9"/>
        <v>studies which report the Curvature Parameter:  the shape of the light-response curve, which determines how quickly the electron transport rate (J) approaches its maximum (J_max) as Photosynthetically Active Radiation (PAR) increases. as unitless  () , and the values reported therein of tephrosia genus vegetation (e.g.  tephrosia elata ). Provide the links to the scientific article</v>
      </c>
      <c r="CB12">
        <f t="shared" si="19"/>
        <v>0</v>
      </c>
      <c r="CC12">
        <f t="shared" si="20"/>
        <v>0</v>
      </c>
      <c r="CD12">
        <f t="shared" si="21"/>
        <v>0</v>
      </c>
      <c r="CE12">
        <f t="shared" si="22"/>
        <v>0</v>
      </c>
    </row>
    <row r="13" spans="1:89" ht="77.25" customHeight="1" x14ac:dyDescent="0.25">
      <c r="A13" s="19" t="s">
        <v>1194</v>
      </c>
      <c r="B13" s="19"/>
      <c r="C13" s="19"/>
      <c r="D13" t="s">
        <v>2256</v>
      </c>
      <c r="E13" t="s">
        <v>1228</v>
      </c>
      <c r="O13" s="29"/>
      <c r="S13" t="s">
        <v>1566</v>
      </c>
      <c r="T13" t="s">
        <v>88</v>
      </c>
      <c r="X13" s="37" t="str">
        <f t="shared" si="6"/>
        <v>studies which report the Relation between dark respiration rate and RubP saturated rate of carboxyla tion at 25 oC as micromols per square meter per second  () , and the values reported therein, of red oat grass  (Themeda triandra) under semi-arid environments. Provide the links to the scientific article</v>
      </c>
      <c r="AA13" t="s">
        <v>2553</v>
      </c>
      <c r="AB13" t="s">
        <v>1535</v>
      </c>
      <c r="AF13" s="37" t="str">
        <f t="shared" si="12"/>
        <v>studies which report the Relation between dark respiration rate and RubP saturated rate of carboxyla tion at 25 oC as micromols per square meter per second  () , and the values reported therein, of bermuda grass (cynodon dactylon) under semi-arid environments. Provide the links to the scientific article</v>
      </c>
      <c r="AI13">
        <f t="shared" si="13"/>
        <v>0</v>
      </c>
      <c r="AJ13">
        <f t="shared" si="14"/>
        <v>0</v>
      </c>
      <c r="AK13">
        <f t="shared" si="15"/>
        <v>0</v>
      </c>
      <c r="AL13">
        <f t="shared" si="16"/>
        <v>0</v>
      </c>
      <c r="AM13">
        <f t="shared" si="17"/>
        <v>0</v>
      </c>
      <c r="AU13" t="s">
        <v>1627</v>
      </c>
      <c r="AV13" t="s">
        <v>1260</v>
      </c>
      <c r="AW13" s="15" t="s">
        <v>2581</v>
      </c>
      <c r="AX13" t="s">
        <v>2580</v>
      </c>
      <c r="BC13" s="42" t="str">
        <f t="shared" si="18"/>
        <v>studies which report the Relation between dark respiration rate and RubP saturated rate of carboxyla tion at 25 oC as micromols per square meter per second  () , and the values reported therein, of Whistling thorn (Vachellia drepanolobium) under semi-arid environments. If no data for this species exists, please default to tribe Mimosoideae   and if no data there exists, to the family Acacieae  Provide the links to the scientific article</v>
      </c>
      <c r="BG13" t="s">
        <v>2524</v>
      </c>
      <c r="BH13" t="s">
        <v>2526</v>
      </c>
      <c r="BM13" s="42" t="str">
        <f t="shared" si="8"/>
        <v>studies which report the Relation between dark respiration rate and RubP saturated rate of carboxyla tion at 25 oC as micromols per square meter per second  () , and the values reported therein of indigofera genus vegetation (e.g.  Indigofera voharamensis, indigofera volkensii ). Provide the links to the scientific article</v>
      </c>
      <c r="BQ13" t="s">
        <v>2528</v>
      </c>
      <c r="BR13" t="s">
        <v>2529</v>
      </c>
      <c r="BX13" s="42" t="str">
        <f t="shared" si="9"/>
        <v>studies which report the Relation between dark respiration rate and RubP saturated rate of carboxyla tion at 25 oC as micromols per square meter per second  () , and the values reported therein of tephrosia genus vegetation (e.g.  tephrosia elata ). Provide the links to the scientific article</v>
      </c>
      <c r="CB13">
        <f t="shared" si="19"/>
        <v>0</v>
      </c>
      <c r="CC13">
        <f t="shared" si="20"/>
        <v>0</v>
      </c>
      <c r="CD13">
        <f t="shared" si="21"/>
        <v>0</v>
      </c>
      <c r="CE13">
        <f t="shared" si="22"/>
        <v>0</v>
      </c>
    </row>
    <row r="14" spans="1:89" ht="51.75" customHeight="1" x14ac:dyDescent="0.25">
      <c r="A14" s="19" t="s">
        <v>2254</v>
      </c>
      <c r="B14" s="19"/>
      <c r="C14" s="19"/>
      <c r="D14" t="s">
        <v>2256</v>
      </c>
      <c r="E14" t="s">
        <v>1228</v>
      </c>
      <c r="O14" s="29"/>
      <c r="S14" t="s">
        <v>1566</v>
      </c>
      <c r="T14" t="s">
        <v>88</v>
      </c>
      <c r="X14" s="37" t="str">
        <f t="shared" si="6"/>
        <v>studies which report the Relation between dark respiration rate and RubP saturated rate of carboxyla tion at 25 oC as micromols per square meter per second  () , and the values reported therein, of red oat grass  (Themeda triandra) under semi-arid environments. Provide the links to the scientific article</v>
      </c>
      <c r="AA14" t="s">
        <v>2553</v>
      </c>
      <c r="AB14" t="s">
        <v>1535</v>
      </c>
      <c r="AF14" s="37" t="str">
        <f t="shared" si="12"/>
        <v>studies which report the Relation between dark respiration rate and RubP saturated rate of carboxyla tion at 25 oC as micromols per square meter per second  () , and the values reported therein, of bermuda grass (cynodon dactylon) under semi-arid environments. Provide the links to the scientific article</v>
      </c>
      <c r="AI14">
        <f t="shared" si="13"/>
        <v>0</v>
      </c>
      <c r="AJ14">
        <f t="shared" si="14"/>
        <v>0</v>
      </c>
      <c r="AK14">
        <f t="shared" si="15"/>
        <v>0</v>
      </c>
      <c r="AL14">
        <f t="shared" si="16"/>
        <v>0</v>
      </c>
      <c r="AM14">
        <f t="shared" si="17"/>
        <v>0</v>
      </c>
      <c r="AU14" t="s">
        <v>1627</v>
      </c>
      <c r="AV14" t="s">
        <v>1260</v>
      </c>
      <c r="AW14" s="15" t="s">
        <v>2581</v>
      </c>
      <c r="AX14" t="s">
        <v>2580</v>
      </c>
      <c r="BC14" s="42" t="str">
        <f t="shared" si="18"/>
        <v>studies which report the Relation between dark respiration rate and RubP saturated rate of carboxyla tion at 25 oC as micromols per square meter per second  () , and the values reported therein, of Whistling thorn (Vachellia drepanolobium) under semi-arid environments. If no data for this species exists, please default to tribe Mimosoideae   and if no data there exists, to the family Acacieae  Provide the links to the scientific article</v>
      </c>
      <c r="BG14" t="s">
        <v>2524</v>
      </c>
      <c r="BH14" t="s">
        <v>2526</v>
      </c>
      <c r="BM14" s="42" t="str">
        <f t="shared" si="8"/>
        <v>studies which report the Relation between dark respiration rate and RubP saturated rate of carboxyla tion at 25 oC as micromols per square meter per second  () , and the values reported therein of indigofera genus vegetation (e.g.  Indigofera voharamensis, indigofera volkensii ). Provide the links to the scientific article</v>
      </c>
      <c r="BQ14" t="s">
        <v>2528</v>
      </c>
      <c r="BR14" t="s">
        <v>2529</v>
      </c>
      <c r="BX14" s="42" t="str">
        <f t="shared" si="9"/>
        <v>studies which report the Relation between dark respiration rate and RubP saturated rate of carboxyla tion at 25 oC as micromols per square meter per second  () , and the values reported therein of tephrosia genus vegetation (e.g.  tephrosia elata ). Provide the links to the scientific article</v>
      </c>
      <c r="CB14">
        <f t="shared" si="19"/>
        <v>0</v>
      </c>
      <c r="CC14">
        <f t="shared" si="20"/>
        <v>0</v>
      </c>
      <c r="CD14">
        <f t="shared" si="21"/>
        <v>0</v>
      </c>
      <c r="CE14">
        <f t="shared" si="22"/>
        <v>0</v>
      </c>
    </row>
    <row r="15" spans="1:89" ht="72" customHeight="1" x14ac:dyDescent="0.25">
      <c r="A15" s="19" t="s">
        <v>1233</v>
      </c>
      <c r="B15" s="19"/>
      <c r="C15" s="19" t="s">
        <v>1511</v>
      </c>
      <c r="D15" t="s">
        <v>2544</v>
      </c>
      <c r="E15" t="s">
        <v>1234</v>
      </c>
      <c r="J15">
        <v>0.6</v>
      </c>
      <c r="K15">
        <v>0.7</v>
      </c>
      <c r="L15">
        <f t="shared" si="5"/>
        <v>0.64999999999999991</v>
      </c>
      <c r="M15" t="str">
        <f>M11</f>
        <v>Cenchrus grass species</v>
      </c>
      <c r="N15" t="str">
        <f>N11</f>
        <v xml:space="preserve">Cenchrus ciliaris, Cenchrus purpureus, Cenchrus setiger, Cenchrus setaceus, Cenchrus biflorus, Cenchrus Mezianus </v>
      </c>
      <c r="O15" s="29" t="str">
        <f t="shared" si="29"/>
        <v>studies which report the biomass fraction of foliage at maturity as fraction  () , and the values reported therein, of Cenchrus grass species (Cenchrus ciliaris, Cenchrus purpureus, Cenchrus setiger, Cenchrus setaceus, Cenchrus biflorus, Cenchrus Mezianus ) under semi-arid environments. Provide the links to the scientific article</v>
      </c>
      <c r="S15" t="s">
        <v>1566</v>
      </c>
      <c r="T15" t="s">
        <v>88</v>
      </c>
      <c r="W15">
        <v>0.3</v>
      </c>
      <c r="X15" s="37" t="str">
        <f t="shared" si="6"/>
        <v>studies which report the biomass fraction of foliage at maturity as fraction  () , and the values reported therein, of red oat grass  (Themeda triandra) under semi-arid environments. Provide the links to the scientific article</v>
      </c>
      <c r="AA15" t="s">
        <v>2553</v>
      </c>
      <c r="AB15" t="s">
        <v>1535</v>
      </c>
      <c r="AE15">
        <f>0.15</f>
        <v>0.15</v>
      </c>
      <c r="AF15" s="37" t="str">
        <f t="shared" si="12"/>
        <v>studies which report the biomass fraction of foliage at maturity as fraction  () , and the values reported therein, of bermuda grass (cynodon dactylon) under semi-arid environments. Provide the links to the scientific article</v>
      </c>
      <c r="AI15">
        <f t="shared" si="13"/>
        <v>0.32999999999999996</v>
      </c>
      <c r="AJ15">
        <f t="shared" si="14"/>
        <v>0.36749999999999994</v>
      </c>
      <c r="AK15">
        <f t="shared" si="15"/>
        <v>0.42499999999999993</v>
      </c>
      <c r="AL15">
        <f t="shared" si="16"/>
        <v>0.42499999999999993</v>
      </c>
      <c r="AM15">
        <f t="shared" si="17"/>
        <v>0.39</v>
      </c>
      <c r="AU15" t="s">
        <v>1627</v>
      </c>
      <c r="AV15" t="s">
        <v>1260</v>
      </c>
      <c r="AW15" s="15" t="s">
        <v>2581</v>
      </c>
      <c r="AX15" t="s">
        <v>2580</v>
      </c>
      <c r="AY15">
        <v>0.04</v>
      </c>
      <c r="AZ15">
        <v>0.08</v>
      </c>
      <c r="BA15">
        <v>0.05</v>
      </c>
      <c r="BC15" s="42" t="str">
        <f t="shared" si="18"/>
        <v>studies which report the biomass fraction of foliage at maturity as fraction  () , and the values reported therein, of Whistling thorn (Vachellia drepanolobium) under semi-arid environments. If no data for this species exists, please default to tribe Mimosoideae   and if no data there exists, to the family Acacieae  Provide the links to the scientific article</v>
      </c>
      <c r="BG15" t="s">
        <v>2524</v>
      </c>
      <c r="BH15" t="s">
        <v>2526</v>
      </c>
      <c r="BJ15">
        <v>0.32</v>
      </c>
      <c r="BK15">
        <v>0.4</v>
      </c>
      <c r="BL15">
        <v>0.36</v>
      </c>
      <c r="BM15" s="42" t="str">
        <f t="shared" si="8"/>
        <v>studies which report the biomass fraction of foliage at maturity as fraction  () , and the values reported therein of indigofera genus vegetation (e.g.  Indigofera voharamensis, indigofera volkensii ). Provide the links to the scientific article</v>
      </c>
      <c r="BN15" t="s">
        <v>2531</v>
      </c>
      <c r="BO15" t="s">
        <v>2532</v>
      </c>
      <c r="BQ15" t="s">
        <v>2528</v>
      </c>
      <c r="BR15" t="s">
        <v>2529</v>
      </c>
      <c r="BU15">
        <v>0.4</v>
      </c>
      <c r="BV15">
        <v>0.4</v>
      </c>
      <c r="BW15">
        <v>0.4</v>
      </c>
      <c r="BX15" s="42" t="str">
        <f t="shared" si="9"/>
        <v>studies which report the biomass fraction of foliage at maturity as fraction  () , and the values reported therein of tephrosia genus vegetation (e.g.  tephrosia elata ). Provide the links to the scientific article</v>
      </c>
      <c r="BY15" t="s">
        <v>2545</v>
      </c>
      <c r="BZ15" t="s">
        <v>2546</v>
      </c>
      <c r="CB15">
        <f t="shared" si="19"/>
        <v>0.38400000000000001</v>
      </c>
      <c r="CC15">
        <f t="shared" si="20"/>
        <v>0.38</v>
      </c>
      <c r="CD15">
        <f t="shared" si="21"/>
        <v>0.376</v>
      </c>
      <c r="CE15">
        <f t="shared" si="22"/>
        <v>0.372</v>
      </c>
    </row>
    <row r="16" spans="1:89" ht="86.45" customHeight="1" x14ac:dyDescent="0.25">
      <c r="A16" s="19" t="s">
        <v>1598</v>
      </c>
      <c r="B16" s="19"/>
      <c r="C16" s="19" t="s">
        <v>1511</v>
      </c>
      <c r="D16" t="s">
        <v>2547</v>
      </c>
      <c r="E16" t="s">
        <v>1234</v>
      </c>
      <c r="I16">
        <v>0.52</v>
      </c>
      <c r="J16">
        <v>0.52</v>
      </c>
      <c r="K16">
        <v>0.52</v>
      </c>
      <c r="L16">
        <f>J16+(K16-J16)*0.5</f>
        <v>0.52</v>
      </c>
      <c r="M16" t="str">
        <f t="shared" ref="M16:N42" si="31">M15</f>
        <v>Cenchrus grass species</v>
      </c>
      <c r="N16" t="str">
        <f t="shared" ref="N16:N42" si="32">N15</f>
        <v xml:space="preserve">Cenchrus ciliaris, Cenchrus purpureus, Cenchrus setiger, Cenchrus setaceus, Cenchrus biflorus, Cenchrus Mezianus </v>
      </c>
      <c r="O16" s="29" t="str">
        <f t="shared" si="29"/>
        <v>studies which report the biomass fraction of roots at maturity as fraction  () , and the values reported therein, of Cenchrus grass species (Cenchrus ciliaris, Cenchrus purpureus, Cenchrus setiger, Cenchrus setaceus, Cenchrus biflorus, Cenchrus Mezianus ) under semi-arid environments. Provide the links to the scientific article</v>
      </c>
      <c r="Q16" t="s">
        <v>1255</v>
      </c>
      <c r="S16" t="s">
        <v>1566</v>
      </c>
      <c r="T16" t="s">
        <v>88</v>
      </c>
      <c r="U16">
        <v>0.6</v>
      </c>
      <c r="V16">
        <v>0.75</v>
      </c>
      <c r="W16">
        <v>0.7</v>
      </c>
      <c r="X16" s="37" t="str">
        <f t="shared" si="6"/>
        <v>studies which report the biomass fraction of roots at maturity as fraction  () , and the values reported therein, of red oat grass  (Themeda triandra) under semi-arid environments. Provide the links to the scientific article</v>
      </c>
      <c r="AA16" t="s">
        <v>2553</v>
      </c>
      <c r="AB16" t="s">
        <v>1535</v>
      </c>
      <c r="AC16">
        <v>0.8</v>
      </c>
      <c r="AD16">
        <v>0.9</v>
      </c>
      <c r="AE16">
        <v>0.85</v>
      </c>
      <c r="AF16" s="37" t="str">
        <f t="shared" si="12"/>
        <v>studies which report the biomass fraction of roots at maturity as fraction  () , and the values reported therein, of bermuda grass (cynodon dactylon) under semi-arid environments. Provide the links to the scientific article</v>
      </c>
      <c r="AH16" t="s">
        <v>2561</v>
      </c>
      <c r="AI16">
        <f t="shared" si="13"/>
        <v>0.47099999999999997</v>
      </c>
      <c r="AJ16">
        <f t="shared" si="14"/>
        <v>0.68349999999999989</v>
      </c>
      <c r="AK16">
        <f t="shared" si="15"/>
        <v>0.64300000000000002</v>
      </c>
      <c r="AL16">
        <f t="shared" si="16"/>
        <v>0.64300000000000002</v>
      </c>
      <c r="AM16">
        <f t="shared" si="17"/>
        <v>0.66099999999999992</v>
      </c>
      <c r="AU16" t="s">
        <v>1627</v>
      </c>
      <c r="AV16" t="s">
        <v>1260</v>
      </c>
      <c r="AW16" s="15" t="s">
        <v>2581</v>
      </c>
      <c r="AX16" t="s">
        <v>2580</v>
      </c>
      <c r="AZ16">
        <v>0.20599999999999999</v>
      </c>
      <c r="BA16">
        <v>0.20599999999999999</v>
      </c>
      <c r="BC16" s="42" t="str">
        <f>_xlfn.CONCAT("studies which report the ",D16," as ",E16,"  (",F16,") , and the values reported therein, of ",AU16, " (",AV16, ") under semi-arid environments. If no data for this species exists, please default to tribe ",AW16," and if no data there exists, to the family ",AX16,"  Provide the links to the scientific article")</f>
        <v>studies which report the biomass fraction of roots at maturity as fraction  () , and the values reported therein, of Whistling thorn (Vachellia drepanolobium) under semi-arid environments. If no data for this species exists, please default to tribe Mimosoideae   and if no data there exists, to the family Acacieae  Provide the links to the scientific article</v>
      </c>
      <c r="BG16" t="s">
        <v>2524</v>
      </c>
      <c r="BH16" t="s">
        <v>2526</v>
      </c>
      <c r="BJ16">
        <v>0.11</v>
      </c>
      <c r="BK16">
        <v>0.27</v>
      </c>
      <c r="BM16" s="42" t="str">
        <f t="shared" si="8"/>
        <v>studies which report the biomass fraction of roots at maturity as fraction  () , and the values reported therein of indigofera genus vegetation (e.g.  Indigofera voharamensis, indigofera volkensii ). Provide the links to the scientific article</v>
      </c>
      <c r="BN16" t="s">
        <v>2534</v>
      </c>
      <c r="BO16" t="s">
        <v>2533</v>
      </c>
      <c r="BQ16" t="s">
        <v>2528</v>
      </c>
      <c r="BR16" t="s">
        <v>2529</v>
      </c>
      <c r="BX16" s="42" t="str">
        <f t="shared" si="9"/>
        <v>studies which report the biomass fraction of roots at maturity as fraction  () , and the values reported therein of tephrosia genus vegetation (e.g.  tephrosia elata ). Provide the links to the scientific article</v>
      </c>
      <c r="CB16">
        <f t="shared" si="19"/>
        <v>0</v>
      </c>
      <c r="CC16">
        <f t="shared" si="20"/>
        <v>0</v>
      </c>
      <c r="CD16">
        <f t="shared" si="21"/>
        <v>0</v>
      </c>
      <c r="CE16">
        <f t="shared" si="22"/>
        <v>0</v>
      </c>
    </row>
    <row r="17" spans="1:83" ht="60" customHeight="1" x14ac:dyDescent="0.25">
      <c r="A17" s="19" t="s">
        <v>2520</v>
      </c>
      <c r="B17" s="19"/>
      <c r="C17" s="19" t="s">
        <v>1511</v>
      </c>
      <c r="D17" t="s">
        <v>1236</v>
      </c>
      <c r="E17" t="s">
        <v>1234</v>
      </c>
      <c r="J17">
        <v>0</v>
      </c>
      <c r="K17">
        <v>0</v>
      </c>
      <c r="L17">
        <f t="shared" si="5"/>
        <v>0</v>
      </c>
      <c r="M17" t="str">
        <f t="shared" si="31"/>
        <v>Cenchrus grass species</v>
      </c>
      <c r="N17" t="str">
        <f t="shared" si="32"/>
        <v xml:space="preserve">Cenchrus ciliaris, Cenchrus purpureus, Cenchrus setiger, Cenchrus setaceus, Cenchrus biflorus, Cenchrus Mezianus </v>
      </c>
      <c r="O17" s="29" t="str">
        <f t="shared" si="29"/>
        <v>studies which report the Biomass fraction of fruit at maturity. as fraction  () , and the values reported therein, of Cenchrus grass species (Cenchrus ciliaris, Cenchrus purpureus, Cenchrus setiger, Cenchrus setaceus, Cenchrus biflorus, Cenchrus Mezianus ) under semi-arid environments. Provide the links to the scientific article</v>
      </c>
      <c r="S17" t="s">
        <v>1566</v>
      </c>
      <c r="T17" t="s">
        <v>88</v>
      </c>
      <c r="W17">
        <f t="shared" si="11"/>
        <v>0</v>
      </c>
      <c r="X17" s="37" t="str">
        <f t="shared" si="6"/>
        <v>studies which report the Biomass fraction of fruit at maturity. as fraction  () , and the values reported therein, of red oat grass  (Themeda triandra) under semi-arid environments. Provide the links to the scientific article</v>
      </c>
      <c r="AA17" t="s">
        <v>2553</v>
      </c>
      <c r="AB17" t="s">
        <v>1535</v>
      </c>
      <c r="AF17" s="37" t="str">
        <f t="shared" si="12"/>
        <v>studies which report the Biomass fraction of fruit at maturity. as fraction  () , and the values reported therein, of bermuda grass (cynodon dactylon) under semi-arid environments. Provide the links to the scientific article</v>
      </c>
      <c r="AI17">
        <f t="shared" si="13"/>
        <v>0</v>
      </c>
      <c r="AJ17">
        <f t="shared" si="14"/>
        <v>0</v>
      </c>
      <c r="AK17">
        <f t="shared" si="15"/>
        <v>0</v>
      </c>
      <c r="AL17">
        <f t="shared" si="16"/>
        <v>0</v>
      </c>
      <c r="AM17">
        <f t="shared" si="17"/>
        <v>0</v>
      </c>
      <c r="AU17" t="s">
        <v>1627</v>
      </c>
      <c r="AV17" t="s">
        <v>1260</v>
      </c>
      <c r="AW17" s="15" t="s">
        <v>2581</v>
      </c>
      <c r="AX17" t="s">
        <v>2580</v>
      </c>
      <c r="BC17" s="42" t="str">
        <f t="shared" ref="BC17:BC22" si="33">_xlfn.CONCAT("studies which report the ",D17," as ",E17,"  (",F17,") , and the values reported therein, of ",ABX17, " (",AV17, ") under semi-arid environments. Provide the links to the scientific article")</f>
        <v>studies which report the Biomass fraction of fruit at maturity. as fraction  () , and the values reported therein, of  (Vachellia drepanolobium) under semi-arid environments. Provide the links to the scientific article</v>
      </c>
      <c r="BG17" t="s">
        <v>2524</v>
      </c>
      <c r="BH17" t="s">
        <v>2526</v>
      </c>
      <c r="BM17" s="42" t="str">
        <f t="shared" si="8"/>
        <v>studies which report the Biomass fraction of fruit at maturity. as fraction  () , and the values reported therein of indigofera genus vegetation (e.g.  Indigofera voharamensis, indigofera volkensii ). Provide the links to the scientific article</v>
      </c>
      <c r="BQ17" t="s">
        <v>2528</v>
      </c>
      <c r="BR17" t="s">
        <v>2529</v>
      </c>
      <c r="BX17" s="42" t="str">
        <f t="shared" si="9"/>
        <v>studies which report the Biomass fraction of fruit at maturity. as fraction  () , and the values reported therein of tephrosia genus vegetation (e.g.  tephrosia elata ). Provide the links to the scientific article</v>
      </c>
      <c r="CB17">
        <f t="shared" si="19"/>
        <v>0</v>
      </c>
      <c r="CC17">
        <f t="shared" si="20"/>
        <v>0</v>
      </c>
      <c r="CD17">
        <f t="shared" si="21"/>
        <v>0</v>
      </c>
      <c r="CE17">
        <f t="shared" si="22"/>
        <v>0</v>
      </c>
    </row>
    <row r="18" spans="1:83" ht="75" customHeight="1" x14ac:dyDescent="0.25">
      <c r="A18" s="19" t="s">
        <v>1514</v>
      </c>
      <c r="B18" s="19"/>
      <c r="C18" s="19"/>
      <c r="D18" t="s">
        <v>1235</v>
      </c>
      <c r="E18" t="s">
        <v>1515</v>
      </c>
      <c r="L18">
        <f t="shared" si="5"/>
        <v>0</v>
      </c>
      <c r="M18" t="str">
        <f t="shared" si="31"/>
        <v>Cenchrus grass species</v>
      </c>
      <c r="N18" t="str">
        <f t="shared" si="32"/>
        <v xml:space="preserve">Cenchrus ciliaris, Cenchrus purpureus, Cenchrus setiger, Cenchrus setaceus, Cenchrus biflorus, Cenchrus Mezianus </v>
      </c>
      <c r="O18" s="29" t="str">
        <f t="shared" si="29"/>
        <v>studies which report the Maximum relative growth rate for foliage as fraction   () , and the values reported therein, of Cenchrus grass species (Cenchrus ciliaris, Cenchrus purpureus, Cenchrus setiger, Cenchrus setaceus, Cenchrus biflorus, Cenchrus Mezianus ) under semi-arid environments. Provide the links to the scientific article</v>
      </c>
      <c r="S18" t="s">
        <v>1566</v>
      </c>
      <c r="T18" t="s">
        <v>88</v>
      </c>
      <c r="W18">
        <f t="shared" si="11"/>
        <v>0</v>
      </c>
      <c r="X18" s="37" t="str">
        <f t="shared" si="6"/>
        <v>studies which report the Maximum relative growth rate for foliage as fraction   () , and the values reported therein, of red oat grass  (Themeda triandra) under semi-arid environments. Provide the links to the scientific article</v>
      </c>
      <c r="AA18" t="s">
        <v>2553</v>
      </c>
      <c r="AB18" t="s">
        <v>1535</v>
      </c>
      <c r="AF18" s="37" t="str">
        <f t="shared" si="12"/>
        <v>studies which report the Maximum relative growth rate for foliage as fraction   () , and the values reported therein, of bermuda grass (cynodon dactylon) under semi-arid environments. Provide the links to the scientific article</v>
      </c>
      <c r="AH18" t="s">
        <v>2562</v>
      </c>
      <c r="AI18">
        <f t="shared" si="13"/>
        <v>0</v>
      </c>
      <c r="AJ18">
        <f t="shared" si="14"/>
        <v>0</v>
      </c>
      <c r="AK18">
        <f t="shared" si="15"/>
        <v>0</v>
      </c>
      <c r="AL18">
        <f t="shared" si="16"/>
        <v>0</v>
      </c>
      <c r="AM18">
        <f t="shared" si="17"/>
        <v>0</v>
      </c>
      <c r="AU18" t="s">
        <v>1627</v>
      </c>
      <c r="AV18" t="s">
        <v>1260</v>
      </c>
      <c r="AW18" s="15" t="s">
        <v>2581</v>
      </c>
      <c r="AX18" t="s">
        <v>2580</v>
      </c>
      <c r="BC18" s="42" t="str">
        <f t="shared" si="33"/>
        <v>studies which report the Maximum relative growth rate for foliage as fraction   () , and the values reported therein, of  (Vachellia drepanolobium) under semi-arid environments. Provide the links to the scientific article</v>
      </c>
      <c r="BG18" t="s">
        <v>2524</v>
      </c>
      <c r="BH18" t="s">
        <v>2526</v>
      </c>
      <c r="BM18" s="42" t="str">
        <f t="shared" si="8"/>
        <v>studies which report the Maximum relative growth rate for foliage as fraction   () , and the values reported therein of indigofera genus vegetation (e.g.  Indigofera voharamensis, indigofera volkensii ). Provide the links to the scientific article</v>
      </c>
      <c r="BQ18" t="s">
        <v>2528</v>
      </c>
      <c r="BR18" t="s">
        <v>2529</v>
      </c>
      <c r="BX18" s="42" t="str">
        <f t="shared" si="9"/>
        <v>studies which report the Maximum relative growth rate for foliage as fraction   () , and the values reported therein of tephrosia genus vegetation (e.g.  tephrosia elata ). Provide the links to the scientific article</v>
      </c>
      <c r="CB18">
        <f t="shared" si="19"/>
        <v>0</v>
      </c>
      <c r="CC18">
        <f t="shared" si="20"/>
        <v>0</v>
      </c>
      <c r="CD18">
        <f t="shared" si="21"/>
        <v>0</v>
      </c>
      <c r="CE18">
        <f t="shared" si="22"/>
        <v>0</v>
      </c>
    </row>
    <row r="19" spans="1:83" ht="71.25" customHeight="1" x14ac:dyDescent="0.25">
      <c r="A19" s="33" t="s">
        <v>111</v>
      </c>
      <c r="B19" s="33"/>
      <c r="C19" s="33"/>
      <c r="D19" t="s">
        <v>1240</v>
      </c>
      <c r="E19" t="s">
        <v>1241</v>
      </c>
      <c r="F19" t="s">
        <v>1242</v>
      </c>
      <c r="I19" s="32">
        <f>1.35*0.35</f>
        <v>0.47249999999999998</v>
      </c>
      <c r="J19" s="32">
        <f>0.6*0.25</f>
        <v>0.15</v>
      </c>
      <c r="K19" s="32">
        <f>2.1*0.25</f>
        <v>0.52500000000000002</v>
      </c>
      <c r="L19">
        <f t="shared" si="5"/>
        <v>0.33750000000000002</v>
      </c>
      <c r="M19" t="str">
        <f t="shared" si="31"/>
        <v>Cenchrus grass species</v>
      </c>
      <c r="N19" t="str">
        <f t="shared" si="32"/>
        <v xml:space="preserve">Cenchrus ciliaris, Cenchrus purpureus, Cenchrus setiger, Cenchrus setaceus, Cenchrus biflorus, Cenchrus Mezianus </v>
      </c>
      <c r="O19" s="29" t="str">
        <f t="shared" si="29"/>
        <v>studies which report the Foliage biomass under optimal, closed canopy condition (kg m-2) as kg per square meter  (kg m^-2) , and the values reported therein, of Cenchrus grass species (Cenchrus ciliaris, Cenchrus purpureus, Cenchrus setiger, Cenchrus setaceus, Cenchrus biflorus, Cenchrus Mezianus ) under semi-arid environments. Provide the links to the scientific article</v>
      </c>
      <c r="P19" s="27"/>
      <c r="S19" t="s">
        <v>1566</v>
      </c>
      <c r="T19" t="s">
        <v>88</v>
      </c>
      <c r="U19">
        <v>0.15</v>
      </c>
      <c r="V19">
        <v>0.65</v>
      </c>
      <c r="W19">
        <f t="shared" si="11"/>
        <v>0.4</v>
      </c>
      <c r="X19" s="37" t="str">
        <f t="shared" si="6"/>
        <v>studies which report the Foliage biomass under optimal, closed canopy condition (kg m-2) as kg per square meter  (kg m^-2) , and the values reported therein, of red oat grass  (Themeda triandra) under semi-arid environments. Provide the links to the scientific article</v>
      </c>
      <c r="Y19" s="27" t="s">
        <v>1584</v>
      </c>
      <c r="Z19" s="27" t="s">
        <v>1585</v>
      </c>
      <c r="AA19" t="s">
        <v>2553</v>
      </c>
      <c r="AB19" t="s">
        <v>1535</v>
      </c>
      <c r="AC19">
        <v>1.26</v>
      </c>
      <c r="AD19">
        <v>1.62</v>
      </c>
      <c r="AE19">
        <v>1.45</v>
      </c>
      <c r="AF19" s="37" t="str">
        <f t="shared" si="12"/>
        <v>studies which report the Foliage biomass under optimal, closed canopy condition (kg m-2) as kg per square meter  (kg m^-2) , and the values reported therein, of bermuda grass (cynodon dactylon) under semi-arid environments. Provide the links to the scientific article</v>
      </c>
      <c r="AH19" t="s">
        <v>2564</v>
      </c>
      <c r="AI19">
        <f t="shared" si="13"/>
        <v>0.28125</v>
      </c>
      <c r="AJ19">
        <f t="shared" si="14"/>
        <v>0.64374999999999993</v>
      </c>
      <c r="AK19">
        <f t="shared" si="15"/>
        <v>0.48</v>
      </c>
      <c r="AL19">
        <f t="shared" si="16"/>
        <v>0.48</v>
      </c>
      <c r="AM19">
        <f t="shared" si="17"/>
        <v>0.48624999999999996</v>
      </c>
      <c r="AU19" t="s">
        <v>1627</v>
      </c>
      <c r="AV19" t="s">
        <v>1260</v>
      </c>
      <c r="AW19" s="15" t="s">
        <v>2581</v>
      </c>
      <c r="AX19" t="s">
        <v>2580</v>
      </c>
      <c r="BA19">
        <v>0.45</v>
      </c>
      <c r="BC19" s="42" t="str">
        <f t="shared" si="33"/>
        <v>studies which report the Foliage biomass under optimal, closed canopy condition (kg m-2) as kg per square meter  (kg m^-2) , and the values reported therein, of  (Vachellia drepanolobium) under semi-arid environments. Provide the links to the scientific article</v>
      </c>
      <c r="BD19" t="s">
        <v>1629</v>
      </c>
      <c r="BG19" t="s">
        <v>2524</v>
      </c>
      <c r="BH19" t="s">
        <v>2526</v>
      </c>
      <c r="BJ19">
        <v>0.74</v>
      </c>
      <c r="BK19">
        <v>10</v>
      </c>
      <c r="BL19">
        <v>5</v>
      </c>
      <c r="BM19" s="42" t="str">
        <f t="shared" si="8"/>
        <v>studies which report the Foliage biomass under optimal, closed canopy condition (kg m-2) as kg per square meter  (kg m^-2) , and the values reported therein of indigofera genus vegetation (e.g.  Indigofera voharamensis, indigofera volkensii ). Provide the links to the scientific article</v>
      </c>
      <c r="BO19" t="s">
        <v>2549</v>
      </c>
      <c r="BQ19" t="s">
        <v>2528</v>
      </c>
      <c r="BR19" t="s">
        <v>2529</v>
      </c>
      <c r="BU19">
        <v>1.4</v>
      </c>
      <c r="BV19">
        <v>4</v>
      </c>
      <c r="BW19">
        <v>2</v>
      </c>
      <c r="BX19" s="42" t="str">
        <f t="shared" si="9"/>
        <v>studies which report the Foliage biomass under optimal, closed canopy condition (kg m-2) as kg per square meter  (kg m^-2) , and the values reported therein of tephrosia genus vegetation (e.g.  tephrosia elata ). Provide the links to the scientific article</v>
      </c>
      <c r="BZ19" t="s">
        <v>2548</v>
      </c>
      <c r="CB19">
        <f t="shared" si="19"/>
        <v>3.2</v>
      </c>
      <c r="CC19">
        <f t="shared" si="20"/>
        <v>3.5</v>
      </c>
      <c r="CD19">
        <f t="shared" si="21"/>
        <v>3.8</v>
      </c>
      <c r="CE19">
        <f t="shared" si="22"/>
        <v>4.0999999999999996</v>
      </c>
    </row>
    <row r="20" spans="1:83" ht="86.45" customHeight="1" x14ac:dyDescent="0.25">
      <c r="A20" s="19" t="s">
        <v>366</v>
      </c>
      <c r="B20" s="19"/>
      <c r="C20" s="19" t="s">
        <v>1187</v>
      </c>
      <c r="D20" t="s">
        <v>1172</v>
      </c>
      <c r="E20" t="s">
        <v>1512</v>
      </c>
      <c r="F20" t="s">
        <v>1513</v>
      </c>
      <c r="I20" s="32"/>
      <c r="J20" s="32">
        <v>5</v>
      </c>
      <c r="K20" s="32">
        <v>19.5</v>
      </c>
      <c r="L20">
        <f t="shared" si="5"/>
        <v>12.25</v>
      </c>
      <c r="M20" t="str">
        <f t="shared" si="31"/>
        <v>Cenchrus grass species</v>
      </c>
      <c r="N20" t="str">
        <f t="shared" si="32"/>
        <v xml:space="preserve">Cenchrus ciliaris, Cenchrus purpureus, Cenchrus setiger, Cenchrus setaceus, Cenchrus biflorus, Cenchrus Mezianus </v>
      </c>
      <c r="O20" s="29" t="str">
        <f t="shared" si="29"/>
        <v>studies which report the Maximum instantaneous water use efficiency as milligrams of carbon dioxide per gram of water  (mg CO2 g^-1 H2O) , and the values reported therein, of Cenchrus grass species (Cenchrus ciliaris, Cenchrus purpureus, Cenchrus setiger, Cenchrus setaceus, Cenchrus biflorus, Cenchrus Mezianus ) under semi-arid environments. Provide the links to the scientific article</v>
      </c>
      <c r="P20" s="27"/>
      <c r="Q20" t="s">
        <v>1259</v>
      </c>
      <c r="S20" t="s">
        <v>1566</v>
      </c>
      <c r="T20" t="s">
        <v>88</v>
      </c>
      <c r="W20">
        <v>6.71</v>
      </c>
      <c r="X20" s="37" t="str">
        <f t="shared" si="6"/>
        <v>studies which report the Maximum instantaneous water use efficiency as milligrams of carbon dioxide per gram of water  (mg CO2 g^-1 H2O) , and the values reported therein, of red oat grass  (Themeda triandra) under semi-arid environments. Provide the links to the scientific article</v>
      </c>
      <c r="Y20" s="27" t="s">
        <v>1582</v>
      </c>
      <c r="Z20" s="27" t="s">
        <v>1583</v>
      </c>
      <c r="AA20" t="s">
        <v>2553</v>
      </c>
      <c r="AB20" t="s">
        <v>1535</v>
      </c>
      <c r="AC20">
        <v>25.9</v>
      </c>
      <c r="AD20">
        <v>25.9</v>
      </c>
      <c r="AE20">
        <v>25.9</v>
      </c>
      <c r="AF20" s="37" t="str">
        <f t="shared" si="12"/>
        <v>studies which report the Maximum instantaneous water use efficiency as milligrams of carbon dioxide per gram of water  (mg CO2 g^-1 H2O) , and the values reported therein, of bermuda grass (cynodon dactylon) under semi-arid environments. Provide the links to the scientific article</v>
      </c>
      <c r="AH20" t="s">
        <v>2563</v>
      </c>
      <c r="AI20">
        <f t="shared" si="13"/>
        <v>6.6944999999999997</v>
      </c>
      <c r="AJ20">
        <f t="shared" si="14"/>
        <v>13.169499999999998</v>
      </c>
      <c r="AK20">
        <f t="shared" si="15"/>
        <v>10.845000000000001</v>
      </c>
      <c r="AL20">
        <f t="shared" si="16"/>
        <v>10.845000000000001</v>
      </c>
      <c r="AM20">
        <f t="shared" si="17"/>
        <v>10.290999999999999</v>
      </c>
      <c r="AU20" t="s">
        <v>1627</v>
      </c>
      <c r="AV20" t="s">
        <v>1260</v>
      </c>
      <c r="AW20" s="15" t="s">
        <v>2581</v>
      </c>
      <c r="AX20" t="s">
        <v>2580</v>
      </c>
      <c r="BC20" s="42" t="str">
        <f t="shared" si="33"/>
        <v>studies which report the Maximum instantaneous water use efficiency as milligrams of carbon dioxide per gram of water  (mg CO2 g^-1 H2O) , and the values reported therein, of  (Vachellia drepanolobium) under semi-arid environments. Provide the links to the scientific article</v>
      </c>
      <c r="BG20" t="s">
        <v>2524</v>
      </c>
      <c r="BH20" t="s">
        <v>2526</v>
      </c>
      <c r="BM20" s="42" t="str">
        <f t="shared" si="8"/>
        <v>studies which report the Maximum instantaneous water use efficiency as milligrams of carbon dioxide per gram of water  (mg CO2 g^-1 H2O) , and the values reported therein of indigofera genus vegetation (e.g.  Indigofera voharamensis, indigofera volkensii ). Provide the links to the scientific article</v>
      </c>
      <c r="BN20" t="s">
        <v>2531</v>
      </c>
      <c r="BQ20" t="s">
        <v>2528</v>
      </c>
      <c r="BR20" t="s">
        <v>2529</v>
      </c>
      <c r="BX20" s="42" t="str">
        <f t="shared" si="9"/>
        <v>studies which report the Maximum instantaneous water use efficiency as milligrams of carbon dioxide per gram of water  (mg CO2 g^-1 H2O) , and the values reported therein of tephrosia genus vegetation (e.g.  tephrosia elata ). Provide the links to the scientific article</v>
      </c>
      <c r="BY20" t="s">
        <v>2545</v>
      </c>
      <c r="CB20">
        <f t="shared" si="19"/>
        <v>0</v>
      </c>
      <c r="CC20">
        <f t="shared" si="20"/>
        <v>0</v>
      </c>
      <c r="CD20">
        <f t="shared" si="21"/>
        <v>0</v>
      </c>
      <c r="CE20">
        <f t="shared" si="22"/>
        <v>0</v>
      </c>
    </row>
    <row r="21" spans="1:83" ht="57" customHeight="1" x14ac:dyDescent="0.25">
      <c r="A21" s="19" t="s">
        <v>367</v>
      </c>
      <c r="B21" s="19"/>
      <c r="C21" s="19" t="s">
        <v>1187</v>
      </c>
      <c r="D21" t="s">
        <v>1527</v>
      </c>
      <c r="E21" t="s">
        <v>1512</v>
      </c>
      <c r="F21" t="s">
        <v>1513</v>
      </c>
      <c r="I21" s="32"/>
      <c r="J21" s="32">
        <v>3.5</v>
      </c>
      <c r="K21" s="32">
        <v>3.87</v>
      </c>
      <c r="L21">
        <f t="shared" si="5"/>
        <v>3.6850000000000001</v>
      </c>
      <c r="M21" t="str">
        <f t="shared" si="31"/>
        <v>Cenchrus grass species</v>
      </c>
      <c r="N21" t="str">
        <f t="shared" si="32"/>
        <v xml:space="preserve">Cenchrus ciliaris, Cenchrus purpureus, Cenchrus setiger, Cenchrus setaceus, Cenchrus biflorus, Cenchrus Mezianus </v>
      </c>
      <c r="O21" s="29" t="str">
        <f t="shared" si="29"/>
        <v>studies which report the minimum instantaneous water use efficiency as milligrams of carbon dioxide per gram of water  (mg CO2 g^-1 H2O) , and the values reported therein, of Cenchrus grass species (Cenchrus ciliaris, Cenchrus purpureus, Cenchrus setiger, Cenchrus setaceus, Cenchrus biflorus, Cenchrus Mezianus ) under semi-arid environments. Provide the links to the scientific article</v>
      </c>
      <c r="P21" s="27"/>
      <c r="Q21" t="s">
        <v>1259</v>
      </c>
      <c r="S21" t="s">
        <v>1566</v>
      </c>
      <c r="T21" t="s">
        <v>88</v>
      </c>
      <c r="U21">
        <v>2.8</v>
      </c>
      <c r="V21">
        <v>3.5</v>
      </c>
      <c r="W21">
        <v>3.6</v>
      </c>
      <c r="X21" s="37" t="str">
        <f t="shared" si="6"/>
        <v>studies which report the minimum instantaneous water use efficiency as milligrams of carbon dioxide per gram of water  (mg CO2 g^-1 H2O) , and the values reported therein, of red oat grass  (Themeda triandra) under semi-arid environments. Provide the links to the scientific article</v>
      </c>
      <c r="Z21" t="s">
        <v>2257</v>
      </c>
      <c r="AA21" t="s">
        <v>2553</v>
      </c>
      <c r="AB21" t="s">
        <v>1535</v>
      </c>
      <c r="AF21" s="37" t="str">
        <f t="shared" si="12"/>
        <v>studies which report the minimum instantaneous water use efficiency as milligrams of carbon dioxide per gram of water  (mg CO2 g^-1 H2O) , and the values reported therein, of bermuda grass (cynodon dactylon) under semi-arid environments. Provide the links to the scientific article</v>
      </c>
      <c r="AI21">
        <f t="shared" si="13"/>
        <v>2.7255000000000003</v>
      </c>
      <c r="AJ21">
        <f t="shared" si="14"/>
        <v>2.7255000000000003</v>
      </c>
      <c r="AK21">
        <f t="shared" si="15"/>
        <v>3.274</v>
      </c>
      <c r="AL21">
        <f t="shared" si="16"/>
        <v>3.274</v>
      </c>
      <c r="AM21">
        <f t="shared" si="17"/>
        <v>3.2655000000000003</v>
      </c>
      <c r="AU21" t="s">
        <v>1627</v>
      </c>
      <c r="AV21" t="s">
        <v>1260</v>
      </c>
      <c r="AW21" s="15" t="s">
        <v>2581</v>
      </c>
      <c r="AX21" t="s">
        <v>2580</v>
      </c>
      <c r="BC21" s="42" t="str">
        <f t="shared" si="33"/>
        <v>studies which report the minimum instantaneous water use efficiency as milligrams of carbon dioxide per gram of water  (mg CO2 g^-1 H2O) , and the values reported therein, of  (Vachellia drepanolobium) under semi-arid environments. Provide the links to the scientific article</v>
      </c>
      <c r="BG21" t="s">
        <v>2524</v>
      </c>
      <c r="BH21" t="s">
        <v>2526</v>
      </c>
      <c r="BM21" s="42" t="str">
        <f t="shared" si="8"/>
        <v>studies which report the minimum instantaneous water use efficiency as milligrams of carbon dioxide per gram of water  (mg CO2 g^-1 H2O) , and the values reported therein of indigofera genus vegetation (e.g.  Indigofera voharamensis, indigofera volkensii ). Provide the links to the scientific article</v>
      </c>
      <c r="BN21" t="s">
        <v>2531</v>
      </c>
      <c r="BQ21" t="s">
        <v>2528</v>
      </c>
      <c r="BR21" t="s">
        <v>2529</v>
      </c>
      <c r="BX21" s="42" t="str">
        <f t="shared" si="9"/>
        <v>studies which report the minimum instantaneous water use efficiency as milligrams of carbon dioxide per gram of water  (mg CO2 g^-1 H2O) , and the values reported therein of tephrosia genus vegetation (e.g.  tephrosia elata ). Provide the links to the scientific article</v>
      </c>
      <c r="BY21" t="s">
        <v>2545</v>
      </c>
      <c r="CB21">
        <f t="shared" si="19"/>
        <v>0</v>
      </c>
      <c r="CC21">
        <f t="shared" si="20"/>
        <v>0</v>
      </c>
      <c r="CD21">
        <f t="shared" si="21"/>
        <v>0</v>
      </c>
      <c r="CE21">
        <f t="shared" si="22"/>
        <v>0</v>
      </c>
    </row>
    <row r="22" spans="1:83" ht="72" customHeight="1" x14ac:dyDescent="0.25">
      <c r="A22" s="19" t="s">
        <v>1524</v>
      </c>
      <c r="B22" s="19"/>
      <c r="C22" s="19" t="s">
        <v>1187</v>
      </c>
      <c r="D22" t="s">
        <v>1526</v>
      </c>
      <c r="E22" t="s">
        <v>1212</v>
      </c>
      <c r="I22">
        <v>0.3</v>
      </c>
      <c r="J22">
        <v>0.25</v>
      </c>
      <c r="K22">
        <v>0.35</v>
      </c>
      <c r="L22">
        <f t="shared" si="5"/>
        <v>0.3</v>
      </c>
      <c r="M22" t="str">
        <f t="shared" si="31"/>
        <v>Cenchrus grass species</v>
      </c>
      <c r="N22" t="str">
        <f t="shared" si="31"/>
        <v xml:space="preserve">Cenchrus ciliaris, Cenchrus purpureus, Cenchrus setiger, Cenchrus setaceus, Cenchrus biflorus, Cenchrus Mezianus </v>
      </c>
      <c r="O22" s="29" t="str">
        <f t="shared" si="29"/>
        <v>studies which report the relative available soil water content at which drought affects photosynthesis activity as a fraction   () , and the values reported therein, of Cenchrus grass species (Cenchrus ciliaris, Cenchrus purpureus, Cenchrus setiger, Cenchrus setaceus, Cenchrus biflorus, Cenchrus Mezianus ) under semi-arid environments. Provide the links to the scientific article</v>
      </c>
      <c r="Q22" t="s">
        <v>1259</v>
      </c>
      <c r="S22" t="s">
        <v>1566</v>
      </c>
      <c r="T22" t="s">
        <v>88</v>
      </c>
      <c r="W22">
        <v>0.4</v>
      </c>
      <c r="X22" s="37" t="str">
        <f t="shared" si="6"/>
        <v>studies which report the relative available soil water content at which drought affects photosynthesis activity as a fraction   () , and the values reported therein, of red oat grass  (Themeda triandra) under semi-arid environments. Provide the links to the scientific article</v>
      </c>
      <c r="Y22" s="19" t="s">
        <v>1595</v>
      </c>
      <c r="Z22" s="27" t="s">
        <v>1597</v>
      </c>
      <c r="AA22" t="s">
        <v>2553</v>
      </c>
      <c r="AB22" t="s">
        <v>1535</v>
      </c>
      <c r="AC22">
        <v>0.3</v>
      </c>
      <c r="AD22">
        <v>0.3</v>
      </c>
      <c r="AE22">
        <v>0.3</v>
      </c>
      <c r="AF22" s="37" t="str">
        <f t="shared" si="12"/>
        <v>studies which report the relative available soil water content at which drought affects photosynthesis activity as a fraction   () , and the values reported therein, of bermuda grass (cynodon dactylon) under semi-arid environments. Provide the links to the scientific article</v>
      </c>
      <c r="AH22" t="s">
        <v>2560</v>
      </c>
      <c r="AI22">
        <f t="shared" si="13"/>
        <v>0.27</v>
      </c>
      <c r="AJ22">
        <f t="shared" si="14"/>
        <v>0.34499999999999997</v>
      </c>
      <c r="AK22">
        <f t="shared" si="15"/>
        <v>0.35</v>
      </c>
      <c r="AL22">
        <f t="shared" si="16"/>
        <v>0.35</v>
      </c>
      <c r="AM22">
        <f t="shared" si="17"/>
        <v>0.35999999999999993</v>
      </c>
      <c r="AU22" t="s">
        <v>1627</v>
      </c>
      <c r="AV22" t="s">
        <v>1260</v>
      </c>
      <c r="AW22" s="15" t="s">
        <v>2581</v>
      </c>
      <c r="AX22" t="s">
        <v>2580</v>
      </c>
      <c r="BC22" s="42" t="str">
        <f t="shared" si="33"/>
        <v>studies which report the relative available soil water content at which drought affects photosynthesis activity as a fraction   () , and the values reported therein, of  (Vachellia drepanolobium) under semi-arid environments. Provide the links to the scientific article</v>
      </c>
      <c r="BG22" t="s">
        <v>2524</v>
      </c>
      <c r="BH22" t="s">
        <v>2526</v>
      </c>
      <c r="BJ22">
        <v>0.1</v>
      </c>
      <c r="BK22">
        <v>0.1</v>
      </c>
      <c r="BL22">
        <v>0.1</v>
      </c>
      <c r="BM22" s="42" t="str">
        <f t="shared" si="8"/>
        <v>studies which report the relative available soil water content at which drought affects photosynthesis activity as a fraction   () , and the values reported therein of indigofera genus vegetation (e.g.  Indigofera voharamensis, indigofera volkensii ). Provide the links to the scientific article</v>
      </c>
      <c r="BO22" t="s">
        <v>2550</v>
      </c>
      <c r="BQ22" t="s">
        <v>2528</v>
      </c>
      <c r="BR22" t="s">
        <v>2529</v>
      </c>
      <c r="BU22">
        <v>0.4</v>
      </c>
      <c r="BV22">
        <v>0.4</v>
      </c>
      <c r="BW22">
        <v>0.4</v>
      </c>
      <c r="BX22" s="42" t="str">
        <f t="shared" si="9"/>
        <v>studies which report the relative available soil water content at which drought affects photosynthesis activity as a fraction   () , and the values reported therein of tephrosia genus vegetation (e.g.  tephrosia elata ). Provide the links to the scientific article</v>
      </c>
      <c r="BZ22" t="s">
        <v>2550</v>
      </c>
      <c r="CB22">
        <f t="shared" si="19"/>
        <v>0.28000000000000003</v>
      </c>
      <c r="CC22">
        <f t="shared" si="20"/>
        <v>0.25</v>
      </c>
      <c r="CD22">
        <f t="shared" si="21"/>
        <v>0.22000000000000003</v>
      </c>
      <c r="CE22">
        <f t="shared" si="22"/>
        <v>0.19</v>
      </c>
    </row>
    <row r="23" spans="1:83" ht="72" customHeight="1" x14ac:dyDescent="0.25">
      <c r="A23" s="19" t="s">
        <v>112</v>
      </c>
      <c r="B23" s="19"/>
      <c r="C23" s="19"/>
      <c r="D23" s="42" t="s">
        <v>2268</v>
      </c>
      <c r="E23" t="s">
        <v>1212</v>
      </c>
      <c r="J23" s="32">
        <v>0.3</v>
      </c>
      <c r="K23" s="32">
        <v>0.4</v>
      </c>
      <c r="L23">
        <f t="shared" si="5"/>
        <v>0.35</v>
      </c>
      <c r="M23" t="str">
        <f t="shared" si="31"/>
        <v>Cenchrus grass species</v>
      </c>
      <c r="O23" s="29" t="str">
        <f t="shared" si="29"/>
        <v>studies which report the Relative available soil water content below which flushing is affected by water
availability as a fraction   () , and the values reported therein, of Cenchrus grass species () under semi-arid environments. Provide the links to the scientific article</v>
      </c>
      <c r="Q23" t="s">
        <v>2522</v>
      </c>
      <c r="S23" t="s">
        <v>1566</v>
      </c>
      <c r="T23" t="s">
        <v>88</v>
      </c>
      <c r="U23">
        <v>0.05</v>
      </c>
      <c r="V23">
        <v>0.2</v>
      </c>
      <c r="W23">
        <v>0.15</v>
      </c>
      <c r="X23" s="37" t="str">
        <f t="shared" si="6"/>
        <v>studies which report the Relative available soil water content below which flushing is affected by water
availability as a fraction   () , and the values reported therein, of red oat grass  (Themeda triandra) under semi-arid environments. Provide the links to the scientific article</v>
      </c>
      <c r="Y23" s="19"/>
      <c r="Z23" s="27" t="s">
        <v>1594</v>
      </c>
      <c r="AA23" t="s">
        <v>2553</v>
      </c>
      <c r="AB23" t="s">
        <v>1535</v>
      </c>
      <c r="AF23" s="37" t="str">
        <f t="shared" si="12"/>
        <v>studies which report the Relative available soil water content below which flushing is affected by water
availability as a fraction   () , and the values reported therein, of bermuda grass (cynodon dactylon) under semi-arid environments. Provide the links to the scientific article</v>
      </c>
      <c r="AI23">
        <f t="shared" si="13"/>
        <v>0.17249999999999999</v>
      </c>
      <c r="AJ23">
        <f t="shared" si="14"/>
        <v>0.17249999999999999</v>
      </c>
      <c r="AK23">
        <f t="shared" si="15"/>
        <v>0.21499999999999997</v>
      </c>
      <c r="AL23">
        <f t="shared" si="16"/>
        <v>0.21499999999999997</v>
      </c>
      <c r="AM23">
        <f t="shared" si="17"/>
        <v>0.19500000000000001</v>
      </c>
      <c r="AU23" t="s">
        <v>1627</v>
      </c>
      <c r="AV23" t="s">
        <v>1260</v>
      </c>
      <c r="AW23" s="15" t="s">
        <v>2581</v>
      </c>
      <c r="AX23" t="s">
        <v>2580</v>
      </c>
      <c r="BC23" s="42"/>
      <c r="BG23" t="s">
        <v>2524</v>
      </c>
      <c r="BH23" t="s">
        <v>2526</v>
      </c>
      <c r="BM23" s="42" t="str">
        <f t="shared" si="8"/>
        <v>studies which report the Relative available soil water content below which flushing is affected by water
availability as a fraction   () , and the values reported therein of indigofera genus vegetation (e.g.  Indigofera voharamensis, indigofera volkensii ). Provide the links to the scientific article</v>
      </c>
      <c r="BQ23" t="s">
        <v>2528</v>
      </c>
      <c r="BR23" t="s">
        <v>2529</v>
      </c>
      <c r="BX23" s="42" t="str">
        <f t="shared" si="9"/>
        <v>studies which report the Relative available soil water content below which flushing is affected by water
availability as a fraction   () , and the values reported therein of tephrosia genus vegetation (e.g.  tephrosia elata ). Provide the links to the scientific article</v>
      </c>
      <c r="CB23">
        <f t="shared" si="19"/>
        <v>0</v>
      </c>
      <c r="CC23">
        <f t="shared" si="20"/>
        <v>0</v>
      </c>
      <c r="CD23">
        <f t="shared" si="21"/>
        <v>0</v>
      </c>
      <c r="CE23">
        <f t="shared" si="22"/>
        <v>0</v>
      </c>
    </row>
    <row r="24" spans="1:83" ht="61.5" customHeight="1" x14ac:dyDescent="0.25">
      <c r="A24" s="19" t="s">
        <v>113</v>
      </c>
      <c r="B24" s="19"/>
      <c r="C24" s="19" t="s">
        <v>1187</v>
      </c>
      <c r="D24" t="s">
        <v>1211</v>
      </c>
      <c r="E24" t="s">
        <v>1212</v>
      </c>
      <c r="I24">
        <v>0.2</v>
      </c>
      <c r="J24">
        <v>0.25</v>
      </c>
      <c r="K24">
        <v>0.3</v>
      </c>
      <c r="L24">
        <f>J24+(K24-J24)*0.5</f>
        <v>0.27500000000000002</v>
      </c>
      <c r="M24" t="str">
        <f>M22</f>
        <v>Cenchrus grass species</v>
      </c>
      <c r="N24" t="str">
        <f>N22</f>
        <v xml:space="preserve">Cenchrus ciliaris, Cenchrus purpureus, Cenchrus setiger, Cenchrus setaceus, Cenchrus biflorus, Cenchrus Mezianus </v>
      </c>
      <c r="O24" s="29" t="str">
        <f t="shared" si="29"/>
        <v>studies which report the relative available soil water content below which restricted water availability triggers plant senescence as a fraction   () , and the values reported therein, of Cenchrus grass species (Cenchrus ciliaris, Cenchrus purpureus, Cenchrus setiger, Cenchrus setaceus, Cenchrus biflorus, Cenchrus Mezianus ) under semi-arid environments. Provide the links to the scientific article</v>
      </c>
      <c r="Q24" t="s">
        <v>1259</v>
      </c>
      <c r="S24" t="s">
        <v>1566</v>
      </c>
      <c r="T24" t="s">
        <v>88</v>
      </c>
      <c r="U24">
        <v>0</v>
      </c>
      <c r="V24">
        <v>0</v>
      </c>
      <c r="W24">
        <v>0.4</v>
      </c>
      <c r="X24" s="37" t="str">
        <f t="shared" si="6"/>
        <v>studies which report the relative available soil water content below which restricted water availability triggers plant senescence as a fraction   () , and the values reported therein, of red oat grass  (Themeda triandra) under semi-arid environments. Provide the links to the scientific article</v>
      </c>
      <c r="Y24" t="s">
        <v>1603</v>
      </c>
      <c r="Z24" s="27" t="s">
        <v>1604</v>
      </c>
      <c r="AA24" t="s">
        <v>2553</v>
      </c>
      <c r="AB24" t="s">
        <v>1535</v>
      </c>
      <c r="AC24">
        <v>0.48</v>
      </c>
      <c r="AD24">
        <v>0.53</v>
      </c>
      <c r="AF24" s="37" t="str">
        <f t="shared" si="12"/>
        <v>studies which report the relative available soil water content below which restricted water availability triggers plant senescence as a fraction   () , and the values reported therein, of bermuda grass (cynodon dactylon) under semi-arid environments. Provide the links to the scientific article</v>
      </c>
      <c r="AH24" t="s">
        <v>2559</v>
      </c>
      <c r="AI24">
        <f t="shared" si="13"/>
        <v>0.26250000000000001</v>
      </c>
      <c r="AJ24">
        <f t="shared" si="14"/>
        <v>0.26250000000000001</v>
      </c>
      <c r="AK24">
        <f t="shared" si="15"/>
        <v>0.31000000000000005</v>
      </c>
      <c r="AL24">
        <f t="shared" si="16"/>
        <v>0.31000000000000005</v>
      </c>
      <c r="AM24">
        <f t="shared" si="17"/>
        <v>0.32250000000000001</v>
      </c>
      <c r="AU24" t="s">
        <v>1627</v>
      </c>
      <c r="AV24" t="s">
        <v>1260</v>
      </c>
      <c r="AW24" s="15" t="s">
        <v>2581</v>
      </c>
      <c r="AX24" t="s">
        <v>2580</v>
      </c>
      <c r="BC24" s="42" t="str">
        <f>_xlfn.CONCAT("studies which report the ",D24," as ",E24,"  (",F24,") , and the values reported therein, of ",ABX24, " (",AV24, ") under semi-arid environments. Provide the links to the scientific article")</f>
        <v>studies which report the relative available soil water content below which restricted water availability triggers plant senescence as a fraction   () , and the values reported therein, of  (Vachellia drepanolobium) under semi-arid environments. Provide the links to the scientific article</v>
      </c>
      <c r="BG24" t="s">
        <v>2524</v>
      </c>
      <c r="BH24" t="s">
        <v>2526</v>
      </c>
      <c r="BM24" s="42" t="str">
        <f t="shared" si="8"/>
        <v>studies which report the relative available soil water content below which restricted water availability triggers plant senescence as a fraction   () , and the values reported therein of indigofera genus vegetation (e.g.  Indigofera voharamensis, indigofera volkensii ). Provide the links to the scientific article</v>
      </c>
      <c r="BQ24" t="s">
        <v>2528</v>
      </c>
      <c r="BR24" t="s">
        <v>2529</v>
      </c>
      <c r="BX24" s="42" t="str">
        <f t="shared" si="9"/>
        <v>studies which report the relative available soil water content below which restricted water availability triggers plant senescence as a fraction   () , and the values reported therein of tephrosia genus vegetation (e.g.  tephrosia elata ). Provide the links to the scientific article</v>
      </c>
      <c r="CB24">
        <f t="shared" si="19"/>
        <v>0</v>
      </c>
      <c r="CC24">
        <f t="shared" si="20"/>
        <v>0</v>
      </c>
      <c r="CD24">
        <f t="shared" si="21"/>
        <v>0</v>
      </c>
      <c r="CE24">
        <f t="shared" si="22"/>
        <v>0</v>
      </c>
    </row>
    <row r="25" spans="1:83" ht="65.25" customHeight="1" x14ac:dyDescent="0.25">
      <c r="A25" s="19" t="s">
        <v>1525</v>
      </c>
      <c r="B25" s="19"/>
      <c r="C25" s="19" t="s">
        <v>1187</v>
      </c>
      <c r="D25" t="s">
        <v>1528</v>
      </c>
      <c r="E25" s="19" t="s">
        <v>1212</v>
      </c>
      <c r="J25" s="32">
        <v>0.2</v>
      </c>
      <c r="K25" s="32">
        <v>0.45</v>
      </c>
      <c r="L25">
        <f>J25+(K25-J25)*0.5</f>
        <v>0.32500000000000001</v>
      </c>
      <c r="M25" t="str">
        <f t="shared" si="31"/>
        <v>Cenchrus grass species</v>
      </c>
      <c r="N25" t="str">
        <f t="shared" si="32"/>
        <v xml:space="preserve">Cenchrus ciliaris, Cenchrus purpureus, Cenchrus setiger, Cenchrus setaceus, Cenchrus biflorus, Cenchrus Mezianus </v>
      </c>
      <c r="O25" s="29" t="str">
        <f t="shared" si="29"/>
        <v>studies which report the relative available soil water content at which stomata are fully closed as a fraction   () , and the values reported therein, of Cenchrus grass species (Cenchrus ciliaris, Cenchrus purpureus, Cenchrus setiger, Cenchrus setaceus, Cenchrus biflorus, Cenchrus Mezianus ) under semi-arid environments. Provide the links to the scientific article</v>
      </c>
      <c r="S25" t="s">
        <v>1566</v>
      </c>
      <c r="T25" t="s">
        <v>88</v>
      </c>
      <c r="U25">
        <v>0</v>
      </c>
      <c r="V25">
        <v>0.1</v>
      </c>
      <c r="W25">
        <v>0.1</v>
      </c>
      <c r="X25" s="37" t="str">
        <f t="shared" si="6"/>
        <v>studies which report the relative available soil water content at which stomata are fully closed as a fraction   () , and the values reported therein, of red oat grass  (Themeda triandra) under semi-arid environments. Provide the links to the scientific article</v>
      </c>
      <c r="Y25" s="40" t="s">
        <v>1596</v>
      </c>
      <c r="Z25" s="27" t="s">
        <v>1594</v>
      </c>
      <c r="AA25" t="s">
        <v>2553</v>
      </c>
      <c r="AB25" t="s">
        <v>1535</v>
      </c>
      <c r="AF25" s="37" t="str">
        <f t="shared" si="12"/>
        <v>studies which report the relative available soil water content at which stomata are fully closed as a fraction   () , and the values reported therein, of bermuda grass (cynodon dactylon) under semi-arid environments. Provide the links to the scientific article</v>
      </c>
      <c r="AI25">
        <f t="shared" si="13"/>
        <v>0.14250000000000002</v>
      </c>
      <c r="AJ25">
        <f t="shared" si="14"/>
        <v>0.14250000000000002</v>
      </c>
      <c r="AK25">
        <f t="shared" si="15"/>
        <v>0.18</v>
      </c>
      <c r="AL25">
        <f t="shared" si="16"/>
        <v>0.18</v>
      </c>
      <c r="AM25">
        <f t="shared" si="17"/>
        <v>0.1575</v>
      </c>
      <c r="AU25" t="s">
        <v>1627</v>
      </c>
      <c r="AV25" t="s">
        <v>1260</v>
      </c>
      <c r="AW25" s="15" t="s">
        <v>2581</v>
      </c>
      <c r="AX25" t="s">
        <v>2580</v>
      </c>
      <c r="BC25" s="42" t="str">
        <f>_xlfn.CONCAT("studies which report the ",D25," as ",E25,"  (",F25,") , and the values reported therein, of ",ABX25, " (",AV25, ") under semi-arid environments. Provide the links to the scientific article")</f>
        <v>studies which report the relative available soil water content at which stomata are fully closed as a fraction   () , and the values reported therein, of  (Vachellia drepanolobium) under semi-arid environments. Provide the links to the scientific article</v>
      </c>
      <c r="BG25" t="s">
        <v>2524</v>
      </c>
      <c r="BH25" t="s">
        <v>2526</v>
      </c>
      <c r="BJ25">
        <v>0.15</v>
      </c>
      <c r="BK25">
        <v>0.15</v>
      </c>
      <c r="BL25">
        <v>0.15</v>
      </c>
      <c r="BM25" s="42" t="str">
        <f t="shared" si="8"/>
        <v>studies which report the relative available soil water content at which stomata are fully closed as a fraction   () , and the values reported therein of indigofera genus vegetation (e.g.  Indigofera voharamensis, indigofera volkensii ). Provide the links to the scientific article</v>
      </c>
      <c r="BO25" t="s">
        <v>2550</v>
      </c>
      <c r="BQ25" t="s">
        <v>2528</v>
      </c>
      <c r="BR25" t="s">
        <v>2529</v>
      </c>
      <c r="BU25">
        <v>0.1</v>
      </c>
      <c r="BV25">
        <v>0.15</v>
      </c>
      <c r="BW25">
        <v>0.15</v>
      </c>
      <c r="BX25" s="42" t="str">
        <f t="shared" si="9"/>
        <v>studies which report the relative available soil water content at which stomata are fully closed as a fraction   () , and the values reported therein of tephrosia genus vegetation (e.g.  tephrosia elata ). Provide the links to the scientific article</v>
      </c>
      <c r="BZ25" t="s">
        <v>2550</v>
      </c>
      <c r="CB25">
        <f t="shared" si="19"/>
        <v>0.15</v>
      </c>
      <c r="CC25">
        <f t="shared" si="20"/>
        <v>0.15</v>
      </c>
      <c r="CD25">
        <f t="shared" si="21"/>
        <v>0.15</v>
      </c>
      <c r="CE25">
        <f t="shared" si="22"/>
        <v>0.15</v>
      </c>
    </row>
    <row r="26" spans="1:83" ht="65.25" customHeight="1" x14ac:dyDescent="0.25">
      <c r="A26" s="19" t="s">
        <v>2179</v>
      </c>
      <c r="B26" s="19"/>
      <c r="C26" s="19"/>
      <c r="D26" t="s">
        <v>2267</v>
      </c>
      <c r="E26" s="19" t="s">
        <v>1212</v>
      </c>
      <c r="J26" s="32">
        <v>0.6</v>
      </c>
      <c r="K26" s="32">
        <v>0.8</v>
      </c>
      <c r="L26">
        <f>J26+(K26-J26)*0.5</f>
        <v>0.7</v>
      </c>
      <c r="M26" t="str">
        <f t="shared" si="31"/>
        <v>Cenchrus grass species</v>
      </c>
      <c r="O26" s="29" t="str">
        <f t="shared" si="29"/>
        <v>studies which report the Relative available soil water content below which leaf growth is affected. as a fraction   () , and the values reported therein, of Cenchrus grass species () under semi-arid environments. Provide the links to the scientific article</v>
      </c>
      <c r="Q26" t="s">
        <v>2522</v>
      </c>
      <c r="S26" t="s">
        <v>1566</v>
      </c>
      <c r="T26" t="s">
        <v>88</v>
      </c>
      <c r="U26">
        <v>0.4</v>
      </c>
      <c r="V26">
        <v>0.55000000000000004</v>
      </c>
      <c r="W26">
        <v>0.45</v>
      </c>
      <c r="X26" s="37" t="str">
        <f t="shared" si="6"/>
        <v>studies which report the Relative available soil water content below which leaf growth is affected. as a fraction   () , and the values reported therein, of red oat grass  (Themeda triandra) under semi-arid environments. Provide the links to the scientific article</v>
      </c>
      <c r="Y26" s="40"/>
      <c r="Z26" s="27" t="s">
        <v>1594</v>
      </c>
      <c r="AA26" t="s">
        <v>2553</v>
      </c>
      <c r="AB26" t="s">
        <v>1535</v>
      </c>
      <c r="AF26" s="37" t="str">
        <f t="shared" si="12"/>
        <v>studies which report the Relative available soil water content below which leaf growth is affected. as a fraction   () , and the values reported therein, of bermuda grass (cynodon dactylon) under semi-arid environments. Provide the links to the scientific article</v>
      </c>
      <c r="AI26">
        <f t="shared" si="13"/>
        <v>0.41249999999999998</v>
      </c>
      <c r="AJ26">
        <f t="shared" si="14"/>
        <v>0.41249999999999998</v>
      </c>
      <c r="AK26">
        <f t="shared" si="15"/>
        <v>0.505</v>
      </c>
      <c r="AL26">
        <f t="shared" si="16"/>
        <v>0.505</v>
      </c>
      <c r="AM26">
        <f t="shared" si="17"/>
        <v>0.48</v>
      </c>
      <c r="AU26" t="s">
        <v>1627</v>
      </c>
      <c r="AV26" t="s">
        <v>1260</v>
      </c>
      <c r="AW26" s="15" t="s">
        <v>2581</v>
      </c>
      <c r="AX26" t="s">
        <v>2580</v>
      </c>
      <c r="BC26" s="42"/>
      <c r="BG26" t="s">
        <v>2524</v>
      </c>
      <c r="BH26" t="s">
        <v>2526</v>
      </c>
      <c r="BM26" s="42" t="str">
        <f t="shared" si="8"/>
        <v>studies which report the Relative available soil water content below which leaf growth is affected. as a fraction   () , and the values reported therein of indigofera genus vegetation (e.g.  Indigofera voharamensis, indigofera volkensii ). Provide the links to the scientific article</v>
      </c>
      <c r="BQ26" t="s">
        <v>2528</v>
      </c>
      <c r="BR26" t="s">
        <v>2529</v>
      </c>
      <c r="BX26" s="42" t="str">
        <f t="shared" si="9"/>
        <v>studies which report the Relative available soil water content below which leaf growth is affected. as a fraction   () , and the values reported therein of tephrosia genus vegetation (e.g.  tephrosia elata ). Provide the links to the scientific article</v>
      </c>
      <c r="CB26">
        <f t="shared" si="19"/>
        <v>0</v>
      </c>
      <c r="CC26">
        <f t="shared" si="20"/>
        <v>0</v>
      </c>
      <c r="CD26">
        <f t="shared" si="21"/>
        <v>0</v>
      </c>
      <c r="CE26">
        <f t="shared" si="22"/>
        <v>0</v>
      </c>
    </row>
    <row r="27" spans="1:83" ht="42" customHeight="1" x14ac:dyDescent="0.25">
      <c r="A27" s="19" t="s">
        <v>371</v>
      </c>
      <c r="B27" s="19"/>
      <c r="C27" s="19" t="s">
        <v>1187</v>
      </c>
      <c r="D27" t="s">
        <v>1204</v>
      </c>
      <c r="E27" t="s">
        <v>1207</v>
      </c>
      <c r="F27" s="28" t="s">
        <v>1203</v>
      </c>
      <c r="G27" s="28"/>
      <c r="H27" s="28"/>
      <c r="I27">
        <v>300</v>
      </c>
      <c r="J27">
        <v>60</v>
      </c>
      <c r="K27">
        <v>180</v>
      </c>
      <c r="L27">
        <f t="shared" ref="L27:L28" si="34">J27+(K27-J27)*0.5</f>
        <v>120</v>
      </c>
      <c r="M27" t="str">
        <f>M25</f>
        <v>Cenchrus grass species</v>
      </c>
      <c r="N27" t="str">
        <f>N25</f>
        <v xml:space="preserve">Cenchrus ciliaris, Cenchrus purpureus, Cenchrus setiger, Cenchrus setaceus, Cenchrus biflorus, Cenchrus Mezianus </v>
      </c>
      <c r="O27" s="29" t="str">
        <f t="shared" si="29"/>
        <v>studies which report the maximum stomatal conductivity  as millimols of h2o per square meter per second  (mmol H₂O m⁻² s⁻¹ ) , and the values reported therein, of Cenchrus grass species (Cenchrus ciliaris, Cenchrus purpureus, Cenchrus setiger, Cenchrus setaceus, Cenchrus biflorus, Cenchrus Mezianus ) under semi-arid environments. Provide the links to the scientific article</v>
      </c>
      <c r="Q27" s="27" t="s">
        <v>1259</v>
      </c>
      <c r="S27" t="s">
        <v>1566</v>
      </c>
      <c r="T27" t="s">
        <v>88</v>
      </c>
      <c r="U27">
        <v>150</v>
      </c>
      <c r="V27">
        <v>500</v>
      </c>
      <c r="W27">
        <f t="shared" si="11"/>
        <v>325</v>
      </c>
      <c r="X27" s="37" t="str">
        <f t="shared" si="6"/>
        <v>studies which report the maximum stomatal conductivity  as millimols of h2o per square meter per second  (mmol H₂O m⁻² s⁻¹ ) , and the values reported therein, of red oat grass  (Themeda triandra) under semi-arid environments. Provide the links to the scientific article</v>
      </c>
      <c r="Y27" t="s">
        <v>1591</v>
      </c>
      <c r="Z27" t="s">
        <v>1590</v>
      </c>
      <c r="AA27" t="s">
        <v>2553</v>
      </c>
      <c r="AB27" t="s">
        <v>1535</v>
      </c>
      <c r="AE27">
        <v>270</v>
      </c>
      <c r="AF27" s="37" t="str">
        <f t="shared" si="12"/>
        <v>studies which report the maximum stomatal conductivity  as millimols of h2o per square meter per second  (mmol H₂O m⁻² s⁻¹ ) , and the values reported therein, of bermuda grass (cynodon dactylon) under semi-arid environments. Provide the links to the scientific article</v>
      </c>
      <c r="AH27" t="s">
        <v>2554</v>
      </c>
      <c r="AI27">
        <f t="shared" si="13"/>
        <v>182.25</v>
      </c>
      <c r="AJ27">
        <f t="shared" si="14"/>
        <v>249.75</v>
      </c>
      <c r="AK27">
        <f t="shared" si="15"/>
        <v>237.5</v>
      </c>
      <c r="AL27">
        <f t="shared" si="16"/>
        <v>237.5</v>
      </c>
      <c r="AM27">
        <f t="shared" si="17"/>
        <v>258</v>
      </c>
      <c r="AU27" t="s">
        <v>1627</v>
      </c>
      <c r="AV27" t="s">
        <v>1260</v>
      </c>
      <c r="AW27" s="15" t="s">
        <v>2581</v>
      </c>
      <c r="AX27" t="s">
        <v>2580</v>
      </c>
      <c r="BC27" s="42" t="str">
        <f>_xlfn.CONCAT("studies which report the ",D27," as ",E27,"  (",F27,") , and the values reported therein, of ",ABX27, " (",AV27, ") under semi-arid environments. Provide the links to the scientific article")</f>
        <v>studies which report the maximum stomatal conductivity  as millimols of h2o per square meter per second  (mmol H₂O m⁻² s⁻¹ ) , and the values reported therein, of  (Vachellia drepanolobium) under semi-arid environments. Provide the links to the scientific article</v>
      </c>
      <c r="BG27" t="s">
        <v>2524</v>
      </c>
      <c r="BH27" t="s">
        <v>2526</v>
      </c>
      <c r="BJ27">
        <v>170</v>
      </c>
      <c r="BK27">
        <v>500</v>
      </c>
      <c r="BL27">
        <v>280</v>
      </c>
      <c r="BM27" s="42" t="str">
        <f t="shared" si="8"/>
        <v>studies which report the maximum stomatal conductivity  as millimols of h2o per square meter per second  (mmol H₂O m⁻² s⁻¹ ) , and the values reported therein of indigofera genus vegetation (e.g.  Indigofera voharamensis, indigofera volkensii ). Provide the links to the scientific article</v>
      </c>
      <c r="BO27" s="27" t="s">
        <v>1630</v>
      </c>
      <c r="BQ27" t="s">
        <v>2528</v>
      </c>
      <c r="BR27" t="s">
        <v>2529</v>
      </c>
      <c r="BU27">
        <v>250</v>
      </c>
      <c r="BV27">
        <v>500</v>
      </c>
      <c r="BW27">
        <v>375</v>
      </c>
      <c r="BX27" s="42" t="str">
        <f t="shared" si="9"/>
        <v>studies which report the maximum stomatal conductivity  as millimols of h2o per square meter per second  (mmol H₂O m⁻² s⁻¹ ) , and the values reported therein of tephrosia genus vegetation (e.g.  tephrosia elata ). Provide the links to the scientific article</v>
      </c>
      <c r="BZ27" s="27" t="s">
        <v>1630</v>
      </c>
      <c r="CB27">
        <f t="shared" si="19"/>
        <v>337</v>
      </c>
      <c r="CC27">
        <f t="shared" si="20"/>
        <v>327.5</v>
      </c>
      <c r="CD27">
        <f t="shared" si="21"/>
        <v>318</v>
      </c>
      <c r="CE27">
        <f t="shared" si="22"/>
        <v>308.5</v>
      </c>
    </row>
    <row r="28" spans="1:83" ht="62.25" customHeight="1" x14ac:dyDescent="0.25">
      <c r="A28" s="19" t="s">
        <v>372</v>
      </c>
      <c r="B28" s="19"/>
      <c r="C28" s="19" t="s">
        <v>1187</v>
      </c>
      <c r="D28" t="s">
        <v>1208</v>
      </c>
      <c r="E28" t="s">
        <v>1207</v>
      </c>
      <c r="F28" s="28" t="s">
        <v>1203</v>
      </c>
      <c r="G28" s="28"/>
      <c r="H28" s="28"/>
      <c r="I28">
        <v>8.1</v>
      </c>
      <c r="J28">
        <v>10</v>
      </c>
      <c r="K28">
        <v>100</v>
      </c>
      <c r="L28">
        <f t="shared" si="34"/>
        <v>55</v>
      </c>
      <c r="M28" t="str">
        <f t="shared" si="31"/>
        <v>Cenchrus grass species</v>
      </c>
      <c r="N28" t="str">
        <f t="shared" si="32"/>
        <v xml:space="preserve">Cenchrus ciliaris, Cenchrus purpureus, Cenchrus setiger, Cenchrus setaceus, Cenchrus biflorus, Cenchrus Mezianus </v>
      </c>
      <c r="O28" s="29" t="str">
        <f t="shared" si="29"/>
        <v>studies which report the minimum stomatal conductivity  as millimols of h2o per square meter per second  (mmol H₂O m⁻² s⁻¹ ) , and the values reported therein, of Cenchrus grass species (Cenchrus ciliaris, Cenchrus purpureus, Cenchrus setiger, Cenchrus setaceus, Cenchrus biflorus, Cenchrus Mezianus ) under semi-arid environments. Provide the links to the scientific article</v>
      </c>
      <c r="Q28" t="s">
        <v>1252</v>
      </c>
      <c r="S28" t="s">
        <v>1566</v>
      </c>
      <c r="T28" t="s">
        <v>88</v>
      </c>
      <c r="W28">
        <v>120</v>
      </c>
      <c r="X28" s="37" t="str">
        <f t="shared" si="6"/>
        <v>studies which report the minimum stomatal conductivity  as millimols of h2o per square meter per second  (mmol H₂O m⁻² s⁻¹ ) , and the values reported therein, of red oat grass  (Themeda triandra) under semi-arid environments. Provide the links to the scientific article</v>
      </c>
      <c r="Y28" t="s">
        <v>1593</v>
      </c>
      <c r="Z28" s="27" t="s">
        <v>1592</v>
      </c>
      <c r="AA28" t="s">
        <v>2553</v>
      </c>
      <c r="AB28" t="s">
        <v>1535</v>
      </c>
      <c r="AC28">
        <v>5</v>
      </c>
      <c r="AD28">
        <v>20</v>
      </c>
      <c r="AE28">
        <v>5</v>
      </c>
      <c r="AF28" s="37" t="str">
        <f t="shared" si="12"/>
        <v>studies which report the minimum stomatal conductivity  as millimols of h2o per square meter per second  (mmol H₂O m⁻² s⁻¹ ) , and the values reported therein, of bermuda grass (cynodon dactylon) under semi-arid environments. Provide the links to the scientific article</v>
      </c>
      <c r="AH28" t="s">
        <v>2555</v>
      </c>
      <c r="AI28">
        <f>$L28*AO$2+$W28*AO$3</f>
        <v>70.5</v>
      </c>
      <c r="AJ28">
        <f t="shared" si="14"/>
        <v>71.75</v>
      </c>
      <c r="AK28">
        <f t="shared" si="15"/>
        <v>82.5</v>
      </c>
      <c r="AL28">
        <f t="shared" si="16"/>
        <v>82.5</v>
      </c>
      <c r="AM28">
        <f t="shared" si="17"/>
        <v>89</v>
      </c>
      <c r="AU28" t="s">
        <v>1627</v>
      </c>
      <c r="AV28" t="s">
        <v>1260</v>
      </c>
      <c r="AW28" s="15" t="s">
        <v>2581</v>
      </c>
      <c r="AX28" t="s">
        <v>2580</v>
      </c>
      <c r="BC28" s="42" t="str">
        <f>_xlfn.CONCAT("studies which report the ",D28," as ",E28,"  (",F28,") , and the values reported therein, of ",ABX28, " (",AV28, ") under semi-arid environments. Provide the links to the scientific article")</f>
        <v>studies which report the minimum stomatal conductivity  as millimols of h2o per square meter per second  (mmol H₂O m⁻² s⁻¹ ) , and the values reported therein, of  (Vachellia drepanolobium) under semi-arid environments. Provide the links to the scientific article</v>
      </c>
      <c r="BG28" t="s">
        <v>2524</v>
      </c>
      <c r="BH28" t="s">
        <v>2526</v>
      </c>
      <c r="BJ28">
        <v>1</v>
      </c>
      <c r="BK28">
        <v>25</v>
      </c>
      <c r="BL28">
        <v>1</v>
      </c>
      <c r="BM28" s="42" t="str">
        <f t="shared" si="8"/>
        <v>studies which report the minimum stomatal conductivity  as millimols of h2o per square meter per second  (mmol H₂O m⁻² s⁻¹ ) , and the values reported therein of indigofera genus vegetation (e.g.  Indigofera voharamensis, indigofera volkensii ). Provide the links to the scientific article</v>
      </c>
      <c r="BO28" t="s">
        <v>1630</v>
      </c>
      <c r="BQ28" t="s">
        <v>2528</v>
      </c>
      <c r="BR28" t="s">
        <v>2529</v>
      </c>
      <c r="BU28">
        <v>5</v>
      </c>
      <c r="BV28">
        <v>32</v>
      </c>
      <c r="BW28">
        <v>5</v>
      </c>
      <c r="BX28" s="42" t="str">
        <f t="shared" si="9"/>
        <v>studies which report the minimum stomatal conductivity  as millimols of h2o per square meter per second  (mmol H₂O m⁻² s⁻¹ ) , and the values reported therein of tephrosia genus vegetation (e.g.  tephrosia elata ). Provide the links to the scientific article</v>
      </c>
      <c r="BZ28" t="s">
        <v>1630</v>
      </c>
      <c r="CB28">
        <f t="shared" si="19"/>
        <v>3.4</v>
      </c>
      <c r="CC28">
        <f t="shared" si="20"/>
        <v>3</v>
      </c>
      <c r="CD28">
        <f t="shared" si="21"/>
        <v>2.6</v>
      </c>
      <c r="CE28">
        <f t="shared" si="22"/>
        <v>2.2000000000000002</v>
      </c>
    </row>
    <row r="29" spans="1:83" ht="86.45" customHeight="1" x14ac:dyDescent="0.25">
      <c r="A29" s="19" t="s">
        <v>375</v>
      </c>
      <c r="B29" s="19"/>
      <c r="C29" s="19" t="s">
        <v>1258</v>
      </c>
      <c r="D29" t="s">
        <v>1230</v>
      </c>
      <c r="E29" t="s">
        <v>1231</v>
      </c>
      <c r="F29" t="s">
        <v>1232</v>
      </c>
      <c r="J29">
        <v>1E-4</v>
      </c>
      <c r="K29">
        <v>2.2000000000000001E-4</v>
      </c>
      <c r="L29">
        <f>J29+(K29-J29)*0.5</f>
        <v>1.6000000000000001E-4</v>
      </c>
      <c r="M29" t="str">
        <f t="shared" si="31"/>
        <v>Cenchrus grass species</v>
      </c>
      <c r="N29" t="str">
        <f t="shared" si="32"/>
        <v xml:space="preserve">Cenchrus ciliaris, Cenchrus purpureus, Cenchrus setiger, Cenchrus setaceus, Cenchrus biflorus, Cenchrus Mezianus </v>
      </c>
      <c r="O29" s="29" t="str">
        <f t="shared" si="29"/>
        <v>studies which report the Specific interception capacity of foliage  as meters per square meter of LAI  (m m^-2 LAI) , and the values reported therein, of Cenchrus grass species (Cenchrus ciliaris, Cenchrus purpureus, Cenchrus setiger, Cenchrus setaceus, Cenchrus biflorus, Cenchrus Mezianus ) under semi-arid environments. Provide the links to the scientific article</v>
      </c>
      <c r="Q29" s="27" t="s">
        <v>1259</v>
      </c>
      <c r="S29" t="s">
        <v>1566</v>
      </c>
      <c r="T29" t="s">
        <v>88</v>
      </c>
      <c r="W29">
        <v>5.0000000000000001E-4</v>
      </c>
      <c r="X29" s="37" t="str">
        <f t="shared" si="6"/>
        <v>studies which report the Specific interception capacity of foliage  as meters per square meter of LAI  (m m^-2 LAI) , and the values reported therein, of red oat grass  (Themeda triandra) under semi-arid environments. Provide the links to the scientific article</v>
      </c>
      <c r="Y29" s="27" t="s">
        <v>1581</v>
      </c>
      <c r="Z29" t="s">
        <v>1580</v>
      </c>
      <c r="AA29" t="s">
        <v>2553</v>
      </c>
      <c r="AB29" t="s">
        <v>1535</v>
      </c>
      <c r="AC29">
        <v>1E-4</v>
      </c>
      <c r="AD29">
        <v>2.0000000000000001E-4</v>
      </c>
      <c r="AE29">
        <v>1.4999999999999999E-4</v>
      </c>
      <c r="AF29" s="37" t="str">
        <f t="shared" si="12"/>
        <v>studies which report the Specific interception capacity of foliage  as meters per square meter of LAI  (m m^-2 LAI) , and the values reported therein, of bermuda grass (cynodon dactylon) under semi-arid environments. Provide the links to the scientific article</v>
      </c>
      <c r="AH29" t="s">
        <v>2556</v>
      </c>
      <c r="AI29">
        <f t="shared" si="13"/>
        <v>2.7300000000000002E-4</v>
      </c>
      <c r="AJ29">
        <f t="shared" si="14"/>
        <v>3.1050000000000001E-4</v>
      </c>
      <c r="AK29">
        <f t="shared" si="15"/>
        <v>3.2900000000000003E-4</v>
      </c>
      <c r="AL29">
        <f t="shared" si="16"/>
        <v>3.2900000000000003E-4</v>
      </c>
      <c r="AM29">
        <f t="shared" si="17"/>
        <v>3.6299999999999999E-4</v>
      </c>
      <c r="AU29" t="s">
        <v>1627</v>
      </c>
      <c r="AV29" t="s">
        <v>1260</v>
      </c>
      <c r="AW29" s="15" t="s">
        <v>2581</v>
      </c>
      <c r="AX29" t="s">
        <v>2580</v>
      </c>
      <c r="BC29" s="42" t="str">
        <f>_xlfn.CONCAT("studies which report the ",D29," as ",E29,"  (",F29,") , and the values reported therein, of ",ABX29, " (",AV29, ") under semi-arid environments. Provide the links to the scientific article")</f>
        <v>studies which report the Specific interception capacity of foliage  as meters per square meter of LAI  (m m^-2 LAI) , and the values reported therein, of  (Vachellia drepanolobium) under semi-arid environments. Provide the links to the scientific article</v>
      </c>
      <c r="BG29" t="s">
        <v>2524</v>
      </c>
      <c r="BH29" t="s">
        <v>2526</v>
      </c>
      <c r="BJ29">
        <v>1.4999999999999999E-4</v>
      </c>
      <c r="BK29">
        <v>2.7999999999999998E-4</v>
      </c>
      <c r="BL29">
        <f>AVERAGE(BJ29:BK29)</f>
        <v>2.1499999999999997E-4</v>
      </c>
      <c r="BM29" s="42" t="str">
        <f t="shared" si="8"/>
        <v>studies which report the Specific interception capacity of foliage  as meters per square meter of LAI  (m m^-2 LAI) , and the values reported therein of indigofera genus vegetation (e.g.  Indigofera voharamensis, indigofera volkensii ). Provide the links to the scientific article</v>
      </c>
      <c r="BO29" s="27" t="s">
        <v>1630</v>
      </c>
      <c r="BQ29" t="s">
        <v>2528</v>
      </c>
      <c r="BR29" t="s">
        <v>2529</v>
      </c>
      <c r="BU29">
        <v>1.4999999999999999E-4</v>
      </c>
      <c r="BV29">
        <v>3.5E-4</v>
      </c>
      <c r="BW29">
        <f>AVERAGE(BU29:BV29)</f>
        <v>2.5000000000000001E-4</v>
      </c>
      <c r="BX29" s="42" t="str">
        <f t="shared" si="9"/>
        <v>studies which report the Specific interception capacity of foliage  as meters per square meter of LAI  (m m^-2 LAI) , and the values reported therein of tephrosia genus vegetation (e.g.  tephrosia elata ). Provide the links to the scientific article</v>
      </c>
      <c r="BZ29" t="s">
        <v>1630</v>
      </c>
      <c r="CB29">
        <f t="shared" si="19"/>
        <v>2.3599999999999999E-4</v>
      </c>
      <c r="CC29">
        <f t="shared" si="20"/>
        <v>2.3249999999999999E-4</v>
      </c>
      <c r="CD29">
        <f t="shared" si="21"/>
        <v>2.2899999999999998E-4</v>
      </c>
      <c r="CE29">
        <f t="shared" si="22"/>
        <v>2.2549999999999995E-4</v>
      </c>
    </row>
    <row r="30" spans="1:83" ht="86.45" customHeight="1" x14ac:dyDescent="0.25">
      <c r="A30" s="19" t="s">
        <v>2258</v>
      </c>
      <c r="B30" s="19"/>
      <c r="C30" s="19" t="s">
        <v>2259</v>
      </c>
      <c r="D30" t="s">
        <v>2259</v>
      </c>
      <c r="E30" t="s">
        <v>2260</v>
      </c>
      <c r="O30" s="29"/>
      <c r="Q30" s="27"/>
      <c r="T30" t="s">
        <v>88</v>
      </c>
      <c r="X30" s="37" t="str">
        <f t="shared" si="6"/>
        <v>studies which report the maximal net photosynthesis as nanomols of CO2 per gram per second  () , and the values reported therein, of  (Themeda triandra) under semi-arid environments. Provide the links to the scientific article</v>
      </c>
      <c r="Y30" s="27"/>
      <c r="AA30" t="s">
        <v>2553</v>
      </c>
      <c r="AB30" t="s">
        <v>1535</v>
      </c>
      <c r="AF30" s="37" t="str">
        <f t="shared" si="12"/>
        <v>studies which report the maximal net photosynthesis as nanomols of CO2 per gram per second  () , and the values reported therein, of bermuda grass (cynodon dactylon) under semi-arid environments. Provide the links to the scientific article</v>
      </c>
      <c r="AI30">
        <f t="shared" si="13"/>
        <v>0</v>
      </c>
      <c r="AJ30">
        <f t="shared" si="14"/>
        <v>0</v>
      </c>
      <c r="AK30">
        <f t="shared" si="15"/>
        <v>0</v>
      </c>
      <c r="AL30">
        <f t="shared" si="16"/>
        <v>0</v>
      </c>
      <c r="AM30">
        <f t="shared" si="17"/>
        <v>0</v>
      </c>
      <c r="AU30" t="s">
        <v>1627</v>
      </c>
      <c r="AV30" t="s">
        <v>1260</v>
      </c>
      <c r="AW30" s="15" t="s">
        <v>2581</v>
      </c>
      <c r="AX30" t="s">
        <v>2580</v>
      </c>
      <c r="BC30" s="42"/>
      <c r="BG30" t="s">
        <v>2524</v>
      </c>
      <c r="BH30" t="s">
        <v>2526</v>
      </c>
      <c r="BM30" s="42" t="str">
        <f t="shared" si="8"/>
        <v>studies which report the maximal net photosynthesis as nanomols of CO2 per gram per second  () , and the values reported therein of indigofera genus vegetation (e.g.  Indigofera voharamensis, indigofera volkensii ). Provide the links to the scientific article</v>
      </c>
      <c r="BQ30" t="s">
        <v>2528</v>
      </c>
      <c r="BR30" t="s">
        <v>2529</v>
      </c>
      <c r="BX30" s="42" t="str">
        <f t="shared" si="9"/>
        <v>studies which report the maximal net photosynthesis as nanomols of CO2 per gram per second  () , and the values reported therein of tephrosia genus vegetation (e.g.  tephrosia elata ). Provide the links to the scientific article</v>
      </c>
      <c r="CB30">
        <f t="shared" si="19"/>
        <v>0</v>
      </c>
      <c r="CC30">
        <f t="shared" si="20"/>
        <v>0</v>
      </c>
      <c r="CD30">
        <f t="shared" si="21"/>
        <v>0</v>
      </c>
      <c r="CE30">
        <f t="shared" si="22"/>
        <v>0</v>
      </c>
    </row>
    <row r="31" spans="1:83" ht="86.45" customHeight="1" x14ac:dyDescent="0.25">
      <c r="A31" s="19" t="s">
        <v>368</v>
      </c>
      <c r="C31" s="19" t="s">
        <v>1258</v>
      </c>
      <c r="D31" t="s">
        <v>1507</v>
      </c>
      <c r="E31" t="s">
        <v>1508</v>
      </c>
      <c r="F31" t="s">
        <v>1509</v>
      </c>
      <c r="J31">
        <v>14.5</v>
      </c>
      <c r="K31">
        <v>22</v>
      </c>
      <c r="L31">
        <f t="shared" ref="L31:L36" si="35">J31+(K31-J31)*0.5</f>
        <v>18.25</v>
      </c>
      <c r="M31" t="str">
        <f>M29</f>
        <v>Cenchrus grass species</v>
      </c>
      <c r="N31" t="str">
        <f>N29</f>
        <v xml:space="preserve">Cenchrus ciliaris, Cenchrus purpureus, Cenchrus setiger, Cenchrus setaceus, Cenchrus biflorus, Cenchrus Mezianus </v>
      </c>
      <c r="O31" s="29" t="str">
        <f t="shared" si="29"/>
        <v>studies which report the specific leaf area in the shade as square meters per kilogram  (m^2 kg^-1) , and the values reported therein, of Cenchrus grass species (Cenchrus ciliaris, Cenchrus purpureus, Cenchrus setiger, Cenchrus setaceus, Cenchrus biflorus, Cenchrus Mezianus ) under semi-arid environments. Provide the links to the scientific article</v>
      </c>
      <c r="Q31" t="s">
        <v>1259</v>
      </c>
      <c r="S31" t="s">
        <v>1566</v>
      </c>
      <c r="T31" t="s">
        <v>88</v>
      </c>
      <c r="U31">
        <v>10</v>
      </c>
      <c r="V31">
        <v>25</v>
      </c>
      <c r="W31">
        <f t="shared" si="11"/>
        <v>17.5</v>
      </c>
      <c r="X31" s="37" t="str">
        <f t="shared" si="6"/>
        <v>studies which report the specific leaf area in the shade as square meters per kilogram  (m^2 kg^-1) , and the values reported therein, of red oat grass  (Themeda triandra) under semi-arid environments. Provide the links to the scientific article</v>
      </c>
      <c r="Y31" t="s">
        <v>1578</v>
      </c>
      <c r="Z31" s="27" t="s">
        <v>1579</v>
      </c>
      <c r="AA31" t="s">
        <v>2553</v>
      </c>
      <c r="AB31" t="s">
        <v>1535</v>
      </c>
      <c r="AC31">
        <v>25.6</v>
      </c>
      <c r="AD31">
        <v>28.6</v>
      </c>
      <c r="AF31" s="37" t="str">
        <f t="shared" si="12"/>
        <v>studies which report the specific leaf area in the shade as square meters per kilogram  (m^2 kg^-1) , and the values reported therein, of bermuda grass (cynodon dactylon) under semi-arid environments. Provide the links to the scientific article</v>
      </c>
      <c r="AH31" t="s">
        <v>2557</v>
      </c>
      <c r="AI31">
        <f t="shared" si="13"/>
        <v>13.35</v>
      </c>
      <c r="AJ31">
        <f t="shared" si="14"/>
        <v>13.35</v>
      </c>
      <c r="AK31">
        <f t="shared" si="15"/>
        <v>16.05</v>
      </c>
      <c r="AL31">
        <f t="shared" si="16"/>
        <v>16.05</v>
      </c>
      <c r="AM31">
        <f t="shared" si="17"/>
        <v>15.975</v>
      </c>
      <c r="AU31" t="s">
        <v>1627</v>
      </c>
      <c r="AV31" t="s">
        <v>1260</v>
      </c>
      <c r="AW31" s="15" t="s">
        <v>2581</v>
      </c>
      <c r="AX31" t="s">
        <v>2580</v>
      </c>
      <c r="BC31" s="42" t="str">
        <f t="shared" ref="BC31:BC42" si="36">_xlfn.CONCAT("studies which report the ",D31," as ",E31,"  (",F31,") , and the values reported therein, of ",ABX31, " (",AV31, ") under semi-arid environments. Provide the links to the scientific article")</f>
        <v>studies which report the specific leaf area in the shade as square meters per kilogram  (m^2 kg^-1) , and the values reported therein, of  (Vachellia drepanolobium) under semi-arid environments. Provide the links to the scientific article</v>
      </c>
      <c r="BG31" t="s">
        <v>2524</v>
      </c>
      <c r="BH31" t="s">
        <v>2526</v>
      </c>
      <c r="BJ31">
        <v>16.100000000000001</v>
      </c>
      <c r="BK31">
        <v>32.1</v>
      </c>
      <c r="BL31">
        <v>32.1</v>
      </c>
      <c r="BM31" s="42" t="str">
        <f t="shared" si="8"/>
        <v>studies which report the specific leaf area in the shade as square meters per kilogram  (m^2 kg^-1) , and the values reported therein of indigofera genus vegetation (e.g.  Indigofera voharamensis, indigofera volkensii ). Provide the links to the scientific article</v>
      </c>
      <c r="BO31" s="27" t="s">
        <v>1630</v>
      </c>
      <c r="BQ31" t="s">
        <v>2528</v>
      </c>
      <c r="BR31" t="s">
        <v>2529</v>
      </c>
      <c r="BU31">
        <v>19.5</v>
      </c>
      <c r="BV31">
        <v>29</v>
      </c>
      <c r="BW31">
        <v>29</v>
      </c>
      <c r="BX31" s="42" t="str">
        <f t="shared" si="9"/>
        <v>studies which report the specific leaf area in the shade as square meters per kilogram  (m^2 kg^-1) , and the values reported therein of tephrosia genus vegetation (e.g.  tephrosia elata ). Provide the links to the scientific article</v>
      </c>
      <c r="CB31">
        <f t="shared" si="19"/>
        <v>30.240000000000002</v>
      </c>
      <c r="CC31">
        <f t="shared" si="20"/>
        <v>30.55</v>
      </c>
      <c r="CD31">
        <f t="shared" si="21"/>
        <v>30.860000000000003</v>
      </c>
      <c r="CE31">
        <f t="shared" si="22"/>
        <v>31.169999999999998</v>
      </c>
    </row>
    <row r="32" spans="1:83" ht="86.45" customHeight="1" x14ac:dyDescent="0.25">
      <c r="A32" s="19" t="s">
        <v>369</v>
      </c>
      <c r="C32" s="19" t="s">
        <v>1258</v>
      </c>
      <c r="D32" t="s">
        <v>1510</v>
      </c>
      <c r="E32" t="s">
        <v>1508</v>
      </c>
      <c r="F32" t="s">
        <v>1509</v>
      </c>
      <c r="J32">
        <v>14.5</v>
      </c>
      <c r="K32">
        <v>22</v>
      </c>
      <c r="L32">
        <f t="shared" si="35"/>
        <v>18.25</v>
      </c>
      <c r="M32" t="str">
        <f t="shared" si="31"/>
        <v>Cenchrus grass species</v>
      </c>
      <c r="N32" t="str">
        <f t="shared" si="32"/>
        <v xml:space="preserve">Cenchrus ciliaris, Cenchrus purpureus, Cenchrus setiger, Cenchrus setaceus, Cenchrus biflorus, Cenchrus Mezianus </v>
      </c>
      <c r="O32" s="29" t="str">
        <f t="shared" si="29"/>
        <v>studies which report the specific leaf area under full sun as square meters per kilogram  (m^2 kg^-1) , and the values reported therein, of Cenchrus grass species (Cenchrus ciliaris, Cenchrus purpureus, Cenchrus setiger, Cenchrus setaceus, Cenchrus biflorus, Cenchrus Mezianus ) under semi-arid environments. Provide the links to the scientific article</v>
      </c>
      <c r="Q32" t="s">
        <v>1259</v>
      </c>
      <c r="S32" t="s">
        <v>1566</v>
      </c>
      <c r="T32" t="s">
        <v>88</v>
      </c>
      <c r="U32">
        <v>8</v>
      </c>
      <c r="V32">
        <v>18</v>
      </c>
      <c r="W32">
        <f t="shared" si="11"/>
        <v>13</v>
      </c>
      <c r="X32" s="37" t="str">
        <f t="shared" si="6"/>
        <v>studies which report the specific leaf area under full sun as square meters per kilogram  (m^2 kg^-1) , and the values reported therein, of red oat grass  (Themeda triandra) under semi-arid environments. Provide the links to the scientific article</v>
      </c>
      <c r="Y32" s="27" t="s">
        <v>1577</v>
      </c>
      <c r="Z32" t="s">
        <v>1576</v>
      </c>
      <c r="AA32" t="s">
        <v>2553</v>
      </c>
      <c r="AB32" t="s">
        <v>1535</v>
      </c>
      <c r="AC32">
        <v>12.33</v>
      </c>
      <c r="AD32">
        <v>12.33</v>
      </c>
      <c r="AE32">
        <v>12.33</v>
      </c>
      <c r="AF32" s="37" t="str">
        <f t="shared" si="12"/>
        <v>studies which report the specific leaf area under full sun as square meters per kilogram  (m^2 kg^-1) , and the values reported therein, of bermuda grass (cynodon dactylon) under semi-arid environments. Provide the links to the scientific article</v>
      </c>
      <c r="AH32" t="s">
        <v>2558</v>
      </c>
      <c r="AI32">
        <f t="shared" si="13"/>
        <v>11.324999999999999</v>
      </c>
      <c r="AJ32">
        <f t="shared" si="14"/>
        <v>14.407499999999999</v>
      </c>
      <c r="AK32">
        <f t="shared" si="15"/>
        <v>15.033000000000001</v>
      </c>
      <c r="AL32">
        <f t="shared" si="16"/>
        <v>15.033000000000001</v>
      </c>
      <c r="AM32">
        <f t="shared" si="17"/>
        <v>14.507999999999999</v>
      </c>
      <c r="AU32" t="s">
        <v>1627</v>
      </c>
      <c r="AV32" t="s">
        <v>1260</v>
      </c>
      <c r="AW32" s="15" t="s">
        <v>2581</v>
      </c>
      <c r="AX32" t="s">
        <v>2580</v>
      </c>
      <c r="BC32" s="42" t="str">
        <f t="shared" si="36"/>
        <v>studies which report the specific leaf area under full sun as square meters per kilogram  (m^2 kg^-1) , and the values reported therein, of  (Vachellia drepanolobium) under semi-arid environments. Provide the links to the scientific article</v>
      </c>
      <c r="BG32" t="s">
        <v>2524</v>
      </c>
      <c r="BH32" t="s">
        <v>2526</v>
      </c>
      <c r="BJ32">
        <v>5.5</v>
      </c>
      <c r="BK32">
        <v>0.5</v>
      </c>
      <c r="BL32">
        <v>5.5</v>
      </c>
      <c r="BM32" s="42" t="str">
        <f t="shared" si="8"/>
        <v>studies which report the specific leaf area under full sun as square meters per kilogram  (m^2 kg^-1) , and the values reported therein of indigofera genus vegetation (e.g.  Indigofera voharamensis, indigofera volkensii ). Provide the links to the scientific article</v>
      </c>
      <c r="BO32" t="s">
        <v>1631</v>
      </c>
      <c r="BQ32" t="s">
        <v>2528</v>
      </c>
      <c r="BR32" t="s">
        <v>2529</v>
      </c>
      <c r="BU32">
        <v>7.5</v>
      </c>
      <c r="BV32">
        <v>14.5</v>
      </c>
      <c r="BW32">
        <v>7.5</v>
      </c>
      <c r="BX32" s="42" t="str">
        <f t="shared" si="9"/>
        <v>studies which report the specific leaf area under full sun as square meters per kilogram  (m^2 kg^-1) , and the values reported therein of tephrosia genus vegetation (e.g.  tephrosia elata ). Provide the links to the scientific article</v>
      </c>
      <c r="CB32">
        <f t="shared" si="19"/>
        <v>6.7</v>
      </c>
      <c r="CC32">
        <f t="shared" si="20"/>
        <v>6.5</v>
      </c>
      <c r="CD32">
        <f t="shared" si="21"/>
        <v>6.3</v>
      </c>
      <c r="CE32">
        <f t="shared" si="22"/>
        <v>6.1</v>
      </c>
    </row>
    <row r="33" spans="1:83" ht="90.75" x14ac:dyDescent="0.3">
      <c r="A33" s="19" t="s">
        <v>1239</v>
      </c>
      <c r="C33" s="19" t="s">
        <v>1185</v>
      </c>
      <c r="D33" s="35" t="s">
        <v>1517</v>
      </c>
      <c r="E33" t="s">
        <v>1518</v>
      </c>
      <c r="F33" t="s">
        <v>1519</v>
      </c>
      <c r="I33" s="31"/>
      <c r="L33">
        <f t="shared" si="35"/>
        <v>0</v>
      </c>
      <c r="M33" t="e">
        <f>#REF!</f>
        <v>#REF!</v>
      </c>
      <c r="N33" t="e">
        <f>#REF!</f>
        <v>#REF!</v>
      </c>
      <c r="O33" s="29" t="e">
        <f t="shared" si="29"/>
        <v>#REF!</v>
      </c>
      <c r="S33" t="s">
        <v>1566</v>
      </c>
      <c r="T33" t="s">
        <v>88</v>
      </c>
      <c r="W33">
        <v>408</v>
      </c>
      <c r="X33" s="37" t="str">
        <f t="shared" si="6"/>
        <v>studies which report the growing degree days to complete foliar production as growing degree days  (GDD) , and the values reported therein, of red oat grass  (Themeda triandra) under semi-arid environments. Provide the links to the scientific article</v>
      </c>
      <c r="Y33" s="19" t="s">
        <v>1602</v>
      </c>
      <c r="Z33" t="s">
        <v>1601</v>
      </c>
      <c r="AA33" t="s">
        <v>2553</v>
      </c>
      <c r="AB33" t="s">
        <v>1535</v>
      </c>
      <c r="AF33" s="37" t="str">
        <f t="shared" si="12"/>
        <v>studies which report the growing degree days to complete foliar production as growing degree days  (GDD) , and the values reported therein, of bermuda grass (cynodon dactylon) under semi-arid environments. Provide the links to the scientific article</v>
      </c>
      <c r="AI33">
        <f t="shared" si="13"/>
        <v>183.6</v>
      </c>
      <c r="AJ33">
        <f t="shared" si="14"/>
        <v>183.6</v>
      </c>
      <c r="AK33">
        <f t="shared" si="15"/>
        <v>204</v>
      </c>
      <c r="AL33">
        <f t="shared" si="16"/>
        <v>204</v>
      </c>
      <c r="AM33">
        <f t="shared" si="17"/>
        <v>244.79999999999998</v>
      </c>
      <c r="AU33" t="s">
        <v>1627</v>
      </c>
      <c r="AV33" t="s">
        <v>1260</v>
      </c>
      <c r="AW33" s="15" t="s">
        <v>2581</v>
      </c>
      <c r="AX33" t="s">
        <v>2580</v>
      </c>
      <c r="BC33" s="42" t="str">
        <f t="shared" si="36"/>
        <v>studies which report the growing degree days to complete foliar production as growing degree days  (GDD) , and the values reported therein, of  (Vachellia drepanolobium) under semi-arid environments. Provide the links to the scientific article</v>
      </c>
      <c r="BG33" t="s">
        <v>2524</v>
      </c>
      <c r="BH33" t="s">
        <v>2526</v>
      </c>
      <c r="BM33" s="42" t="str">
        <f t="shared" si="8"/>
        <v>studies which report the growing degree days to complete foliar production as growing degree days  (GDD) , and the values reported therein of indigofera genus vegetation (e.g.  Indigofera voharamensis, indigofera volkensii ). Provide the links to the scientific article</v>
      </c>
      <c r="BQ33" t="s">
        <v>2528</v>
      </c>
      <c r="BR33" t="s">
        <v>2529</v>
      </c>
      <c r="BX33" s="42" t="str">
        <f t="shared" si="9"/>
        <v>studies which report the growing degree days to complete foliar production as growing degree days  (GDD) , and the values reported therein of tephrosia genus vegetation (e.g.  tephrosia elata ). Provide the links to the scientific article</v>
      </c>
      <c r="CB33">
        <f t="shared" si="19"/>
        <v>0</v>
      </c>
      <c r="CC33">
        <f t="shared" si="20"/>
        <v>0</v>
      </c>
      <c r="CD33">
        <f t="shared" si="21"/>
        <v>0</v>
      </c>
      <c r="CE33">
        <f t="shared" si="22"/>
        <v>0</v>
      </c>
    </row>
    <row r="34" spans="1:83" ht="75" customHeight="1" x14ac:dyDescent="0.3">
      <c r="A34" s="19" t="s">
        <v>1530</v>
      </c>
      <c r="C34" s="19" t="s">
        <v>1185</v>
      </c>
      <c r="D34" t="s">
        <v>1529</v>
      </c>
      <c r="E34" t="s">
        <v>1518</v>
      </c>
      <c r="F34" t="s">
        <v>1519</v>
      </c>
      <c r="I34" s="31"/>
      <c r="J34">
        <v>50</v>
      </c>
      <c r="K34">
        <v>70</v>
      </c>
      <c r="L34">
        <f t="shared" si="35"/>
        <v>60</v>
      </c>
      <c r="M34" t="e">
        <f t="shared" si="31"/>
        <v>#REF!</v>
      </c>
      <c r="N34" t="e">
        <f t="shared" si="32"/>
        <v>#REF!</v>
      </c>
      <c r="O34" s="29" t="e">
        <f t="shared" si="29"/>
        <v>#REF!</v>
      </c>
      <c r="Q34" t="s">
        <v>1259</v>
      </c>
      <c r="S34" t="s">
        <v>1566</v>
      </c>
      <c r="T34" t="s">
        <v>88</v>
      </c>
      <c r="W34">
        <f t="shared" si="11"/>
        <v>0</v>
      </c>
      <c r="X34" s="37" t="str">
        <f t="shared" si="6"/>
        <v>studies which report the minimum temperature sum for foliage activity onset as growing degree days  (GDD) , and the values reported therein, of red oat grass  (Themeda triandra) under semi-arid environments. Provide the links to the scientific article</v>
      </c>
      <c r="AA34" t="s">
        <v>2553</v>
      </c>
      <c r="AB34" t="s">
        <v>1535</v>
      </c>
      <c r="AF34" s="37" t="str">
        <f t="shared" si="12"/>
        <v>studies which report the minimum temperature sum for foliage activity onset as growing degree days  (GDD) , and the values reported therein, of bermuda grass (cynodon dactylon) under semi-arid environments. Provide the links to the scientific article</v>
      </c>
      <c r="AI34">
        <f t="shared" si="13"/>
        <v>18</v>
      </c>
      <c r="AJ34">
        <f t="shared" si="14"/>
        <v>18</v>
      </c>
      <c r="AK34">
        <f t="shared" si="15"/>
        <v>24</v>
      </c>
      <c r="AL34">
        <f t="shared" si="16"/>
        <v>24</v>
      </c>
      <c r="AM34">
        <f t="shared" si="17"/>
        <v>18</v>
      </c>
      <c r="AU34" t="s">
        <v>1627</v>
      </c>
      <c r="AV34" t="s">
        <v>1260</v>
      </c>
      <c r="AW34" s="15" t="s">
        <v>2581</v>
      </c>
      <c r="AX34" t="s">
        <v>2580</v>
      </c>
      <c r="BC34" s="42" t="str">
        <f t="shared" si="36"/>
        <v>studies which report the minimum temperature sum for foliage activity onset as growing degree days  (GDD) , and the values reported therein, of  (Vachellia drepanolobium) under semi-arid environments. Provide the links to the scientific article</v>
      </c>
      <c r="BG34" t="s">
        <v>2524</v>
      </c>
      <c r="BH34" t="s">
        <v>2526</v>
      </c>
      <c r="BM34" s="42" t="str">
        <f t="shared" si="8"/>
        <v>studies which report the minimum temperature sum for foliage activity onset as growing degree days  (GDD) , and the values reported therein of indigofera genus vegetation (e.g.  Indigofera voharamensis, indigofera volkensii ). Provide the links to the scientific article</v>
      </c>
      <c r="BQ34" t="s">
        <v>2528</v>
      </c>
      <c r="BR34" t="s">
        <v>2529</v>
      </c>
      <c r="BX34" s="42" t="str">
        <f t="shared" si="9"/>
        <v>studies which report the minimum temperature sum for foliage activity onset as growing degree days  (GDD) , and the values reported therein of tephrosia genus vegetation (e.g.  tephrosia elata ). Provide the links to the scientific article</v>
      </c>
      <c r="CB34">
        <f t="shared" si="19"/>
        <v>0</v>
      </c>
      <c r="CC34">
        <f t="shared" si="20"/>
        <v>0</v>
      </c>
      <c r="CD34">
        <f t="shared" si="21"/>
        <v>0</v>
      </c>
      <c r="CE34">
        <f t="shared" si="22"/>
        <v>0</v>
      </c>
    </row>
    <row r="35" spans="1:83" ht="129.6" customHeight="1" x14ac:dyDescent="0.3">
      <c r="A35" s="19" t="s">
        <v>916</v>
      </c>
      <c r="B35" s="19"/>
      <c r="C35" s="19"/>
      <c r="D35" t="s">
        <v>1523</v>
      </c>
      <c r="E35" s="31"/>
      <c r="F35" s="31"/>
      <c r="G35" s="31"/>
      <c r="H35" s="31"/>
      <c r="I35" s="31"/>
      <c r="L35">
        <f t="shared" si="35"/>
        <v>0</v>
      </c>
      <c r="M35" t="e">
        <f>#REF!</f>
        <v>#REF!</v>
      </c>
      <c r="N35" t="e">
        <f>#REF!</f>
        <v>#REF!</v>
      </c>
      <c r="O35" s="29" t="e">
        <f t="shared" si="29"/>
        <v>#REF!</v>
      </c>
      <c r="S35" t="s">
        <v>1566</v>
      </c>
      <c r="T35" t="s">
        <v>88</v>
      </c>
      <c r="U35">
        <v>10</v>
      </c>
      <c r="V35">
        <v>15</v>
      </c>
      <c r="W35">
        <f t="shared" si="11"/>
        <v>12.5</v>
      </c>
      <c r="X35" s="37" t="str">
        <f t="shared" si="6"/>
        <v>studies which report the base tempeature for growing degree days as   () , and the values reported therein, of red oat grass  (Themeda triandra) under semi-arid environments. Provide the links to the scientific article</v>
      </c>
      <c r="Y35" t="s">
        <v>1571</v>
      </c>
      <c r="Z35" t="s">
        <v>1570</v>
      </c>
      <c r="AA35" t="s">
        <v>2553</v>
      </c>
      <c r="AB35" t="s">
        <v>1535</v>
      </c>
      <c r="AF35" s="37" t="str">
        <f t="shared" si="12"/>
        <v>studies which report the base tempeature for growing degree days as   () , and the values reported therein, of bermuda grass (cynodon dactylon) under semi-arid environments. Provide the links to the scientific article</v>
      </c>
      <c r="AI35">
        <f t="shared" si="13"/>
        <v>5.625</v>
      </c>
      <c r="AJ35">
        <f t="shared" si="14"/>
        <v>5.625</v>
      </c>
      <c r="AK35">
        <f t="shared" si="15"/>
        <v>6.25</v>
      </c>
      <c r="AL35">
        <f t="shared" si="16"/>
        <v>6.25</v>
      </c>
      <c r="AM35">
        <f t="shared" si="17"/>
        <v>7.5</v>
      </c>
      <c r="AU35" t="s">
        <v>1627</v>
      </c>
      <c r="AV35" t="s">
        <v>1260</v>
      </c>
      <c r="AW35" s="15" t="s">
        <v>2581</v>
      </c>
      <c r="AX35" t="s">
        <v>2580</v>
      </c>
      <c r="BC35" s="42" t="str">
        <f t="shared" si="36"/>
        <v>studies which report the base tempeature for growing degree days as   () , and the values reported therein, of  (Vachellia drepanolobium) under semi-arid environments. Provide the links to the scientific article</v>
      </c>
      <c r="BG35" t="s">
        <v>2524</v>
      </c>
      <c r="BH35" t="s">
        <v>2526</v>
      </c>
      <c r="BM35" s="42" t="str">
        <f t="shared" si="8"/>
        <v>studies which report the base tempeature for growing degree days as   () , and the values reported therein of indigofera genus vegetation (e.g.  Indigofera voharamensis, indigofera volkensii ). Provide the links to the scientific article</v>
      </c>
      <c r="BQ35" t="s">
        <v>2528</v>
      </c>
      <c r="BR35" t="s">
        <v>2529</v>
      </c>
      <c r="BX35" s="42" t="str">
        <f t="shared" si="9"/>
        <v>studies which report the base tempeature for growing degree days as   () , and the values reported therein of tephrosia genus vegetation (e.g.  tephrosia elata ). Provide the links to the scientific article</v>
      </c>
      <c r="CB35">
        <f t="shared" si="19"/>
        <v>0</v>
      </c>
      <c r="CC35">
        <f t="shared" si="20"/>
        <v>0</v>
      </c>
      <c r="CD35">
        <f t="shared" si="21"/>
        <v>0</v>
      </c>
      <c r="CE35">
        <f t="shared" si="22"/>
        <v>0</v>
      </c>
    </row>
    <row r="36" spans="1:83" ht="86.45" customHeight="1" x14ac:dyDescent="0.25">
      <c r="A36" s="19" t="s">
        <v>1237</v>
      </c>
      <c r="B36" s="19"/>
      <c r="C36" s="19"/>
      <c r="D36" t="s">
        <v>1522</v>
      </c>
      <c r="E36" t="s">
        <v>1243</v>
      </c>
      <c r="F36" s="19" t="s">
        <v>1519</v>
      </c>
      <c r="G36" s="19"/>
      <c r="H36" s="19"/>
      <c r="I36">
        <v>1200</v>
      </c>
      <c r="J36">
        <v>92</v>
      </c>
      <c r="K36">
        <v>100</v>
      </c>
      <c r="L36">
        <f t="shared" si="35"/>
        <v>96</v>
      </c>
      <c r="M36" t="e">
        <f t="shared" si="31"/>
        <v>#REF!</v>
      </c>
      <c r="N36" t="e">
        <f t="shared" si="32"/>
        <v>#REF!</v>
      </c>
      <c r="O36" s="29" t="e">
        <f t="shared" si="29"/>
        <v>#REF!</v>
      </c>
      <c r="P36" s="27"/>
      <c r="Q36" t="s">
        <v>1259</v>
      </c>
      <c r="S36" t="s">
        <v>1566</v>
      </c>
      <c r="T36" t="s">
        <v>88</v>
      </c>
      <c r="U36">
        <v>180</v>
      </c>
      <c r="V36">
        <v>255</v>
      </c>
      <c r="W36">
        <f t="shared" si="11"/>
        <v>217.5</v>
      </c>
      <c r="X36" s="37" t="str">
        <f t="shared" si="6"/>
        <v>studies which report the growing degree days until beginning of emergence as days  (GDD) , and the values reported therein, of red oat grass  (Themeda triandra) under semi-arid environments. Provide the links to the scientific article</v>
      </c>
      <c r="Z36" t="s">
        <v>1570</v>
      </c>
      <c r="AA36" t="s">
        <v>2553</v>
      </c>
      <c r="AB36" t="s">
        <v>1535</v>
      </c>
      <c r="AF36" s="37" t="str">
        <f t="shared" si="12"/>
        <v>studies which report the growing degree days until beginning of emergence as days  (GDD) , and the values reported therein, of bermuda grass (cynodon dactylon) under semi-arid environments. Provide the links to the scientific article</v>
      </c>
      <c r="AI36">
        <f t="shared" si="13"/>
        <v>126.675</v>
      </c>
      <c r="AJ36">
        <f t="shared" si="14"/>
        <v>126.675</v>
      </c>
      <c r="AK36">
        <f t="shared" si="15"/>
        <v>147.15</v>
      </c>
      <c r="AL36">
        <f t="shared" si="16"/>
        <v>147.15</v>
      </c>
      <c r="AM36">
        <f t="shared" si="17"/>
        <v>159.30000000000001</v>
      </c>
      <c r="AU36" t="s">
        <v>1627</v>
      </c>
      <c r="AV36" t="s">
        <v>1260</v>
      </c>
      <c r="AW36" s="15" t="s">
        <v>2581</v>
      </c>
      <c r="AX36" t="s">
        <v>2580</v>
      </c>
      <c r="BC36" s="42" t="str">
        <f t="shared" si="36"/>
        <v>studies which report the growing degree days until beginning of emergence as days  (GDD) , and the values reported therein, of  (Vachellia drepanolobium) under semi-arid environments. Provide the links to the scientific article</v>
      </c>
      <c r="BG36" t="s">
        <v>2524</v>
      </c>
      <c r="BH36" t="s">
        <v>2526</v>
      </c>
      <c r="BM36" s="42" t="str">
        <f t="shared" si="8"/>
        <v>studies which report the growing degree days until beginning of emergence as days  (GDD) , and the values reported therein of indigofera genus vegetation (e.g.  Indigofera voharamensis, indigofera volkensii ). Provide the links to the scientific article</v>
      </c>
      <c r="BQ36" t="s">
        <v>2528</v>
      </c>
      <c r="BR36" t="s">
        <v>2529</v>
      </c>
      <c r="BX36" s="42" t="str">
        <f t="shared" si="9"/>
        <v>studies which report the growing degree days until beginning of emergence as days  (GDD) , and the values reported therein of tephrosia genus vegetation (e.g.  tephrosia elata ). Provide the links to the scientific article</v>
      </c>
      <c r="CB36">
        <f t="shared" si="19"/>
        <v>0</v>
      </c>
      <c r="CC36">
        <f t="shared" si="20"/>
        <v>0</v>
      </c>
      <c r="CD36">
        <f t="shared" si="21"/>
        <v>0</v>
      </c>
      <c r="CE36">
        <f t="shared" si="22"/>
        <v>0</v>
      </c>
    </row>
    <row r="37" spans="1:83" ht="75" x14ac:dyDescent="0.25">
      <c r="A37" s="19" t="s">
        <v>406</v>
      </c>
      <c r="B37" s="19"/>
      <c r="C37" s="19"/>
      <c r="D37" t="s">
        <v>1521</v>
      </c>
      <c r="E37" t="s">
        <v>1243</v>
      </c>
      <c r="F37" s="19" t="s">
        <v>1519</v>
      </c>
      <c r="G37" s="19"/>
      <c r="H37" s="19"/>
      <c r="J37">
        <v>0</v>
      </c>
      <c r="L37">
        <v>1500</v>
      </c>
      <c r="M37" t="e">
        <f t="shared" si="31"/>
        <v>#REF!</v>
      </c>
      <c r="N37" t="e">
        <f t="shared" si="32"/>
        <v>#REF!</v>
      </c>
      <c r="O37" s="29" t="e">
        <f t="shared" si="29"/>
        <v>#REF!</v>
      </c>
      <c r="Q37" s="27"/>
      <c r="S37" t="s">
        <v>1566</v>
      </c>
      <c r="T37" t="s">
        <v>88</v>
      </c>
      <c r="U37">
        <v>400</v>
      </c>
      <c r="V37">
        <v>500</v>
      </c>
      <c r="W37">
        <f t="shared" si="11"/>
        <v>450</v>
      </c>
      <c r="X37" s="37" t="str">
        <f t="shared" si="6"/>
        <v>studies which report the growing degree days until maturity as days  (GDD) , and the values reported therein, of red oat grass  (Themeda triandra) under semi-arid environments. Provide the links to the scientific article</v>
      </c>
      <c r="Y37" s="19" t="s">
        <v>1572</v>
      </c>
      <c r="Z37" s="27" t="s">
        <v>1570</v>
      </c>
      <c r="AA37" t="s">
        <v>2553</v>
      </c>
      <c r="AB37" t="s">
        <v>1535</v>
      </c>
      <c r="AF37" s="37" t="str">
        <f t="shared" si="12"/>
        <v>studies which report the growing degree days until maturity as days  (GDD) , and the values reported therein, of bermuda grass (cynodon dactylon) under semi-arid environments. Provide the links to the scientific article</v>
      </c>
      <c r="AI37">
        <f t="shared" si="13"/>
        <v>652.5</v>
      </c>
      <c r="AJ37">
        <f t="shared" si="14"/>
        <v>652.5</v>
      </c>
      <c r="AK37">
        <f t="shared" si="15"/>
        <v>825</v>
      </c>
      <c r="AL37">
        <f t="shared" si="16"/>
        <v>825</v>
      </c>
      <c r="AM37">
        <f t="shared" si="17"/>
        <v>720</v>
      </c>
      <c r="AU37" t="s">
        <v>1627</v>
      </c>
      <c r="AV37" t="s">
        <v>1260</v>
      </c>
      <c r="AW37" s="15" t="s">
        <v>2581</v>
      </c>
      <c r="AX37" t="s">
        <v>2580</v>
      </c>
      <c r="BC37" s="42" t="str">
        <f t="shared" si="36"/>
        <v>studies which report the growing degree days until maturity as days  (GDD) , and the values reported therein, of  (Vachellia drepanolobium) under semi-arid environments. Provide the links to the scientific article</v>
      </c>
      <c r="BG37" t="s">
        <v>2524</v>
      </c>
      <c r="BH37" t="s">
        <v>2526</v>
      </c>
      <c r="BM37" s="42" t="str">
        <f t="shared" si="8"/>
        <v>studies which report the growing degree days until maturity as days  (GDD) , and the values reported therein of indigofera genus vegetation (e.g.  Indigofera voharamensis, indigofera volkensii ). Provide the links to the scientific article</v>
      </c>
      <c r="BQ37" t="s">
        <v>2528</v>
      </c>
      <c r="BR37" t="s">
        <v>2529</v>
      </c>
      <c r="BX37" s="42" t="str">
        <f t="shared" si="9"/>
        <v>studies which report the growing degree days until maturity as days  (GDD) , and the values reported therein of tephrosia genus vegetation (e.g.  tephrosia elata ). Provide the links to the scientific article</v>
      </c>
      <c r="CB37">
        <f t="shared" si="19"/>
        <v>0</v>
      </c>
      <c r="CC37">
        <f t="shared" si="20"/>
        <v>0</v>
      </c>
      <c r="CD37">
        <f t="shared" si="21"/>
        <v>0</v>
      </c>
      <c r="CE37">
        <f t="shared" si="22"/>
        <v>0</v>
      </c>
    </row>
    <row r="38" spans="1:83" ht="86.45" customHeight="1" x14ac:dyDescent="0.25">
      <c r="A38" s="19" t="s">
        <v>1238</v>
      </c>
      <c r="B38" s="19"/>
      <c r="C38" s="19"/>
      <c r="D38" t="s">
        <v>1520</v>
      </c>
      <c r="E38" t="s">
        <v>1243</v>
      </c>
      <c r="F38" s="19" t="s">
        <v>1519</v>
      </c>
      <c r="G38" s="19"/>
      <c r="H38" s="19"/>
      <c r="J38">
        <v>300</v>
      </c>
      <c r="K38">
        <v>650</v>
      </c>
      <c r="L38">
        <f>J38+(K38-J38)*0.5</f>
        <v>475</v>
      </c>
      <c r="M38" t="e">
        <f t="shared" si="31"/>
        <v>#REF!</v>
      </c>
      <c r="N38" t="e">
        <f t="shared" si="32"/>
        <v>#REF!</v>
      </c>
      <c r="O38" s="29" t="e">
        <f t="shared" si="29"/>
        <v>#REF!</v>
      </c>
      <c r="P38" s="27"/>
      <c r="Q38" s="27" t="s">
        <v>1254</v>
      </c>
      <c r="S38" t="s">
        <v>1566</v>
      </c>
      <c r="T38" t="s">
        <v>88</v>
      </c>
      <c r="U38">
        <v>500</v>
      </c>
      <c r="V38">
        <v>800</v>
      </c>
      <c r="W38">
        <f t="shared" si="11"/>
        <v>650</v>
      </c>
      <c r="X38" s="37" t="str">
        <f t="shared" si="6"/>
        <v>studies which report the growing degree days until begin of stem elongation as days  (GDD) , and the values reported therein, of red oat grass  (Themeda triandra) under semi-arid environments. Provide the links to the scientific article</v>
      </c>
      <c r="Y38" s="19" t="s">
        <v>1572</v>
      </c>
      <c r="Z38" t="s">
        <v>1573</v>
      </c>
      <c r="AA38" t="s">
        <v>2553</v>
      </c>
      <c r="AB38" t="s">
        <v>1535</v>
      </c>
      <c r="AF38" s="37" t="str">
        <f t="shared" si="12"/>
        <v>studies which report the growing degree days until begin of stem elongation as days  (GDD) , and the values reported therein, of bermuda grass (cynodon dactylon) under semi-arid environments. Provide the links to the scientific article</v>
      </c>
      <c r="AI38">
        <f t="shared" si="13"/>
        <v>435</v>
      </c>
      <c r="AJ38">
        <f t="shared" si="14"/>
        <v>435</v>
      </c>
      <c r="AK38">
        <f t="shared" si="15"/>
        <v>515</v>
      </c>
      <c r="AL38">
        <f t="shared" si="16"/>
        <v>515</v>
      </c>
      <c r="AM38">
        <f t="shared" si="17"/>
        <v>532.5</v>
      </c>
      <c r="AU38" t="s">
        <v>1627</v>
      </c>
      <c r="AV38" t="s">
        <v>1260</v>
      </c>
      <c r="AW38" s="15" t="s">
        <v>2581</v>
      </c>
      <c r="AX38" t="s">
        <v>2580</v>
      </c>
      <c r="BC38" s="42" t="str">
        <f t="shared" si="36"/>
        <v>studies which report the growing degree days until begin of stem elongation as days  (GDD) , and the values reported therein, of  (Vachellia drepanolobium) under semi-arid environments. Provide the links to the scientific article</v>
      </c>
      <c r="BG38" t="s">
        <v>2524</v>
      </c>
      <c r="BH38" t="s">
        <v>2526</v>
      </c>
      <c r="BM38" s="42" t="str">
        <f t="shared" si="8"/>
        <v>studies which report the growing degree days until begin of stem elongation as days  (GDD) , and the values reported therein of indigofera genus vegetation (e.g.  Indigofera voharamensis, indigofera volkensii ). Provide the links to the scientific article</v>
      </c>
      <c r="BQ38" t="s">
        <v>2528</v>
      </c>
      <c r="BR38" t="s">
        <v>2529</v>
      </c>
      <c r="BX38" s="42" t="str">
        <f t="shared" si="9"/>
        <v>studies which report the growing degree days until begin of stem elongation as days  (GDD) , and the values reported therein of tephrosia genus vegetation (e.g.  tephrosia elata ). Provide the links to the scientific article</v>
      </c>
      <c r="CB38">
        <f t="shared" si="19"/>
        <v>0</v>
      </c>
      <c r="CC38">
        <f t="shared" si="20"/>
        <v>0</v>
      </c>
      <c r="CD38">
        <f t="shared" si="21"/>
        <v>0</v>
      </c>
      <c r="CE38">
        <f t="shared" si="22"/>
        <v>0</v>
      </c>
    </row>
    <row r="39" spans="1:83" ht="90" x14ac:dyDescent="0.25">
      <c r="A39" s="19" t="s">
        <v>407</v>
      </c>
      <c r="B39" s="19"/>
      <c r="C39" s="19"/>
      <c r="D39" t="s">
        <v>1516</v>
      </c>
      <c r="E39" t="s">
        <v>1518</v>
      </c>
      <c r="F39" s="19" t="s">
        <v>1519</v>
      </c>
      <c r="G39" s="19"/>
      <c r="H39" s="19"/>
      <c r="J39">
        <v>1200</v>
      </c>
      <c r="K39">
        <v>1500</v>
      </c>
      <c r="L39">
        <f t="shared" ref="L39:L42" si="37">J39+(K39-J39)*0.5</f>
        <v>1350</v>
      </c>
      <c r="M39" t="e">
        <f>#REF!</f>
        <v>#REF!</v>
      </c>
      <c r="N39" t="e">
        <f>#REF!</f>
        <v>#REF!</v>
      </c>
      <c r="O39" s="29" t="e">
        <f t="shared" si="29"/>
        <v>#REF!</v>
      </c>
      <c r="Q39" t="s">
        <v>1259</v>
      </c>
      <c r="S39" t="s">
        <v>1566</v>
      </c>
      <c r="T39" t="s">
        <v>88</v>
      </c>
      <c r="U39">
        <v>850</v>
      </c>
      <c r="V39">
        <v>1100</v>
      </c>
      <c r="W39">
        <f t="shared" si="11"/>
        <v>975</v>
      </c>
      <c r="X39" s="37" t="str">
        <f t="shared" si="6"/>
        <v>studies which report the growing degree days until downwards root growth ceases as growing degree days  (GDD) , and the values reported therein, of red oat grass  (Themeda triandra) under semi-arid environments. Provide the links to the scientific article</v>
      </c>
      <c r="Y39" t="s">
        <v>1574</v>
      </c>
      <c r="Z39" t="s">
        <v>1575</v>
      </c>
      <c r="AA39" t="s">
        <v>2553</v>
      </c>
      <c r="AB39" t="s">
        <v>1535</v>
      </c>
      <c r="AF39" s="37" t="str">
        <f t="shared" si="12"/>
        <v>studies which report the growing degree days until downwards root growth ceases as growing degree days  (GDD) , and the values reported therein, of bermuda grass (cynodon dactylon) under semi-arid environments. Provide the links to the scientific article</v>
      </c>
      <c r="AI39">
        <f t="shared" si="13"/>
        <v>843.75</v>
      </c>
      <c r="AJ39">
        <f t="shared" si="14"/>
        <v>843.75</v>
      </c>
      <c r="AK39">
        <f t="shared" si="15"/>
        <v>1027.5</v>
      </c>
      <c r="AL39">
        <f t="shared" si="16"/>
        <v>1027.5</v>
      </c>
      <c r="AM39">
        <f t="shared" si="17"/>
        <v>990</v>
      </c>
      <c r="AU39" t="s">
        <v>1627</v>
      </c>
      <c r="AV39" t="s">
        <v>1260</v>
      </c>
      <c r="AW39" s="15" t="s">
        <v>2581</v>
      </c>
      <c r="AX39" t="s">
        <v>2580</v>
      </c>
      <c r="BC39" s="42" t="str">
        <f t="shared" si="36"/>
        <v>studies which report the growing degree days until downwards root growth ceases as growing degree days  (GDD) , and the values reported therein, of  (Vachellia drepanolobium) under semi-arid environments. Provide the links to the scientific article</v>
      </c>
      <c r="BG39" t="s">
        <v>2524</v>
      </c>
      <c r="BH39" t="s">
        <v>2526</v>
      </c>
      <c r="BM39" s="42" t="str">
        <f t="shared" si="8"/>
        <v>studies which report the growing degree days until downwards root growth ceases as growing degree days  (GDD) , and the values reported therein of indigofera genus vegetation (e.g.  Indigofera voharamensis, indigofera volkensii ). Provide the links to the scientific article</v>
      </c>
      <c r="BQ39" t="s">
        <v>2528</v>
      </c>
      <c r="BR39" t="s">
        <v>2529</v>
      </c>
      <c r="BX39" s="42" t="str">
        <f t="shared" si="9"/>
        <v>studies which report the growing degree days until downwards root growth ceases as growing degree days  (GDD) , and the values reported therein of tephrosia genus vegetation (e.g.  tephrosia elata ). Provide the links to the scientific article</v>
      </c>
      <c r="CB39">
        <f t="shared" si="19"/>
        <v>0</v>
      </c>
      <c r="CC39">
        <f t="shared" si="20"/>
        <v>0</v>
      </c>
      <c r="CD39">
        <f t="shared" si="21"/>
        <v>0</v>
      </c>
      <c r="CE39">
        <f t="shared" si="22"/>
        <v>0</v>
      </c>
    </row>
    <row r="40" spans="1:83" ht="86.45" customHeight="1" x14ac:dyDescent="0.25">
      <c r="A40" s="19" t="s">
        <v>1239</v>
      </c>
      <c r="B40" s="19"/>
      <c r="C40" s="19"/>
      <c r="D40" t="s">
        <v>1517</v>
      </c>
      <c r="E40" t="s">
        <v>1243</v>
      </c>
      <c r="F40" s="19" t="s">
        <v>1519</v>
      </c>
      <c r="G40" s="19"/>
      <c r="H40" s="19"/>
      <c r="J40">
        <v>350</v>
      </c>
      <c r="K40">
        <v>500</v>
      </c>
      <c r="L40">
        <f t="shared" si="37"/>
        <v>425</v>
      </c>
      <c r="M40" t="e">
        <f>M39</f>
        <v>#REF!</v>
      </c>
      <c r="N40" t="e">
        <f>N39</f>
        <v>#REF!</v>
      </c>
      <c r="O40" s="29" t="e">
        <f t="shared" ref="O40:O41" si="38">_xlfn.CONCAT("studies which report the ",D40," as ",E40,"  (",F40,") , and the values reported therein, of ",M40, " (",N40, ") under semi-arid environments. Provide the links to the scientific article")</f>
        <v>#REF!</v>
      </c>
      <c r="Q40" t="s">
        <v>1253</v>
      </c>
      <c r="S40" t="s">
        <v>1566</v>
      </c>
      <c r="T40" t="s">
        <v>88</v>
      </c>
      <c r="W40">
        <v>750</v>
      </c>
      <c r="X40" s="37" t="str">
        <f>_xlfn.CONCAT("studies which report the ",D40," as ",E40,"  (",F40,") , and the values reported therein, of ",S40, " (",T40, ") under semi-arid environments. Provide the links to the scientific article")</f>
        <v>studies which report the growing degree days to complete foliar production as days  (GDD) , and the values reported therein, of red oat grass  (Themeda triandra) under semi-arid environments. Provide the links to the scientific article</v>
      </c>
      <c r="Y40" s="27" t="s">
        <v>1600</v>
      </c>
      <c r="Z40" t="s">
        <v>1599</v>
      </c>
      <c r="AA40" t="s">
        <v>2553</v>
      </c>
      <c r="AB40" t="s">
        <v>1535</v>
      </c>
      <c r="AF40" s="37" t="str">
        <f t="shared" si="12"/>
        <v>studies which report the growing degree days to complete foliar production as days  (GDD) , and the values reported therein, of bermuda grass (cynodon dactylon) under semi-arid environments. Provide the links to the scientific article</v>
      </c>
      <c r="AI40">
        <f t="shared" si="13"/>
        <v>465</v>
      </c>
      <c r="AJ40">
        <f t="shared" si="14"/>
        <v>465</v>
      </c>
      <c r="AK40">
        <f t="shared" si="15"/>
        <v>545</v>
      </c>
      <c r="AL40">
        <f t="shared" si="16"/>
        <v>545</v>
      </c>
      <c r="AM40">
        <f t="shared" si="17"/>
        <v>577.5</v>
      </c>
      <c r="AU40" t="s">
        <v>1627</v>
      </c>
      <c r="AV40" t="s">
        <v>1260</v>
      </c>
      <c r="AW40" s="15" t="s">
        <v>2581</v>
      </c>
      <c r="AX40" t="s">
        <v>2580</v>
      </c>
      <c r="BC40" s="42" t="str">
        <f t="shared" si="36"/>
        <v>studies which report the growing degree days to complete foliar production as days  (GDD) , and the values reported therein, of  (Vachellia drepanolobium) under semi-arid environments. Provide the links to the scientific article</v>
      </c>
      <c r="BG40" t="s">
        <v>2524</v>
      </c>
      <c r="BH40" t="s">
        <v>2526</v>
      </c>
      <c r="BM40" s="42" t="str">
        <f t="shared" si="8"/>
        <v>studies which report the growing degree days to complete foliar production as days  (GDD) , and the values reported therein of indigofera genus vegetation (e.g.  Indigofera voharamensis, indigofera volkensii ). Provide the links to the scientific article</v>
      </c>
      <c r="BQ40" t="s">
        <v>2528</v>
      </c>
      <c r="BR40" t="s">
        <v>2529</v>
      </c>
      <c r="BX40" s="42" t="str">
        <f t="shared" si="9"/>
        <v>studies which report the growing degree days to complete foliar production as days  (GDD) , and the values reported therein of tephrosia genus vegetation (e.g.  tephrosia elata ). Provide the links to the scientific article</v>
      </c>
      <c r="CB40">
        <f t="shared" si="19"/>
        <v>0</v>
      </c>
      <c r="CC40">
        <f t="shared" si="20"/>
        <v>0</v>
      </c>
      <c r="CD40">
        <f t="shared" si="21"/>
        <v>0</v>
      </c>
      <c r="CE40">
        <f t="shared" si="22"/>
        <v>0</v>
      </c>
    </row>
    <row r="41" spans="1:83" ht="90" x14ac:dyDescent="0.25">
      <c r="A41" s="34" t="s">
        <v>109</v>
      </c>
      <c r="B41" s="19"/>
      <c r="C41" s="19"/>
      <c r="D41" t="s">
        <v>1174</v>
      </c>
      <c r="E41" t="s">
        <v>1243</v>
      </c>
      <c r="I41">
        <v>45</v>
      </c>
      <c r="L41">
        <v>45</v>
      </c>
      <c r="M41" t="e">
        <f>#REF!</f>
        <v>#REF!</v>
      </c>
      <c r="N41" t="e">
        <f>#REF!</f>
        <v>#REF!</v>
      </c>
      <c r="O41" s="29" t="e">
        <f t="shared" si="38"/>
        <v>#REF!</v>
      </c>
      <c r="P41" t="s">
        <v>1244</v>
      </c>
      <c r="Q41" t="s">
        <v>1245</v>
      </c>
      <c r="S41" t="s">
        <v>1566</v>
      </c>
      <c r="T41" t="s">
        <v>88</v>
      </c>
      <c r="U41">
        <v>50</v>
      </c>
      <c r="V41">
        <v>140</v>
      </c>
      <c r="W41">
        <v>42</v>
      </c>
      <c r="X41" s="37" t="str">
        <f>_xlfn.CONCAT("studies which report the ",D41," as ",E41,"  (",F41,") , and the values reported therein, of ",S41, " (",T41, ") under semi-arid environments. Provide the links to the scientific article")</f>
        <v>studies which report the Time interval necessary to complete growth of new foliage as days  () , and the values reported therein, of red oat grass  (Themeda triandra) under semi-arid environments. Provide the links to the scientific article</v>
      </c>
      <c r="Y41" s="27" t="s">
        <v>1569</v>
      </c>
      <c r="Z41" s="27" t="s">
        <v>1634</v>
      </c>
      <c r="AA41" t="s">
        <v>2553</v>
      </c>
      <c r="AB41" t="s">
        <v>1535</v>
      </c>
      <c r="AF41" s="37" t="str">
        <f t="shared" si="12"/>
        <v>studies which report the Time interval necessary to complete growth of new foliage as days  () , and the values reported therein, of bermuda grass (cynodon dactylon) under semi-arid environments. Provide the links to the scientific article</v>
      </c>
      <c r="AI41">
        <f t="shared" si="13"/>
        <v>32.400000000000006</v>
      </c>
      <c r="AJ41">
        <f t="shared" si="14"/>
        <v>32.400000000000006</v>
      </c>
      <c r="AK41">
        <f t="shared" si="15"/>
        <v>39</v>
      </c>
      <c r="AL41">
        <f t="shared" si="16"/>
        <v>39</v>
      </c>
      <c r="AM41">
        <f t="shared" si="17"/>
        <v>38.700000000000003</v>
      </c>
      <c r="AU41" t="s">
        <v>1627</v>
      </c>
      <c r="AV41" t="s">
        <v>1260</v>
      </c>
      <c r="AW41" s="15" t="s">
        <v>2581</v>
      </c>
      <c r="AX41" t="s">
        <v>2580</v>
      </c>
      <c r="BC41" s="42" t="str">
        <f t="shared" si="36"/>
        <v>studies which report the Time interval necessary to complete growth of new foliage as days  () , and the values reported therein, of  (Vachellia drepanolobium) under semi-arid environments. Provide the links to the scientific article</v>
      </c>
      <c r="BG41" t="s">
        <v>2524</v>
      </c>
      <c r="BH41" t="s">
        <v>2526</v>
      </c>
      <c r="BJ41">
        <v>14</v>
      </c>
      <c r="BK41">
        <v>30</v>
      </c>
      <c r="BL41">
        <v>30</v>
      </c>
      <c r="BM41" s="42" t="str">
        <f t="shared" si="8"/>
        <v>studies which report the Time interval necessary to complete growth of new foliage as days  () , and the values reported therein of indigofera genus vegetation (e.g.  Indigofera voharamensis, indigofera volkensii ). Provide the links to the scientific article</v>
      </c>
      <c r="BO41" t="s">
        <v>1632</v>
      </c>
      <c r="BQ41" t="s">
        <v>2528</v>
      </c>
      <c r="BR41" t="s">
        <v>2529</v>
      </c>
      <c r="BX41" s="42" t="str">
        <f t="shared" si="9"/>
        <v>studies which report the Time interval necessary to complete growth of new foliage as days  () , and the values reported therein of tephrosia genus vegetation (e.g.  tephrosia elata ). Provide the links to the scientific article</v>
      </c>
      <c r="CB41">
        <f t="shared" si="19"/>
        <v>12</v>
      </c>
      <c r="CC41">
        <f t="shared" si="20"/>
        <v>15</v>
      </c>
      <c r="CD41">
        <f t="shared" si="21"/>
        <v>18</v>
      </c>
      <c r="CE41">
        <f t="shared" si="22"/>
        <v>21</v>
      </c>
    </row>
    <row r="42" spans="1:83" ht="86.45" customHeight="1" thickBot="1" x14ac:dyDescent="0.3">
      <c r="A42" s="34" t="s">
        <v>110</v>
      </c>
      <c r="B42" s="19"/>
      <c r="C42" s="19"/>
      <c r="D42" t="s">
        <v>1623</v>
      </c>
      <c r="E42" t="s">
        <v>1243</v>
      </c>
      <c r="J42">
        <v>42</v>
      </c>
      <c r="K42">
        <v>56</v>
      </c>
      <c r="L42">
        <f t="shared" si="37"/>
        <v>49</v>
      </c>
      <c r="M42" t="e">
        <f t="shared" si="31"/>
        <v>#REF!</v>
      </c>
      <c r="N42" t="e">
        <f t="shared" si="32"/>
        <v>#REF!</v>
      </c>
      <c r="O42" s="29" t="e">
        <f t="shared" ref="O42" si="39">_xlfn.CONCAT("studies which report the ",D42," as ",E42,"  (",F42,") , and the values reported therein, of ",M42, " (",N42, ") under semi-arid environments. Provide the links to the scientific article")</f>
        <v>#REF!</v>
      </c>
      <c r="Q42" t="s">
        <v>1249</v>
      </c>
      <c r="S42" t="s">
        <v>1566</v>
      </c>
      <c r="T42" t="s">
        <v>88</v>
      </c>
      <c r="W42">
        <v>50</v>
      </c>
      <c r="X42" s="37" t="str">
        <f>_xlfn.CONCAT("studies which report the ",D42," as ",E42,"  (",F42,") , and the values reported therein, of ",S42, " (",T42, ") under semi-arid environments. Provide the links to the scientific article")</f>
        <v>studies which report the duration of senescence  as days  () , and the values reported therein, of red oat grass  (Themeda triandra) under semi-arid environments. Provide the links to the scientific article</v>
      </c>
      <c r="Y42" s="42" t="s">
        <v>1625</v>
      </c>
      <c r="Z42" s="27" t="s">
        <v>1624</v>
      </c>
      <c r="AA42" t="s">
        <v>2553</v>
      </c>
      <c r="AB42" t="s">
        <v>1535</v>
      </c>
      <c r="AF42" s="37" t="str">
        <f t="shared" si="12"/>
        <v>studies which report the duration of senescence  as days  () , and the values reported therein, of bermuda grass (cynodon dactylon) under semi-arid environments. Provide the links to the scientific article</v>
      </c>
      <c r="AI42">
        <f t="shared" si="13"/>
        <v>37.200000000000003</v>
      </c>
      <c r="AJ42">
        <f t="shared" si="14"/>
        <v>37.200000000000003</v>
      </c>
      <c r="AK42">
        <f t="shared" si="15"/>
        <v>44.6</v>
      </c>
      <c r="AL42">
        <f t="shared" si="16"/>
        <v>44.6</v>
      </c>
      <c r="AM42">
        <f t="shared" si="17"/>
        <v>44.7</v>
      </c>
      <c r="AU42" t="s">
        <v>1627</v>
      </c>
      <c r="AV42" t="s">
        <v>1260</v>
      </c>
      <c r="AW42" s="15" t="s">
        <v>2581</v>
      </c>
      <c r="AX42" t="s">
        <v>2580</v>
      </c>
      <c r="BC42" s="42" t="str">
        <f t="shared" si="36"/>
        <v>studies which report the duration of senescence  as days  () , and the values reported therein, of  (Vachellia drepanolobium) under semi-arid environments. Provide the links to the scientific article</v>
      </c>
      <c r="BG42" t="s">
        <v>2524</v>
      </c>
      <c r="BH42" t="s">
        <v>2526</v>
      </c>
      <c r="BJ42">
        <v>14</v>
      </c>
      <c r="BK42">
        <v>20</v>
      </c>
      <c r="BL42">
        <v>20</v>
      </c>
      <c r="BM42" s="42" t="str">
        <f t="shared" si="8"/>
        <v>studies which report the duration of senescence  as days  () , and the values reported therein of indigofera genus vegetation (e.g.  Indigofera voharamensis, indigofera volkensii ). Provide the links to the scientific article</v>
      </c>
      <c r="BO42" t="s">
        <v>1633</v>
      </c>
      <c r="BQ42" t="s">
        <v>2528</v>
      </c>
      <c r="BR42" t="s">
        <v>2529</v>
      </c>
      <c r="BX42" s="42" t="str">
        <f t="shared" si="9"/>
        <v>studies which report the duration of senescence  as days  () , and the values reported therein of tephrosia genus vegetation (e.g.  tephrosia elata ). Provide the links to the scientific article</v>
      </c>
      <c r="CB42">
        <f t="shared" si="19"/>
        <v>8</v>
      </c>
      <c r="CC42">
        <f t="shared" si="20"/>
        <v>10</v>
      </c>
      <c r="CD42">
        <f t="shared" si="21"/>
        <v>12</v>
      </c>
      <c r="CE42">
        <f t="shared" si="22"/>
        <v>14</v>
      </c>
    </row>
    <row r="43" spans="1:83" ht="90.75" thickBot="1" x14ac:dyDescent="0.3">
      <c r="A43" s="46" t="s">
        <v>361</v>
      </c>
      <c r="D43" t="s">
        <v>2263</v>
      </c>
      <c r="E43" t="s">
        <v>1243</v>
      </c>
      <c r="F43" s="19" t="s">
        <v>1243</v>
      </c>
      <c r="G43" s="19"/>
      <c r="S43" t="s">
        <v>1566</v>
      </c>
      <c r="T43" t="s">
        <v>88</v>
      </c>
      <c r="U43">
        <v>150</v>
      </c>
      <c r="V43">
        <v>180</v>
      </c>
      <c r="X43" s="37" t="str">
        <f t="shared" ref="X43:X44" si="40">_xlfn.CONCAT("studies which report the ",D43," as ",E43,"  (",F43,") , and the values reported therein, of ",S43, " (",T43, ") under semi-arid environments. Provide the links to the scientific article")</f>
        <v>studies which report the Total leaf longevity from the first day of the emergend year on as days  (days) , and the values reported therein, of red oat grass  (Themeda triandra) under semi-arid environments. Provide the links to the scientific article</v>
      </c>
      <c r="AA43" t="s">
        <v>2553</v>
      </c>
      <c r="AB43" t="s">
        <v>1535</v>
      </c>
      <c r="AF43" s="37" t="str">
        <f t="shared" si="12"/>
        <v>studies which report the Total leaf longevity from the first day of the emergend year on as days  (days) , and the values reported therein, of bermuda grass (cynodon dactylon) under semi-arid environments. Provide the links to the scientific article</v>
      </c>
      <c r="AI43">
        <f t="shared" si="13"/>
        <v>0</v>
      </c>
      <c r="AJ43">
        <f t="shared" si="14"/>
        <v>0</v>
      </c>
      <c r="AK43">
        <f t="shared" si="15"/>
        <v>0</v>
      </c>
      <c r="AL43">
        <f t="shared" si="16"/>
        <v>0</v>
      </c>
      <c r="AM43">
        <f t="shared" si="17"/>
        <v>0</v>
      </c>
      <c r="AU43" t="s">
        <v>1627</v>
      </c>
      <c r="AV43" t="s">
        <v>1260</v>
      </c>
      <c r="AW43" s="15" t="s">
        <v>2581</v>
      </c>
      <c r="AX43" t="s">
        <v>2580</v>
      </c>
      <c r="BG43" t="s">
        <v>2524</v>
      </c>
      <c r="BH43" t="s">
        <v>2526</v>
      </c>
      <c r="BM43" s="42" t="str">
        <f t="shared" si="8"/>
        <v>studies which report the Total leaf longevity from the first day of the emergend year on as days  (days) , and the values reported therein of indigofera genus vegetation (e.g.  Indigofera voharamensis, indigofera volkensii ). Provide the links to the scientific article</v>
      </c>
      <c r="BQ43" t="s">
        <v>2528</v>
      </c>
      <c r="BR43" t="s">
        <v>2529</v>
      </c>
      <c r="BX43" s="42" t="str">
        <f t="shared" si="9"/>
        <v>studies which report the Total leaf longevity from the first day of the emergend year on as days  (days) , and the values reported therein of tephrosia genus vegetation (e.g.  tephrosia elata ). Provide the links to the scientific article</v>
      </c>
      <c r="CB43">
        <f t="shared" si="19"/>
        <v>0</v>
      </c>
      <c r="CC43">
        <f t="shared" si="20"/>
        <v>0</v>
      </c>
      <c r="CD43">
        <f t="shared" si="21"/>
        <v>0</v>
      </c>
      <c r="CE43">
        <f t="shared" si="22"/>
        <v>0</v>
      </c>
    </row>
    <row r="44" spans="1:83" ht="90.75" thickBot="1" x14ac:dyDescent="0.3">
      <c r="A44" s="47" t="s">
        <v>2261</v>
      </c>
      <c r="D44" t="s">
        <v>2262</v>
      </c>
      <c r="E44" t="s">
        <v>1234</v>
      </c>
      <c r="F44" s="19" t="s">
        <v>1234</v>
      </c>
      <c r="G44" s="19"/>
      <c r="S44" t="s">
        <v>1566</v>
      </c>
      <c r="T44" t="s">
        <v>88</v>
      </c>
      <c r="U44">
        <v>0.5</v>
      </c>
      <c r="V44">
        <v>0.6</v>
      </c>
      <c r="X44" s="37" t="str">
        <f t="shared" si="40"/>
        <v>studies which report the Maximum percentage of living biomass being subject to senescence due to age as fraction  (fraction) , and the values reported therein, of red oat grass  (Themeda triandra) under semi-arid environments. Provide the links to the scientific article</v>
      </c>
      <c r="AA44" t="s">
        <v>2553</v>
      </c>
      <c r="AB44" t="s">
        <v>1535</v>
      </c>
      <c r="AF44" s="37" t="str">
        <f t="shared" si="12"/>
        <v>studies which report the Maximum percentage of living biomass being subject to senescence due to age as fraction  (fraction) , and the values reported therein, of bermuda grass (cynodon dactylon) under semi-arid environments. Provide the links to the scientific article</v>
      </c>
      <c r="AI44">
        <f t="shared" si="13"/>
        <v>0</v>
      </c>
      <c r="AJ44">
        <f t="shared" si="14"/>
        <v>0</v>
      </c>
      <c r="AK44">
        <f t="shared" si="15"/>
        <v>0</v>
      </c>
      <c r="AL44">
        <f t="shared" si="16"/>
        <v>0</v>
      </c>
      <c r="AM44">
        <f t="shared" si="17"/>
        <v>0</v>
      </c>
      <c r="AU44" t="s">
        <v>1627</v>
      </c>
      <c r="AV44" t="s">
        <v>1260</v>
      </c>
      <c r="AW44" s="15" t="s">
        <v>2581</v>
      </c>
      <c r="AX44" t="s">
        <v>2580</v>
      </c>
      <c r="BG44" t="s">
        <v>2524</v>
      </c>
      <c r="BH44" t="s">
        <v>2526</v>
      </c>
      <c r="BM44" s="42" t="str">
        <f t="shared" si="8"/>
        <v>studies which report the Maximum percentage of living biomass being subject to senescence due to age as fraction  (fraction) , and the values reported therein of indigofera genus vegetation (e.g.  Indigofera voharamensis, indigofera volkensii ). Provide the links to the scientific article</v>
      </c>
      <c r="BQ44" t="s">
        <v>2528</v>
      </c>
      <c r="BR44" t="s">
        <v>2529</v>
      </c>
      <c r="BX44" s="42" t="str">
        <f t="shared" si="9"/>
        <v>studies which report the Maximum percentage of living biomass being subject to senescence due to age as fraction  (fraction) , and the values reported therein of tephrosia genus vegetation (e.g.  tephrosia elata ). Provide the links to the scientific article</v>
      </c>
      <c r="CB44">
        <f t="shared" si="19"/>
        <v>0</v>
      </c>
      <c r="CC44">
        <f t="shared" si="20"/>
        <v>0</v>
      </c>
      <c r="CD44">
        <f t="shared" si="21"/>
        <v>0</v>
      </c>
      <c r="CE44">
        <f t="shared" si="22"/>
        <v>0</v>
      </c>
    </row>
    <row r="76" spans="4:4" x14ac:dyDescent="0.25">
      <c r="D76" t="s">
        <v>1221</v>
      </c>
    </row>
    <row r="77" spans="4:4" x14ac:dyDescent="0.25">
      <c r="D77" t="s">
        <v>1222</v>
      </c>
    </row>
    <row r="78" spans="4:4" x14ac:dyDescent="0.25">
      <c r="D78" t="s">
        <v>1219</v>
      </c>
    </row>
    <row r="79" spans="4:4" x14ac:dyDescent="0.25">
      <c r="D79" t="s">
        <v>1223</v>
      </c>
    </row>
  </sheetData>
  <phoneticPr fontId="13" type="noConversion"/>
  <hyperlinks>
    <hyperlink ref="Q29" r:id="rId1" xr:uid="{92FA8FFF-A8DF-4FFA-A21F-D599C2E4E87A}"/>
    <hyperlink ref="Q38" r:id="rId2" display="https://www.google.com/search?q=studies+which+report+the+Growing+degree+days+until+begin+of+stem+elongation.+as+%28%29+%2C+and+the+values+reported+therein%2C+of+Cenchrus+grass+species+%28Cenchrus+ciliaris%2C+Cenchrus+purpureus%2C+Cenchrus+setiger%2C+Cenchrus+setaceus%2C+Cenchrus+biflorus%2C+Cenchrus+Mezianus+%29+under+semi-arid+environments.+Please+also+provide+the+link+to+the+scientific+articles&amp;sxsrf=ANbL-n4G3k24auADRhosyp_RXf4nOBIawA%3A1771924614861" xr:uid="{09B5BB3D-4323-4302-A1E8-EFCC25E794E4}"/>
    <hyperlink ref="Q27" r:id="rId3" xr:uid="{A4EF2DE3-C098-48AB-9F18-C8332EC5709C}"/>
    <hyperlink ref="Q9" r:id="rId4" xr:uid="{239A7A37-C32C-4822-883E-9E2B5FB6333C}"/>
    <hyperlink ref="Y41" r:id="rId5" display="https://www.tandfonline.com/doi/full/10.1080/23311932.2022.2153964" xr:uid="{55501277-7C68-4D12-954C-5963AA70E895}"/>
    <hyperlink ref="Y32" display="Mapfumo, S., et al. (2021). Ranking Species for Veld Restoration in Semi-Arid Regions Using Agronomic, Morphological and Chemical Parameters of Selected Grass Species. Agronomy, 11(1), 52. https://doi.org/10.3390/agronomy11010052" xr:uid="{CA7535D5-83CC-40A8-A546-865A9B19D6AF}"/>
    <hyperlink ref="Y29" display="Snyman, H. A. (2003). Revegetation of bare patches in a semi-arid rangeland of South Africa: an evaluation. Journal of Arid Environments, 54(3), 557-571. https://doi.org/10.1016/S0140-1963(02)00295-1" xr:uid="{67A1C5C1-756F-42DA-9145-42157141A8C5}"/>
    <hyperlink ref="Y20" r:id="rId6" display="https://www.researchgate.net/scientific-contributions/W-L-J-Van-Rensburg-2002356944" xr:uid="{8F92C45D-C9D9-44D9-AE97-F57F7BE19D4D}"/>
    <hyperlink ref="Y19" display="https://www.fao.org/4/x5491e/x5491e0t.htmand University of Nairobi. (n.d.). Primary Production of a Grassland in Nairobi National Park, Kenya. https://erepository.uonbi.ac.ke/bitstream/handle/11295/73119/Full%20Text.pdf" xr:uid="{A1C5AAF4-DC95-4BCD-8FC6-AEAD66C28208}"/>
    <hyperlink ref="Y25" display="Link to Article (PDF via INRAE)" xr:uid="{35D2C220-0700-4BBF-802D-0E4F12D46D25}"/>
    <hyperlink ref="Y40" r:id="rId7" display="https://www.researchgate.net/publication/263842964_Sward_Structural_Characteristics_and_Performance_of_Beef_Heifers_Reared_under_Rotational_Grazing_Management_on_Campos_Grassland" xr:uid="{56A86B53-F767-41C0-867C-E0EFE85CD4B5}"/>
    <hyperlink ref="Z22" r:id="rId8" xr:uid="{6AE7DC14-6681-4EBF-B4EA-A1EA6C06A8DD}"/>
    <hyperlink ref="Y3" r:id="rId9" display="https://doi.org/10.64898/2026.03.04.709158" xr:uid="{0E7721B5-CA5A-4A7A-A88C-BC398C974A9A}"/>
    <hyperlink ref="Y4" r:id="rId10" display="https://pmc.ncbi.nlm.nih.gov/articles/PMC2826257/" xr:uid="{755B965F-7A93-4D35-80CD-A4264BE9B204}"/>
    <hyperlink ref="Y8" display="(2026). Trait-climate relations in Themeda triandra. bioRxiv. https://doi.org/10.1101/2026.03.04.709158" xr:uid="{BB371F4C-86BC-47E9-8DFE-4B8BD65A70F2}"/>
    <hyperlink ref="Z28" r:id="rId11" xr:uid="{4B9DDB60-0194-48F8-B504-FC42E7D1E04B}"/>
    <hyperlink ref="Z31" r:id="rId12" xr:uid="{A29283A2-5591-4648-9096-66461E906C12}"/>
    <hyperlink ref="Z19" r:id="rId13" xr:uid="{B9AD4559-14BB-479F-BCB1-700091724ECC}"/>
    <hyperlink ref="Z42" r:id="rId14" xr:uid="{6D04DE1E-5D68-44C4-9417-17CF63225BAC}"/>
    <hyperlink ref="Z4" r:id="rId15" xr:uid="{5459B03A-B432-4E63-AB32-F9CBF67E20A2}"/>
    <hyperlink ref="Z25" r:id="rId16" xr:uid="{C6A9F3D6-5BDA-4090-A603-2903F22EAD08}"/>
    <hyperlink ref="Z24" r:id="rId17" xr:uid="{0EF2A8F9-3FD8-4A50-97F9-79A38A432855}"/>
    <hyperlink ref="Z20" r:id="rId18" xr:uid="{CDFD4C7A-4800-45F0-BCE2-94E06446BFD3}"/>
    <hyperlink ref="Z37" r:id="rId19" xr:uid="{634829B2-A58F-4D50-8979-15667DA255A3}"/>
    <hyperlink ref="Z41" r:id="rId20" xr:uid="{834742FE-D166-4728-9C36-710BA196FACD}"/>
    <hyperlink ref="Z6" r:id="rId21" xr:uid="{44FD9A58-B4DC-45FF-B2AE-94CB95620ACF}"/>
    <hyperlink ref="Z12" r:id="rId22" xr:uid="{68B47170-728A-4C6F-843D-457A90EB38E6}"/>
    <hyperlink ref="BO29" r:id="rId23" xr:uid="{1616841E-111E-4AFB-869D-73C9BC60EA70}"/>
    <hyperlink ref="BO31" r:id="rId24" xr:uid="{EBF9DA2E-ECA2-4F40-A924-D9E714D558A5}"/>
    <hyperlink ref="AG4" r:id="rId25" display="https://www.google.com/search?q=https://doi.org/10.1093/jxb/erq071" xr:uid="{CD9A6BBA-52D0-464D-9543-7E67888D11A2}"/>
    <hyperlink ref="AG7" r:id="rId26" display="https://www.google.com/search?q=https://doi.org/10.1093/jexbot/53.369.609" xr:uid="{F5E2B0CA-205F-4FEB-91D0-C727F8A2B09B}"/>
    <hyperlink ref="AH8" r:id="rId27" xr:uid="{7A5CBB01-8EFC-4E0C-84F1-756C055F8C96}"/>
    <hyperlink ref="Q7" r:id="rId28" xr:uid="{510D52E0-7518-4AA3-91E5-7E22E4918A2C}"/>
    <hyperlink ref="Z7" r:id="rId29" xr:uid="{56F2A1CD-4D64-4797-B474-E8EDDEB08E64}"/>
  </hyperlinks>
  <pageMargins left="0.7" right="0.7" top="0.75" bottom="0.75" header="0.3" footer="0.3"/>
  <pageSetup paperSize="9" orientation="portrait" r:id="rId30"/>
  <legacyDrawing r:id="rId3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3C97E-0905-42CF-AC2F-477D2FDB5176}">
  <dimension ref="A1:R249"/>
  <sheetViews>
    <sheetView workbookViewId="0">
      <pane xSplit="2" ySplit="1" topLeftCell="C103" activePane="bottomRight" state="frozen"/>
      <selection pane="topRight" activeCell="B1" sqref="B1"/>
      <selection pane="bottomLeft" activeCell="A2" sqref="A2"/>
      <selection pane="bottomRight" activeCell="C111" sqref="C111"/>
    </sheetView>
  </sheetViews>
  <sheetFormatPr defaultRowHeight="15" x14ac:dyDescent="0.25"/>
  <cols>
    <col min="4" max="4" width="56.85546875" customWidth="1"/>
    <col min="5" max="5" width="6" customWidth="1"/>
    <col min="6" max="6" width="64.5703125" customWidth="1"/>
    <col min="7" max="7" width="48.7109375" customWidth="1"/>
    <col min="9" max="9" width="60.42578125" customWidth="1"/>
    <col min="18" max="18" width="18.140625" customWidth="1"/>
  </cols>
  <sheetData>
    <row r="1" spans="1:18" x14ac:dyDescent="0.25">
      <c r="C1" t="s">
        <v>1170</v>
      </c>
      <c r="F1" t="s">
        <v>106</v>
      </c>
      <c r="G1" t="s">
        <v>2269</v>
      </c>
      <c r="M1" t="s">
        <v>1171</v>
      </c>
    </row>
    <row r="2" spans="1:18" x14ac:dyDescent="0.25">
      <c r="M2">
        <v>0.3</v>
      </c>
      <c r="N2">
        <v>0.3</v>
      </c>
    </row>
    <row r="3" spans="1:18" x14ac:dyDescent="0.25">
      <c r="M3">
        <f>1-M2</f>
        <v>0.7</v>
      </c>
      <c r="N3">
        <v>0.7</v>
      </c>
    </row>
    <row r="4" spans="1:18" x14ac:dyDescent="0.25">
      <c r="A4">
        <v>1</v>
      </c>
      <c r="C4" t="s">
        <v>923</v>
      </c>
      <c r="F4" t="s">
        <v>408</v>
      </c>
      <c r="G4" t="s">
        <v>115</v>
      </c>
      <c r="I4" t="s">
        <v>2270</v>
      </c>
      <c r="N4">
        <f>SUM(E4*$N$2,H4*$N$3)</f>
        <v>0</v>
      </c>
      <c r="R4" t="s">
        <v>1261</v>
      </c>
    </row>
    <row r="5" spans="1:18" x14ac:dyDescent="0.25">
      <c r="A5">
        <v>2</v>
      </c>
      <c r="C5" t="s">
        <v>924</v>
      </c>
      <c r="F5" t="s">
        <v>409</v>
      </c>
      <c r="G5" t="s">
        <v>116</v>
      </c>
      <c r="I5" t="s">
        <v>2271</v>
      </c>
      <c r="N5">
        <f t="shared" ref="N5:N68" si="0">SUM(E5*$N$2,H5*$N$3)</f>
        <v>0</v>
      </c>
      <c r="R5" t="s">
        <v>1262</v>
      </c>
    </row>
    <row r="6" spans="1:18" x14ac:dyDescent="0.25">
      <c r="A6">
        <v>3</v>
      </c>
      <c r="C6" t="s">
        <v>925</v>
      </c>
      <c r="F6" t="s">
        <v>410</v>
      </c>
      <c r="G6" t="s">
        <v>117</v>
      </c>
      <c r="I6" t="s">
        <v>2272</v>
      </c>
      <c r="N6">
        <f t="shared" si="0"/>
        <v>0</v>
      </c>
      <c r="R6" t="s">
        <v>1263</v>
      </c>
    </row>
    <row r="7" spans="1:18" x14ac:dyDescent="0.25">
      <c r="A7">
        <v>4</v>
      </c>
      <c r="C7" t="s">
        <v>926</v>
      </c>
      <c r="F7" t="s">
        <v>411</v>
      </c>
      <c r="G7" t="s">
        <v>118</v>
      </c>
      <c r="I7" t="s">
        <v>2273</v>
      </c>
      <c r="N7">
        <f t="shared" si="0"/>
        <v>0</v>
      </c>
      <c r="R7" t="s">
        <v>1264</v>
      </c>
    </row>
    <row r="8" spans="1:18" x14ac:dyDescent="0.25">
      <c r="A8">
        <v>5</v>
      </c>
      <c r="C8" t="s">
        <v>927</v>
      </c>
      <c r="F8" t="s">
        <v>412</v>
      </c>
      <c r="G8" t="s">
        <v>119</v>
      </c>
      <c r="I8" t="s">
        <v>2274</v>
      </c>
      <c r="N8">
        <f t="shared" si="0"/>
        <v>0</v>
      </c>
      <c r="R8" t="s">
        <v>1265</v>
      </c>
    </row>
    <row r="9" spans="1:18" x14ac:dyDescent="0.25">
      <c r="A9">
        <v>6</v>
      </c>
      <c r="C9" t="s">
        <v>928</v>
      </c>
      <c r="F9" t="s">
        <v>413</v>
      </c>
      <c r="G9" t="s">
        <v>120</v>
      </c>
      <c r="I9" t="s">
        <v>2275</v>
      </c>
      <c r="N9">
        <f t="shared" si="0"/>
        <v>0</v>
      </c>
      <c r="R9" t="s">
        <v>1266</v>
      </c>
    </row>
    <row r="10" spans="1:18" x14ac:dyDescent="0.25">
      <c r="A10">
        <v>7</v>
      </c>
      <c r="C10" t="s">
        <v>929</v>
      </c>
      <c r="F10" t="s">
        <v>414</v>
      </c>
      <c r="G10" t="s">
        <v>121</v>
      </c>
      <c r="I10" t="s">
        <v>2276</v>
      </c>
      <c r="N10">
        <f t="shared" si="0"/>
        <v>0</v>
      </c>
      <c r="R10" t="s">
        <v>1267</v>
      </c>
    </row>
    <row r="11" spans="1:18" x14ac:dyDescent="0.25">
      <c r="A11">
        <v>8</v>
      </c>
      <c r="C11" t="s">
        <v>930</v>
      </c>
      <c r="F11" t="s">
        <v>415</v>
      </c>
      <c r="G11" t="s">
        <v>122</v>
      </c>
      <c r="I11" t="s">
        <v>2277</v>
      </c>
      <c r="N11">
        <f t="shared" si="0"/>
        <v>0</v>
      </c>
      <c r="R11" t="s">
        <v>1268</v>
      </c>
    </row>
    <row r="12" spans="1:18" x14ac:dyDescent="0.25">
      <c r="A12">
        <v>9</v>
      </c>
      <c r="C12" t="s">
        <v>931</v>
      </c>
      <c r="F12" t="s">
        <v>416</v>
      </c>
      <c r="G12" t="s">
        <v>123</v>
      </c>
      <c r="I12" t="s">
        <v>2278</v>
      </c>
      <c r="N12">
        <f t="shared" si="0"/>
        <v>0</v>
      </c>
      <c r="R12" t="s">
        <v>1269</v>
      </c>
    </row>
    <row r="13" spans="1:18" x14ac:dyDescent="0.25">
      <c r="A13">
        <v>10</v>
      </c>
      <c r="C13" t="s">
        <v>932</v>
      </c>
      <c r="F13" t="s">
        <v>417</v>
      </c>
      <c r="G13" t="s">
        <v>124</v>
      </c>
      <c r="I13" t="s">
        <v>2279</v>
      </c>
      <c r="N13">
        <f t="shared" si="0"/>
        <v>0</v>
      </c>
      <c r="R13" t="s">
        <v>1270</v>
      </c>
    </row>
    <row r="14" spans="1:18" x14ac:dyDescent="0.25">
      <c r="A14">
        <v>11</v>
      </c>
      <c r="C14" t="s">
        <v>933</v>
      </c>
      <c r="F14" t="s">
        <v>418</v>
      </c>
      <c r="G14" t="s">
        <v>125</v>
      </c>
      <c r="I14" t="s">
        <v>2280</v>
      </c>
      <c r="N14">
        <f t="shared" si="0"/>
        <v>0</v>
      </c>
      <c r="R14" t="s">
        <v>1271</v>
      </c>
    </row>
    <row r="15" spans="1:18" x14ac:dyDescent="0.25">
      <c r="A15">
        <v>12</v>
      </c>
      <c r="C15" t="s">
        <v>934</v>
      </c>
      <c r="F15" t="s">
        <v>419</v>
      </c>
      <c r="G15" t="s">
        <v>126</v>
      </c>
      <c r="I15" t="s">
        <v>2281</v>
      </c>
      <c r="N15">
        <f t="shared" si="0"/>
        <v>0</v>
      </c>
      <c r="R15" t="s">
        <v>1272</v>
      </c>
    </row>
    <row r="16" spans="1:18" x14ac:dyDescent="0.25">
      <c r="A16" s="8" t="s">
        <v>1628</v>
      </c>
      <c r="B16" s="8"/>
      <c r="C16" t="s">
        <v>935</v>
      </c>
      <c r="F16" t="s">
        <v>420</v>
      </c>
      <c r="G16" t="s">
        <v>127</v>
      </c>
      <c r="I16" t="s">
        <v>2282</v>
      </c>
      <c r="N16">
        <f t="shared" si="0"/>
        <v>0</v>
      </c>
      <c r="R16" t="s">
        <v>1273</v>
      </c>
    </row>
    <row r="17" spans="1:18" x14ac:dyDescent="0.25">
      <c r="A17" s="8">
        <v>14</v>
      </c>
      <c r="B17" s="8"/>
      <c r="C17" t="s">
        <v>936</v>
      </c>
      <c r="F17" t="s">
        <v>421</v>
      </c>
      <c r="G17" t="s">
        <v>128</v>
      </c>
      <c r="I17" t="s">
        <v>2283</v>
      </c>
      <c r="N17">
        <f t="shared" si="0"/>
        <v>0</v>
      </c>
      <c r="R17" t="s">
        <v>1274</v>
      </c>
    </row>
    <row r="18" spans="1:18" x14ac:dyDescent="0.25">
      <c r="A18" s="8">
        <v>15</v>
      </c>
      <c r="B18" s="8"/>
      <c r="C18" t="s">
        <v>937</v>
      </c>
      <c r="F18" t="s">
        <v>422</v>
      </c>
      <c r="G18" t="s">
        <v>129</v>
      </c>
      <c r="I18" t="s">
        <v>2284</v>
      </c>
      <c r="N18">
        <f t="shared" si="0"/>
        <v>0</v>
      </c>
      <c r="R18" t="s">
        <v>1275</v>
      </c>
    </row>
    <row r="19" spans="1:18" x14ac:dyDescent="0.25">
      <c r="A19" s="8">
        <v>16</v>
      </c>
      <c r="B19" s="8"/>
      <c r="C19" t="s">
        <v>938</v>
      </c>
      <c r="F19" t="s">
        <v>423</v>
      </c>
      <c r="G19" t="s">
        <v>130</v>
      </c>
      <c r="I19" t="s">
        <v>2285</v>
      </c>
      <c r="N19">
        <f t="shared" si="0"/>
        <v>0</v>
      </c>
      <c r="R19" t="s">
        <v>1276</v>
      </c>
    </row>
    <row r="20" spans="1:18" x14ac:dyDescent="0.25">
      <c r="A20" s="8">
        <v>17</v>
      </c>
      <c r="B20" s="8"/>
      <c r="C20" t="s">
        <v>939</v>
      </c>
      <c r="F20" t="s">
        <v>424</v>
      </c>
      <c r="G20" t="s">
        <v>131</v>
      </c>
      <c r="I20" t="s">
        <v>2286</v>
      </c>
      <c r="N20">
        <f t="shared" si="0"/>
        <v>0</v>
      </c>
      <c r="R20" t="s">
        <v>1277</v>
      </c>
    </row>
    <row r="21" spans="1:18" x14ac:dyDescent="0.25">
      <c r="A21" s="8">
        <v>18</v>
      </c>
      <c r="B21" s="8"/>
      <c r="C21" t="s">
        <v>940</v>
      </c>
      <c r="F21" t="s">
        <v>425</v>
      </c>
      <c r="G21" t="s">
        <v>132</v>
      </c>
      <c r="I21" t="s">
        <v>2287</v>
      </c>
      <c r="N21">
        <f t="shared" si="0"/>
        <v>0</v>
      </c>
      <c r="R21" t="s">
        <v>1278</v>
      </c>
    </row>
    <row r="22" spans="1:18" x14ac:dyDescent="0.25">
      <c r="A22">
        <v>19</v>
      </c>
      <c r="C22" s="10" t="s">
        <v>941</v>
      </c>
      <c r="F22" t="s">
        <v>426</v>
      </c>
      <c r="G22" t="s">
        <v>133</v>
      </c>
      <c r="I22" t="s">
        <v>2288</v>
      </c>
      <c r="N22">
        <f t="shared" si="0"/>
        <v>0</v>
      </c>
      <c r="R22" t="s">
        <v>1279</v>
      </c>
    </row>
    <row r="23" spans="1:18" x14ac:dyDescent="0.25">
      <c r="A23">
        <v>20</v>
      </c>
      <c r="C23" t="s">
        <v>942</v>
      </c>
      <c r="F23" t="s">
        <v>427</v>
      </c>
      <c r="G23" t="s">
        <v>134</v>
      </c>
      <c r="I23" t="s">
        <v>2289</v>
      </c>
      <c r="N23">
        <f t="shared" si="0"/>
        <v>0</v>
      </c>
      <c r="R23" t="s">
        <v>1280</v>
      </c>
    </row>
    <row r="24" spans="1:18" x14ac:dyDescent="0.25">
      <c r="A24">
        <v>21</v>
      </c>
      <c r="C24" t="s">
        <v>943</v>
      </c>
      <c r="F24" t="s">
        <v>428</v>
      </c>
      <c r="G24" t="s">
        <v>135</v>
      </c>
      <c r="I24" t="s">
        <v>2290</v>
      </c>
      <c r="N24">
        <f t="shared" si="0"/>
        <v>0</v>
      </c>
      <c r="R24" t="s">
        <v>1281</v>
      </c>
    </row>
    <row r="25" spans="1:18" x14ac:dyDescent="0.25">
      <c r="A25">
        <v>22</v>
      </c>
      <c r="C25" t="s">
        <v>944</v>
      </c>
      <c r="F25" t="s">
        <v>429</v>
      </c>
      <c r="G25" t="s">
        <v>136</v>
      </c>
      <c r="I25" t="s">
        <v>2291</v>
      </c>
      <c r="N25">
        <f t="shared" si="0"/>
        <v>0</v>
      </c>
      <c r="R25" t="s">
        <v>1282</v>
      </c>
    </row>
    <row r="26" spans="1:18" x14ac:dyDescent="0.25">
      <c r="A26">
        <v>23</v>
      </c>
      <c r="C26" t="s">
        <v>945</v>
      </c>
      <c r="F26" t="s">
        <v>430</v>
      </c>
      <c r="G26" t="s">
        <v>137</v>
      </c>
      <c r="I26" t="s">
        <v>2292</v>
      </c>
      <c r="N26">
        <f t="shared" si="0"/>
        <v>0</v>
      </c>
      <c r="R26" t="s">
        <v>1283</v>
      </c>
    </row>
    <row r="27" spans="1:18" x14ac:dyDescent="0.25">
      <c r="A27">
        <v>24</v>
      </c>
      <c r="C27" t="s">
        <v>946</v>
      </c>
      <c r="F27" t="s">
        <v>431</v>
      </c>
      <c r="G27" t="s">
        <v>138</v>
      </c>
      <c r="I27" t="s">
        <v>2293</v>
      </c>
      <c r="N27">
        <f t="shared" si="0"/>
        <v>0</v>
      </c>
      <c r="R27" t="s">
        <v>1284</v>
      </c>
    </row>
    <row r="28" spans="1:18" x14ac:dyDescent="0.25">
      <c r="A28">
        <v>25</v>
      </c>
      <c r="C28" t="s">
        <v>947</v>
      </c>
      <c r="F28" t="s">
        <v>432</v>
      </c>
      <c r="G28" t="s">
        <v>139</v>
      </c>
      <c r="I28" t="s">
        <v>2294</v>
      </c>
      <c r="N28">
        <f t="shared" si="0"/>
        <v>0</v>
      </c>
      <c r="R28" t="s">
        <v>1285</v>
      </c>
    </row>
    <row r="29" spans="1:18" x14ac:dyDescent="0.25">
      <c r="A29">
        <v>26</v>
      </c>
      <c r="C29" t="s">
        <v>948</v>
      </c>
      <c r="F29" t="s">
        <v>433</v>
      </c>
      <c r="G29" t="s">
        <v>140</v>
      </c>
      <c r="I29" t="s">
        <v>2295</v>
      </c>
      <c r="N29">
        <f t="shared" si="0"/>
        <v>0</v>
      </c>
      <c r="R29" t="s">
        <v>1286</v>
      </c>
    </row>
    <row r="30" spans="1:18" x14ac:dyDescent="0.25">
      <c r="A30">
        <v>27</v>
      </c>
      <c r="C30" t="s">
        <v>949</v>
      </c>
      <c r="F30" t="s">
        <v>434</v>
      </c>
      <c r="G30" t="s">
        <v>141</v>
      </c>
      <c r="I30" t="s">
        <v>2296</v>
      </c>
      <c r="N30">
        <f t="shared" si="0"/>
        <v>0</v>
      </c>
      <c r="R30" t="s">
        <v>1287</v>
      </c>
    </row>
    <row r="31" spans="1:18" x14ac:dyDescent="0.25">
      <c r="A31">
        <v>28</v>
      </c>
      <c r="C31" t="s">
        <v>950</v>
      </c>
      <c r="F31" t="s">
        <v>435</v>
      </c>
      <c r="G31" t="s">
        <v>142</v>
      </c>
      <c r="I31" t="s">
        <v>2297</v>
      </c>
      <c r="N31">
        <f t="shared" si="0"/>
        <v>0</v>
      </c>
      <c r="R31" t="s">
        <v>1288</v>
      </c>
    </row>
    <row r="32" spans="1:18" x14ac:dyDescent="0.25">
      <c r="A32">
        <v>29</v>
      </c>
      <c r="C32" t="s">
        <v>951</v>
      </c>
      <c r="F32" t="s">
        <v>436</v>
      </c>
      <c r="G32" t="s">
        <v>143</v>
      </c>
      <c r="I32" t="s">
        <v>2298</v>
      </c>
      <c r="N32">
        <f t="shared" si="0"/>
        <v>0</v>
      </c>
      <c r="R32" t="s">
        <v>1289</v>
      </c>
    </row>
    <row r="33" spans="1:18" x14ac:dyDescent="0.25">
      <c r="A33">
        <v>30</v>
      </c>
      <c r="C33" t="s">
        <v>952</v>
      </c>
      <c r="F33" t="s">
        <v>437</v>
      </c>
      <c r="G33" t="s">
        <v>144</v>
      </c>
      <c r="I33" t="s">
        <v>2299</v>
      </c>
      <c r="N33">
        <f t="shared" si="0"/>
        <v>0</v>
      </c>
      <c r="R33" t="s">
        <v>1290</v>
      </c>
    </row>
    <row r="34" spans="1:18" x14ac:dyDescent="0.25">
      <c r="A34">
        <v>31</v>
      </c>
      <c r="C34" t="s">
        <v>953</v>
      </c>
      <c r="F34" t="s">
        <v>438</v>
      </c>
      <c r="G34" t="s">
        <v>145</v>
      </c>
      <c r="I34" t="s">
        <v>2300</v>
      </c>
      <c r="N34">
        <f t="shared" si="0"/>
        <v>0</v>
      </c>
      <c r="R34" t="s">
        <v>1291</v>
      </c>
    </row>
    <row r="35" spans="1:18" x14ac:dyDescent="0.25">
      <c r="A35">
        <v>32</v>
      </c>
      <c r="C35" t="s">
        <v>954</v>
      </c>
      <c r="F35" t="s">
        <v>439</v>
      </c>
      <c r="G35" t="s">
        <v>146</v>
      </c>
      <c r="I35" t="s">
        <v>2301</v>
      </c>
      <c r="N35">
        <f t="shared" si="0"/>
        <v>0</v>
      </c>
      <c r="R35" t="s">
        <v>1292</v>
      </c>
    </row>
    <row r="36" spans="1:18" x14ac:dyDescent="0.25">
      <c r="A36">
        <v>33</v>
      </c>
      <c r="C36" t="s">
        <v>955</v>
      </c>
      <c r="F36" t="s">
        <v>440</v>
      </c>
      <c r="G36" t="s">
        <v>147</v>
      </c>
      <c r="I36" t="s">
        <v>2302</v>
      </c>
      <c r="N36">
        <f t="shared" si="0"/>
        <v>0</v>
      </c>
      <c r="R36" t="s">
        <v>1293</v>
      </c>
    </row>
    <row r="37" spans="1:18" x14ac:dyDescent="0.25">
      <c r="A37">
        <v>34</v>
      </c>
      <c r="C37" t="s">
        <v>956</v>
      </c>
      <c r="F37" t="s">
        <v>441</v>
      </c>
      <c r="G37" t="s">
        <v>148</v>
      </c>
      <c r="I37" t="s">
        <v>2303</v>
      </c>
      <c r="N37">
        <f t="shared" si="0"/>
        <v>0</v>
      </c>
      <c r="R37" t="s">
        <v>1294</v>
      </c>
    </row>
    <row r="38" spans="1:18" x14ac:dyDescent="0.25">
      <c r="A38">
        <v>35</v>
      </c>
      <c r="C38" t="s">
        <v>957</v>
      </c>
      <c r="F38" t="s">
        <v>442</v>
      </c>
      <c r="G38" t="s">
        <v>149</v>
      </c>
      <c r="I38" t="s">
        <v>2304</v>
      </c>
      <c r="N38">
        <f t="shared" si="0"/>
        <v>0</v>
      </c>
      <c r="R38" t="s">
        <v>1295</v>
      </c>
    </row>
    <row r="39" spans="1:18" x14ac:dyDescent="0.25">
      <c r="A39">
        <v>36</v>
      </c>
      <c r="C39" t="s">
        <v>958</v>
      </c>
      <c r="F39" t="s">
        <v>443</v>
      </c>
      <c r="G39" t="s">
        <v>150</v>
      </c>
      <c r="I39" t="s">
        <v>2305</v>
      </c>
      <c r="N39">
        <f t="shared" si="0"/>
        <v>0</v>
      </c>
      <c r="R39" t="s">
        <v>1296</v>
      </c>
    </row>
    <row r="40" spans="1:18" x14ac:dyDescent="0.25">
      <c r="A40">
        <v>37</v>
      </c>
      <c r="C40" t="s">
        <v>959</v>
      </c>
      <c r="F40" t="s">
        <v>444</v>
      </c>
      <c r="G40" t="s">
        <v>151</v>
      </c>
      <c r="I40" t="s">
        <v>2306</v>
      </c>
      <c r="N40">
        <f t="shared" si="0"/>
        <v>0</v>
      </c>
      <c r="R40" t="s">
        <v>1297</v>
      </c>
    </row>
    <row r="41" spans="1:18" x14ac:dyDescent="0.25">
      <c r="A41">
        <v>38</v>
      </c>
      <c r="C41" t="s">
        <v>960</v>
      </c>
      <c r="F41" t="s">
        <v>445</v>
      </c>
      <c r="G41" t="s">
        <v>152</v>
      </c>
      <c r="I41" t="s">
        <v>2307</v>
      </c>
      <c r="N41">
        <f t="shared" si="0"/>
        <v>0</v>
      </c>
      <c r="R41" t="s">
        <v>1298</v>
      </c>
    </row>
    <row r="42" spans="1:18" x14ac:dyDescent="0.25">
      <c r="A42">
        <v>39</v>
      </c>
      <c r="C42" t="s">
        <v>961</v>
      </c>
      <c r="F42" t="s">
        <v>446</v>
      </c>
      <c r="G42" t="s">
        <v>153</v>
      </c>
      <c r="I42" t="s">
        <v>2308</v>
      </c>
      <c r="N42">
        <f t="shared" si="0"/>
        <v>0</v>
      </c>
      <c r="R42" t="s">
        <v>1299</v>
      </c>
    </row>
    <row r="43" spans="1:18" x14ac:dyDescent="0.25">
      <c r="A43">
        <v>40</v>
      </c>
      <c r="C43" t="s">
        <v>962</v>
      </c>
      <c r="F43" t="s">
        <v>447</v>
      </c>
      <c r="G43" t="s">
        <v>154</v>
      </c>
      <c r="I43" t="s">
        <v>2309</v>
      </c>
      <c r="N43">
        <f t="shared" si="0"/>
        <v>0</v>
      </c>
      <c r="R43" t="s">
        <v>1300</v>
      </c>
    </row>
    <row r="44" spans="1:18" x14ac:dyDescent="0.25">
      <c r="A44">
        <v>41</v>
      </c>
      <c r="C44" t="s">
        <v>963</v>
      </c>
      <c r="F44" t="s">
        <v>448</v>
      </c>
      <c r="G44" t="s">
        <v>155</v>
      </c>
      <c r="I44" t="s">
        <v>2310</v>
      </c>
      <c r="N44">
        <f t="shared" si="0"/>
        <v>0</v>
      </c>
      <c r="R44" t="s">
        <v>1301</v>
      </c>
    </row>
    <row r="45" spans="1:18" x14ac:dyDescent="0.25">
      <c r="A45">
        <v>42</v>
      </c>
      <c r="C45" t="s">
        <v>964</v>
      </c>
      <c r="F45" t="s">
        <v>449</v>
      </c>
      <c r="G45" t="s">
        <v>156</v>
      </c>
      <c r="I45" t="s">
        <v>2311</v>
      </c>
      <c r="N45">
        <f t="shared" si="0"/>
        <v>0</v>
      </c>
      <c r="R45" t="s">
        <v>1302</v>
      </c>
    </row>
    <row r="46" spans="1:18" x14ac:dyDescent="0.25">
      <c r="A46">
        <v>43</v>
      </c>
      <c r="C46" t="s">
        <v>965</v>
      </c>
      <c r="F46" t="s">
        <v>450</v>
      </c>
      <c r="G46" t="s">
        <v>157</v>
      </c>
      <c r="I46" t="s">
        <v>2312</v>
      </c>
      <c r="N46">
        <f t="shared" si="0"/>
        <v>0</v>
      </c>
      <c r="R46" t="s">
        <v>1303</v>
      </c>
    </row>
    <row r="47" spans="1:18" x14ac:dyDescent="0.25">
      <c r="A47">
        <v>44</v>
      </c>
      <c r="C47" t="s">
        <v>966</v>
      </c>
      <c r="F47" t="s">
        <v>451</v>
      </c>
      <c r="G47" t="s">
        <v>158</v>
      </c>
      <c r="I47" t="s">
        <v>2313</v>
      </c>
      <c r="N47">
        <f t="shared" si="0"/>
        <v>0</v>
      </c>
      <c r="R47" t="s">
        <v>1304</v>
      </c>
    </row>
    <row r="48" spans="1:18" x14ac:dyDescent="0.25">
      <c r="A48">
        <v>45</v>
      </c>
      <c r="C48" t="s">
        <v>967</v>
      </c>
      <c r="F48" t="s">
        <v>452</v>
      </c>
      <c r="G48" t="s">
        <v>159</v>
      </c>
      <c r="I48" t="s">
        <v>2314</v>
      </c>
      <c r="N48">
        <f t="shared" si="0"/>
        <v>0</v>
      </c>
      <c r="R48" t="s">
        <v>1305</v>
      </c>
    </row>
    <row r="49" spans="1:18" x14ac:dyDescent="0.25">
      <c r="A49">
        <v>46</v>
      </c>
      <c r="C49" t="s">
        <v>968</v>
      </c>
      <c r="F49" t="s">
        <v>453</v>
      </c>
      <c r="G49" t="s">
        <v>160</v>
      </c>
      <c r="I49" t="s">
        <v>2315</v>
      </c>
      <c r="N49">
        <f t="shared" si="0"/>
        <v>0</v>
      </c>
      <c r="R49" t="s">
        <v>1306</v>
      </c>
    </row>
    <row r="50" spans="1:18" x14ac:dyDescent="0.25">
      <c r="A50">
        <v>47</v>
      </c>
      <c r="C50" t="s">
        <v>969</v>
      </c>
      <c r="F50" t="s">
        <v>454</v>
      </c>
      <c r="G50" t="s">
        <v>161</v>
      </c>
      <c r="I50" t="s">
        <v>2316</v>
      </c>
      <c r="N50">
        <f t="shared" si="0"/>
        <v>0</v>
      </c>
      <c r="R50" t="s">
        <v>1307</v>
      </c>
    </row>
    <row r="51" spans="1:18" x14ac:dyDescent="0.25">
      <c r="A51">
        <v>48</v>
      </c>
      <c r="C51" t="s">
        <v>970</v>
      </c>
      <c r="F51" t="s">
        <v>455</v>
      </c>
      <c r="G51" t="s">
        <v>162</v>
      </c>
      <c r="I51" t="s">
        <v>2317</v>
      </c>
      <c r="N51">
        <f t="shared" si="0"/>
        <v>0</v>
      </c>
      <c r="R51" t="s">
        <v>1308</v>
      </c>
    </row>
    <row r="52" spans="1:18" x14ac:dyDescent="0.25">
      <c r="A52">
        <v>49</v>
      </c>
      <c r="C52" t="s">
        <v>971</v>
      </c>
      <c r="F52" t="s">
        <v>456</v>
      </c>
      <c r="G52" t="s">
        <v>163</v>
      </c>
      <c r="I52" t="s">
        <v>2318</v>
      </c>
      <c r="N52">
        <f t="shared" si="0"/>
        <v>0</v>
      </c>
      <c r="R52" t="s">
        <v>1309</v>
      </c>
    </row>
    <row r="53" spans="1:18" x14ac:dyDescent="0.25">
      <c r="A53">
        <v>50</v>
      </c>
      <c r="C53" t="s">
        <v>972</v>
      </c>
      <c r="F53" t="s">
        <v>457</v>
      </c>
      <c r="G53" t="s">
        <v>164</v>
      </c>
      <c r="I53" t="s">
        <v>2319</v>
      </c>
      <c r="N53">
        <f t="shared" si="0"/>
        <v>0</v>
      </c>
      <c r="R53" t="s">
        <v>1310</v>
      </c>
    </row>
    <row r="54" spans="1:18" x14ac:dyDescent="0.25">
      <c r="A54">
        <v>51</v>
      </c>
      <c r="C54" t="s">
        <v>973</v>
      </c>
      <c r="F54" t="s">
        <v>458</v>
      </c>
      <c r="G54" t="s">
        <v>165</v>
      </c>
      <c r="I54" t="s">
        <v>2320</v>
      </c>
      <c r="N54">
        <f t="shared" si="0"/>
        <v>0</v>
      </c>
      <c r="R54" t="s">
        <v>1311</v>
      </c>
    </row>
    <row r="55" spans="1:18" x14ac:dyDescent="0.25">
      <c r="A55">
        <v>52</v>
      </c>
      <c r="C55" t="s">
        <v>974</v>
      </c>
      <c r="F55" t="s">
        <v>459</v>
      </c>
      <c r="G55" t="s">
        <v>166</v>
      </c>
      <c r="I55" t="s">
        <v>2321</v>
      </c>
      <c r="N55">
        <f t="shared" si="0"/>
        <v>0</v>
      </c>
      <c r="R55" t="s">
        <v>1312</v>
      </c>
    </row>
    <row r="56" spans="1:18" x14ac:dyDescent="0.25">
      <c r="A56">
        <v>53</v>
      </c>
      <c r="C56" t="s">
        <v>975</v>
      </c>
      <c r="F56" t="s">
        <v>460</v>
      </c>
      <c r="G56" t="s">
        <v>167</v>
      </c>
      <c r="I56" t="s">
        <v>2322</v>
      </c>
      <c r="N56">
        <f t="shared" si="0"/>
        <v>0</v>
      </c>
      <c r="R56" t="s">
        <v>1313</v>
      </c>
    </row>
    <row r="57" spans="1:18" x14ac:dyDescent="0.25">
      <c r="A57">
        <v>54</v>
      </c>
      <c r="C57" t="s">
        <v>976</v>
      </c>
      <c r="F57" t="s">
        <v>461</v>
      </c>
      <c r="G57" t="s">
        <v>168</v>
      </c>
      <c r="I57" t="s">
        <v>2323</v>
      </c>
      <c r="N57">
        <f t="shared" si="0"/>
        <v>0</v>
      </c>
      <c r="R57" t="s">
        <v>1314</v>
      </c>
    </row>
    <row r="58" spans="1:18" x14ac:dyDescent="0.25">
      <c r="A58">
        <v>55</v>
      </c>
      <c r="C58" t="s">
        <v>977</v>
      </c>
      <c r="F58" t="s">
        <v>462</v>
      </c>
      <c r="G58" t="s">
        <v>169</v>
      </c>
      <c r="I58" t="s">
        <v>2324</v>
      </c>
      <c r="N58">
        <f t="shared" si="0"/>
        <v>0</v>
      </c>
      <c r="R58" t="s">
        <v>1315</v>
      </c>
    </row>
    <row r="59" spans="1:18" x14ac:dyDescent="0.25">
      <c r="A59">
        <v>56</v>
      </c>
      <c r="C59" t="s">
        <v>978</v>
      </c>
      <c r="F59" t="s">
        <v>463</v>
      </c>
      <c r="G59" t="s">
        <v>170</v>
      </c>
      <c r="I59" t="s">
        <v>2325</v>
      </c>
      <c r="N59">
        <f t="shared" si="0"/>
        <v>0</v>
      </c>
      <c r="R59" t="s">
        <v>1316</v>
      </c>
    </row>
    <row r="60" spans="1:18" x14ac:dyDescent="0.25">
      <c r="A60">
        <v>57</v>
      </c>
      <c r="C60" t="s">
        <v>979</v>
      </c>
      <c r="F60" t="s">
        <v>464</v>
      </c>
      <c r="G60" t="s">
        <v>171</v>
      </c>
      <c r="I60" t="s">
        <v>2326</v>
      </c>
      <c r="N60">
        <f t="shared" si="0"/>
        <v>0</v>
      </c>
      <c r="R60" t="s">
        <v>1317</v>
      </c>
    </row>
    <row r="61" spans="1:18" x14ac:dyDescent="0.25">
      <c r="A61">
        <v>58</v>
      </c>
      <c r="C61" t="s">
        <v>980</v>
      </c>
      <c r="F61" t="s">
        <v>465</v>
      </c>
      <c r="G61" t="s">
        <v>172</v>
      </c>
      <c r="I61" t="s">
        <v>2327</v>
      </c>
      <c r="N61">
        <f t="shared" si="0"/>
        <v>0</v>
      </c>
      <c r="R61" t="s">
        <v>1318</v>
      </c>
    </row>
    <row r="62" spans="1:18" x14ac:dyDescent="0.25">
      <c r="A62">
        <v>59</v>
      </c>
      <c r="C62" t="s">
        <v>981</v>
      </c>
      <c r="F62" t="s">
        <v>466</v>
      </c>
      <c r="G62" t="s">
        <v>173</v>
      </c>
      <c r="I62" t="s">
        <v>2328</v>
      </c>
      <c r="N62">
        <f t="shared" si="0"/>
        <v>0</v>
      </c>
      <c r="R62" t="s">
        <v>1319</v>
      </c>
    </row>
    <row r="63" spans="1:18" x14ac:dyDescent="0.25">
      <c r="A63">
        <v>60</v>
      </c>
      <c r="C63" t="s">
        <v>982</v>
      </c>
      <c r="F63" t="s">
        <v>467</v>
      </c>
      <c r="G63" t="s">
        <v>174</v>
      </c>
      <c r="I63" t="s">
        <v>2329</v>
      </c>
      <c r="N63">
        <f t="shared" si="0"/>
        <v>0</v>
      </c>
      <c r="R63" t="s">
        <v>1320</v>
      </c>
    </row>
    <row r="64" spans="1:18" x14ac:dyDescent="0.25">
      <c r="A64">
        <v>61</v>
      </c>
      <c r="C64" t="s">
        <v>983</v>
      </c>
      <c r="F64" t="s">
        <v>468</v>
      </c>
      <c r="G64" t="s">
        <v>175</v>
      </c>
      <c r="I64" t="s">
        <v>2330</v>
      </c>
      <c r="N64">
        <f t="shared" si="0"/>
        <v>0</v>
      </c>
      <c r="R64" t="s">
        <v>1321</v>
      </c>
    </row>
    <row r="65" spans="1:18" x14ac:dyDescent="0.25">
      <c r="A65">
        <v>62</v>
      </c>
      <c r="B65" s="8"/>
      <c r="C65" s="8" t="s">
        <v>984</v>
      </c>
      <c r="F65" t="s">
        <v>469</v>
      </c>
      <c r="G65" t="s">
        <v>176</v>
      </c>
      <c r="I65" t="s">
        <v>2331</v>
      </c>
      <c r="N65">
        <f t="shared" si="0"/>
        <v>0</v>
      </c>
      <c r="R65" t="s">
        <v>1322</v>
      </c>
    </row>
    <row r="66" spans="1:18" x14ac:dyDescent="0.25">
      <c r="A66">
        <v>63</v>
      </c>
      <c r="C66" t="s">
        <v>985</v>
      </c>
      <c r="F66" t="s">
        <v>470</v>
      </c>
      <c r="G66" t="s">
        <v>177</v>
      </c>
      <c r="I66" t="s">
        <v>2332</v>
      </c>
      <c r="N66">
        <f t="shared" si="0"/>
        <v>0</v>
      </c>
      <c r="R66" t="s">
        <v>1323</v>
      </c>
    </row>
    <row r="67" spans="1:18" x14ac:dyDescent="0.25">
      <c r="A67">
        <v>64</v>
      </c>
      <c r="C67" t="s">
        <v>986</v>
      </c>
      <c r="F67" t="s">
        <v>471</v>
      </c>
      <c r="G67" t="s">
        <v>178</v>
      </c>
      <c r="I67" t="s">
        <v>2333</v>
      </c>
      <c r="N67">
        <f t="shared" si="0"/>
        <v>0</v>
      </c>
      <c r="R67" t="s">
        <v>1324</v>
      </c>
    </row>
    <row r="68" spans="1:18" x14ac:dyDescent="0.25">
      <c r="A68">
        <v>65</v>
      </c>
      <c r="C68" t="s">
        <v>987</v>
      </c>
      <c r="F68" t="s">
        <v>472</v>
      </c>
      <c r="G68" t="s">
        <v>179</v>
      </c>
      <c r="I68" t="s">
        <v>2334</v>
      </c>
      <c r="N68">
        <f t="shared" si="0"/>
        <v>0</v>
      </c>
      <c r="R68" t="s">
        <v>1325</v>
      </c>
    </row>
    <row r="69" spans="1:18" x14ac:dyDescent="0.25">
      <c r="A69">
        <v>66</v>
      </c>
      <c r="C69" t="s">
        <v>988</v>
      </c>
      <c r="F69" t="s">
        <v>473</v>
      </c>
      <c r="G69" t="s">
        <v>180</v>
      </c>
      <c r="I69" t="s">
        <v>2335</v>
      </c>
      <c r="N69">
        <f t="shared" ref="N69:N132" si="1">SUM(E69*$N$2,H69*$N$3)</f>
        <v>0</v>
      </c>
      <c r="R69" t="s">
        <v>1326</v>
      </c>
    </row>
    <row r="70" spans="1:18" x14ac:dyDescent="0.25">
      <c r="A70">
        <v>67</v>
      </c>
      <c r="C70" t="s">
        <v>989</v>
      </c>
      <c r="F70" t="s">
        <v>474</v>
      </c>
      <c r="G70" t="s">
        <v>181</v>
      </c>
      <c r="I70" t="s">
        <v>2336</v>
      </c>
      <c r="N70">
        <f t="shared" si="1"/>
        <v>0</v>
      </c>
      <c r="R70" t="s">
        <v>1327</v>
      </c>
    </row>
    <row r="71" spans="1:18" x14ac:dyDescent="0.25">
      <c r="A71">
        <v>68</v>
      </c>
      <c r="C71" t="s">
        <v>990</v>
      </c>
      <c r="F71" t="s">
        <v>475</v>
      </c>
      <c r="G71" t="s">
        <v>182</v>
      </c>
      <c r="I71" t="s">
        <v>2337</v>
      </c>
      <c r="N71">
        <f t="shared" si="1"/>
        <v>0</v>
      </c>
      <c r="R71" t="s">
        <v>1328</v>
      </c>
    </row>
    <row r="72" spans="1:18" x14ac:dyDescent="0.25">
      <c r="A72">
        <v>69</v>
      </c>
      <c r="C72" t="s">
        <v>991</v>
      </c>
      <c r="F72" t="s">
        <v>476</v>
      </c>
      <c r="G72" t="s">
        <v>183</v>
      </c>
      <c r="I72" t="s">
        <v>2338</v>
      </c>
      <c r="N72">
        <f t="shared" si="1"/>
        <v>0</v>
      </c>
      <c r="R72" t="s">
        <v>1329</v>
      </c>
    </row>
    <row r="73" spans="1:18" x14ac:dyDescent="0.25">
      <c r="A73">
        <v>70</v>
      </c>
      <c r="C73" t="s">
        <v>992</v>
      </c>
      <c r="F73" t="s">
        <v>477</v>
      </c>
      <c r="G73" t="s">
        <v>184</v>
      </c>
      <c r="I73" t="s">
        <v>2339</v>
      </c>
      <c r="N73">
        <f t="shared" si="1"/>
        <v>0</v>
      </c>
      <c r="R73" t="s">
        <v>1330</v>
      </c>
    </row>
    <row r="74" spans="1:18" x14ac:dyDescent="0.25">
      <c r="A74">
        <v>71</v>
      </c>
      <c r="C74" t="s">
        <v>993</v>
      </c>
      <c r="F74" t="s">
        <v>478</v>
      </c>
      <c r="G74" t="s">
        <v>185</v>
      </c>
      <c r="I74" t="s">
        <v>2340</v>
      </c>
      <c r="N74">
        <f t="shared" si="1"/>
        <v>0</v>
      </c>
      <c r="R74" t="s">
        <v>1331</v>
      </c>
    </row>
    <row r="75" spans="1:18" x14ac:dyDescent="0.25">
      <c r="A75">
        <v>72</v>
      </c>
      <c r="C75" t="s">
        <v>994</v>
      </c>
      <c r="F75" t="s">
        <v>479</v>
      </c>
      <c r="G75" t="s">
        <v>186</v>
      </c>
      <c r="I75" t="s">
        <v>2341</v>
      </c>
      <c r="N75">
        <f t="shared" si="1"/>
        <v>0</v>
      </c>
      <c r="R75" t="s">
        <v>1332</v>
      </c>
    </row>
    <row r="76" spans="1:18" x14ac:dyDescent="0.25">
      <c r="A76">
        <v>73</v>
      </c>
      <c r="C76" t="s">
        <v>995</v>
      </c>
      <c r="F76" t="s">
        <v>480</v>
      </c>
      <c r="G76" t="s">
        <v>187</v>
      </c>
      <c r="I76" t="s">
        <v>2342</v>
      </c>
      <c r="N76">
        <f t="shared" si="1"/>
        <v>0</v>
      </c>
      <c r="R76" t="s">
        <v>1333</v>
      </c>
    </row>
    <row r="77" spans="1:18" x14ac:dyDescent="0.25">
      <c r="A77">
        <v>74</v>
      </c>
      <c r="C77" t="s">
        <v>996</v>
      </c>
      <c r="F77" t="s">
        <v>481</v>
      </c>
      <c r="G77" t="s">
        <v>188</v>
      </c>
      <c r="I77" t="s">
        <v>2343</v>
      </c>
      <c r="N77">
        <f t="shared" si="1"/>
        <v>0</v>
      </c>
      <c r="R77" t="s">
        <v>1334</v>
      </c>
    </row>
    <row r="78" spans="1:18" x14ac:dyDescent="0.25">
      <c r="A78">
        <v>75</v>
      </c>
      <c r="C78" t="s">
        <v>997</v>
      </c>
      <c r="F78" t="s">
        <v>482</v>
      </c>
      <c r="G78" t="s">
        <v>189</v>
      </c>
      <c r="I78" t="s">
        <v>2344</v>
      </c>
      <c r="N78">
        <f t="shared" si="1"/>
        <v>0</v>
      </c>
      <c r="R78" t="s">
        <v>1335</v>
      </c>
    </row>
    <row r="79" spans="1:18" x14ac:dyDescent="0.25">
      <c r="A79">
        <v>76</v>
      </c>
      <c r="C79" t="s">
        <v>998</v>
      </c>
      <c r="F79" t="s">
        <v>483</v>
      </c>
      <c r="G79" t="s">
        <v>190</v>
      </c>
      <c r="I79" t="s">
        <v>2345</v>
      </c>
      <c r="N79">
        <f t="shared" si="1"/>
        <v>0</v>
      </c>
      <c r="R79" t="s">
        <v>1336</v>
      </c>
    </row>
    <row r="80" spans="1:18" x14ac:dyDescent="0.25">
      <c r="A80">
        <v>77</v>
      </c>
      <c r="C80" t="s">
        <v>999</v>
      </c>
      <c r="F80" t="s">
        <v>484</v>
      </c>
      <c r="G80" t="s">
        <v>191</v>
      </c>
      <c r="I80" t="s">
        <v>2346</v>
      </c>
      <c r="N80">
        <f t="shared" si="1"/>
        <v>0</v>
      </c>
      <c r="R80" t="s">
        <v>1337</v>
      </c>
    </row>
    <row r="81" spans="1:18" x14ac:dyDescent="0.25">
      <c r="A81">
        <v>78</v>
      </c>
      <c r="C81" t="s">
        <v>1000</v>
      </c>
      <c r="F81" t="s">
        <v>485</v>
      </c>
      <c r="G81" t="s">
        <v>192</v>
      </c>
      <c r="I81" t="s">
        <v>2347</v>
      </c>
      <c r="N81">
        <f t="shared" si="1"/>
        <v>0</v>
      </c>
      <c r="R81" t="s">
        <v>1338</v>
      </c>
    </row>
    <row r="82" spans="1:18" x14ac:dyDescent="0.25">
      <c r="A82">
        <v>79</v>
      </c>
      <c r="C82" t="s">
        <v>1001</v>
      </c>
      <c r="F82" t="s">
        <v>486</v>
      </c>
      <c r="G82" t="s">
        <v>193</v>
      </c>
      <c r="I82" t="s">
        <v>2348</v>
      </c>
      <c r="N82">
        <f t="shared" si="1"/>
        <v>0</v>
      </c>
      <c r="R82" t="s">
        <v>1339</v>
      </c>
    </row>
    <row r="83" spans="1:18" x14ac:dyDescent="0.25">
      <c r="A83">
        <v>80</v>
      </c>
      <c r="C83" t="s">
        <v>1002</v>
      </c>
      <c r="F83" t="s">
        <v>487</v>
      </c>
      <c r="G83" t="s">
        <v>194</v>
      </c>
      <c r="I83" t="s">
        <v>2349</v>
      </c>
      <c r="N83">
        <f t="shared" si="1"/>
        <v>0</v>
      </c>
      <c r="R83" t="s">
        <v>1340</v>
      </c>
    </row>
    <row r="84" spans="1:18" x14ac:dyDescent="0.25">
      <c r="A84">
        <v>81</v>
      </c>
      <c r="C84" t="s">
        <v>1003</v>
      </c>
      <c r="F84" t="s">
        <v>488</v>
      </c>
      <c r="G84" t="s">
        <v>195</v>
      </c>
      <c r="I84" t="s">
        <v>2350</v>
      </c>
      <c r="N84">
        <f t="shared" si="1"/>
        <v>0</v>
      </c>
      <c r="R84" t="s">
        <v>1341</v>
      </c>
    </row>
    <row r="85" spans="1:18" x14ac:dyDescent="0.25">
      <c r="A85">
        <v>82</v>
      </c>
      <c r="C85" t="s">
        <v>1004</v>
      </c>
      <c r="F85" t="s">
        <v>489</v>
      </c>
      <c r="G85" t="s">
        <v>196</v>
      </c>
      <c r="I85" t="s">
        <v>2351</v>
      </c>
      <c r="N85">
        <f t="shared" si="1"/>
        <v>0</v>
      </c>
      <c r="R85" t="s">
        <v>1342</v>
      </c>
    </row>
    <row r="86" spans="1:18" x14ac:dyDescent="0.25">
      <c r="A86">
        <v>83</v>
      </c>
      <c r="C86" s="20" t="s">
        <v>1005</v>
      </c>
      <c r="F86" t="s">
        <v>490</v>
      </c>
      <c r="G86" t="s">
        <v>197</v>
      </c>
      <c r="I86" t="s">
        <v>2352</v>
      </c>
      <c r="N86">
        <f t="shared" si="1"/>
        <v>0</v>
      </c>
      <c r="R86" t="s">
        <v>1343</v>
      </c>
    </row>
    <row r="87" spans="1:18" x14ac:dyDescent="0.25">
      <c r="A87">
        <v>84</v>
      </c>
      <c r="C87" s="20" t="s">
        <v>1006</v>
      </c>
      <c r="F87" t="s">
        <v>491</v>
      </c>
      <c r="G87" t="s">
        <v>198</v>
      </c>
      <c r="I87" t="s">
        <v>2353</v>
      </c>
      <c r="N87">
        <f t="shared" si="1"/>
        <v>0</v>
      </c>
      <c r="R87" t="s">
        <v>1344</v>
      </c>
    </row>
    <row r="88" spans="1:18" x14ac:dyDescent="0.25">
      <c r="A88">
        <v>85</v>
      </c>
      <c r="C88" s="20" t="s">
        <v>1007</v>
      </c>
      <c r="F88" t="s">
        <v>492</v>
      </c>
      <c r="G88" t="s">
        <v>199</v>
      </c>
      <c r="I88" t="s">
        <v>2354</v>
      </c>
      <c r="N88">
        <f t="shared" si="1"/>
        <v>0</v>
      </c>
      <c r="R88" t="s">
        <v>1345</v>
      </c>
    </row>
    <row r="89" spans="1:18" x14ac:dyDescent="0.25">
      <c r="A89">
        <v>86</v>
      </c>
      <c r="C89" s="20" t="s">
        <v>1008</v>
      </c>
      <c r="F89" t="s">
        <v>493</v>
      </c>
      <c r="G89" t="s">
        <v>200</v>
      </c>
      <c r="I89" t="s">
        <v>2355</v>
      </c>
      <c r="N89">
        <f t="shared" si="1"/>
        <v>0</v>
      </c>
      <c r="R89" t="s">
        <v>1346</v>
      </c>
    </row>
    <row r="90" spans="1:18" x14ac:dyDescent="0.25">
      <c r="A90">
        <v>87</v>
      </c>
      <c r="C90" t="s">
        <v>1009</v>
      </c>
      <c r="F90" t="s">
        <v>494</v>
      </c>
      <c r="G90" t="s">
        <v>201</v>
      </c>
      <c r="I90" t="s">
        <v>2356</v>
      </c>
      <c r="N90">
        <f t="shared" si="1"/>
        <v>0</v>
      </c>
      <c r="R90" t="s">
        <v>1347</v>
      </c>
    </row>
    <row r="91" spans="1:18" x14ac:dyDescent="0.25">
      <c r="A91">
        <v>88</v>
      </c>
      <c r="C91" t="s">
        <v>1010</v>
      </c>
      <c r="F91" t="s">
        <v>495</v>
      </c>
      <c r="G91" t="s">
        <v>202</v>
      </c>
      <c r="I91" t="s">
        <v>2357</v>
      </c>
      <c r="N91">
        <f t="shared" si="1"/>
        <v>0</v>
      </c>
      <c r="R91" t="s">
        <v>1348</v>
      </c>
    </row>
    <row r="92" spans="1:18" x14ac:dyDescent="0.25">
      <c r="A92">
        <v>89</v>
      </c>
      <c r="C92" t="s">
        <v>1011</v>
      </c>
      <c r="F92" t="s">
        <v>496</v>
      </c>
      <c r="G92" t="s">
        <v>203</v>
      </c>
      <c r="I92" t="s">
        <v>2358</v>
      </c>
      <c r="N92">
        <f t="shared" si="1"/>
        <v>0</v>
      </c>
      <c r="R92" t="s">
        <v>1349</v>
      </c>
    </row>
    <row r="93" spans="1:18" x14ac:dyDescent="0.25">
      <c r="A93">
        <v>90</v>
      </c>
      <c r="C93" t="s">
        <v>1012</v>
      </c>
      <c r="F93" t="s">
        <v>497</v>
      </c>
      <c r="G93" t="s">
        <v>204</v>
      </c>
      <c r="I93" t="s">
        <v>2359</v>
      </c>
      <c r="N93">
        <f t="shared" si="1"/>
        <v>0</v>
      </c>
      <c r="R93" t="s">
        <v>1350</v>
      </c>
    </row>
    <row r="94" spans="1:18" x14ac:dyDescent="0.25">
      <c r="A94">
        <v>91</v>
      </c>
      <c r="C94" t="s">
        <v>1013</v>
      </c>
      <c r="F94" t="s">
        <v>498</v>
      </c>
      <c r="G94" t="s">
        <v>205</v>
      </c>
      <c r="I94" t="s">
        <v>2360</v>
      </c>
      <c r="N94">
        <f t="shared" si="1"/>
        <v>0</v>
      </c>
      <c r="R94" t="s">
        <v>1351</v>
      </c>
    </row>
    <row r="95" spans="1:18" x14ac:dyDescent="0.25">
      <c r="A95">
        <v>92</v>
      </c>
      <c r="C95" t="s">
        <v>1014</v>
      </c>
      <c r="F95" t="s">
        <v>499</v>
      </c>
      <c r="G95" t="s">
        <v>206</v>
      </c>
      <c r="I95" t="s">
        <v>2361</v>
      </c>
      <c r="N95">
        <f t="shared" si="1"/>
        <v>0</v>
      </c>
      <c r="R95" t="s">
        <v>1352</v>
      </c>
    </row>
    <row r="96" spans="1:18" x14ac:dyDescent="0.25">
      <c r="A96">
        <v>93</v>
      </c>
      <c r="C96" t="s">
        <v>1015</v>
      </c>
      <c r="F96" t="s">
        <v>500</v>
      </c>
      <c r="G96" t="s">
        <v>207</v>
      </c>
      <c r="I96" t="s">
        <v>2362</v>
      </c>
      <c r="N96">
        <f t="shared" si="1"/>
        <v>0</v>
      </c>
      <c r="R96" t="s">
        <v>1353</v>
      </c>
    </row>
    <row r="97" spans="1:18" x14ac:dyDescent="0.25">
      <c r="A97">
        <v>94</v>
      </c>
      <c r="C97" t="s">
        <v>1016</v>
      </c>
      <c r="F97" t="s">
        <v>501</v>
      </c>
      <c r="G97" t="s">
        <v>208</v>
      </c>
      <c r="I97" t="s">
        <v>2363</v>
      </c>
      <c r="N97">
        <f t="shared" si="1"/>
        <v>0</v>
      </c>
      <c r="R97" t="s">
        <v>1354</v>
      </c>
    </row>
    <row r="98" spans="1:18" x14ac:dyDescent="0.25">
      <c r="A98">
        <v>95</v>
      </c>
      <c r="C98" t="s">
        <v>1017</v>
      </c>
      <c r="F98" t="s">
        <v>502</v>
      </c>
      <c r="G98" t="s">
        <v>209</v>
      </c>
      <c r="I98" t="s">
        <v>2364</v>
      </c>
      <c r="N98">
        <f t="shared" si="1"/>
        <v>0</v>
      </c>
      <c r="R98" t="s">
        <v>1355</v>
      </c>
    </row>
    <row r="99" spans="1:18" x14ac:dyDescent="0.25">
      <c r="A99">
        <v>96</v>
      </c>
      <c r="C99" t="s">
        <v>1018</v>
      </c>
      <c r="F99" t="s">
        <v>503</v>
      </c>
      <c r="G99" t="s">
        <v>210</v>
      </c>
      <c r="I99" t="s">
        <v>2365</v>
      </c>
      <c r="N99">
        <f t="shared" si="1"/>
        <v>0</v>
      </c>
      <c r="R99" t="s">
        <v>1356</v>
      </c>
    </row>
    <row r="100" spans="1:18" x14ac:dyDescent="0.25">
      <c r="A100">
        <v>97</v>
      </c>
      <c r="C100" t="s">
        <v>1019</v>
      </c>
      <c r="F100" t="s">
        <v>504</v>
      </c>
      <c r="G100" t="s">
        <v>211</v>
      </c>
      <c r="I100" t="s">
        <v>2366</v>
      </c>
      <c r="N100">
        <f t="shared" si="1"/>
        <v>0</v>
      </c>
      <c r="R100" t="s">
        <v>1357</v>
      </c>
    </row>
    <row r="101" spans="1:18" x14ac:dyDescent="0.25">
      <c r="A101">
        <v>98</v>
      </c>
      <c r="C101" t="s">
        <v>1020</v>
      </c>
      <c r="F101" t="s">
        <v>505</v>
      </c>
      <c r="G101" t="s">
        <v>212</v>
      </c>
      <c r="I101" t="s">
        <v>2367</v>
      </c>
      <c r="N101">
        <f t="shared" si="1"/>
        <v>0</v>
      </c>
      <c r="R101" t="s">
        <v>1358</v>
      </c>
    </row>
    <row r="102" spans="1:18" x14ac:dyDescent="0.25">
      <c r="A102">
        <v>99</v>
      </c>
      <c r="B102" s="8"/>
      <c r="C102" t="s">
        <v>1021</v>
      </c>
      <c r="F102" t="s">
        <v>506</v>
      </c>
      <c r="G102" t="s">
        <v>213</v>
      </c>
      <c r="I102" t="s">
        <v>2368</v>
      </c>
      <c r="N102">
        <f t="shared" si="1"/>
        <v>0</v>
      </c>
      <c r="R102" t="s">
        <v>1359</v>
      </c>
    </row>
    <row r="103" spans="1:18" x14ac:dyDescent="0.25">
      <c r="A103">
        <v>100</v>
      </c>
      <c r="B103" s="8"/>
      <c r="C103" t="s">
        <v>1022</v>
      </c>
      <c r="F103" t="s">
        <v>507</v>
      </c>
      <c r="G103" t="s">
        <v>214</v>
      </c>
      <c r="I103" t="s">
        <v>2369</v>
      </c>
      <c r="N103">
        <f t="shared" si="1"/>
        <v>0</v>
      </c>
      <c r="R103" t="s">
        <v>1360</v>
      </c>
    </row>
    <row r="104" spans="1:18" x14ac:dyDescent="0.25">
      <c r="A104">
        <v>101</v>
      </c>
      <c r="C104" t="s">
        <v>1023</v>
      </c>
      <c r="F104" t="s">
        <v>508</v>
      </c>
      <c r="G104" t="s">
        <v>215</v>
      </c>
      <c r="I104" t="s">
        <v>2370</v>
      </c>
      <c r="N104">
        <f t="shared" si="1"/>
        <v>0</v>
      </c>
      <c r="R104" t="s">
        <v>1361</v>
      </c>
    </row>
    <row r="105" spans="1:18" x14ac:dyDescent="0.25">
      <c r="A105">
        <v>102</v>
      </c>
      <c r="C105" t="s">
        <v>1024</v>
      </c>
      <c r="F105" t="s">
        <v>509</v>
      </c>
      <c r="G105" t="s">
        <v>216</v>
      </c>
      <c r="I105" t="s">
        <v>2371</v>
      </c>
      <c r="N105">
        <f t="shared" si="1"/>
        <v>0</v>
      </c>
      <c r="R105" t="s">
        <v>1362</v>
      </c>
    </row>
    <row r="106" spans="1:18" x14ac:dyDescent="0.25">
      <c r="A106">
        <v>103</v>
      </c>
      <c r="C106" t="s">
        <v>1025</v>
      </c>
      <c r="F106" t="s">
        <v>510</v>
      </c>
      <c r="G106" t="s">
        <v>217</v>
      </c>
      <c r="I106" t="s">
        <v>2372</v>
      </c>
      <c r="N106">
        <f t="shared" si="1"/>
        <v>0</v>
      </c>
      <c r="R106" t="s">
        <v>1363</v>
      </c>
    </row>
    <row r="107" spans="1:18" x14ac:dyDescent="0.25">
      <c r="A107">
        <v>104</v>
      </c>
      <c r="C107" t="s">
        <v>1026</v>
      </c>
      <c r="F107" t="s">
        <v>511</v>
      </c>
      <c r="G107" t="s">
        <v>218</v>
      </c>
      <c r="I107" t="s">
        <v>2373</v>
      </c>
      <c r="N107">
        <f t="shared" si="1"/>
        <v>0</v>
      </c>
      <c r="R107" t="s">
        <v>1364</v>
      </c>
    </row>
    <row r="108" spans="1:18" x14ac:dyDescent="0.25">
      <c r="A108">
        <v>105</v>
      </c>
      <c r="C108" t="s">
        <v>1027</v>
      </c>
      <c r="F108" t="s">
        <v>512</v>
      </c>
      <c r="G108" t="s">
        <v>219</v>
      </c>
      <c r="I108" t="s">
        <v>2374</v>
      </c>
      <c r="N108">
        <f t="shared" si="1"/>
        <v>0</v>
      </c>
      <c r="R108" t="s">
        <v>1365</v>
      </c>
    </row>
    <row r="109" spans="1:18" x14ac:dyDescent="0.25">
      <c r="A109">
        <v>106</v>
      </c>
      <c r="C109" t="s">
        <v>1028</v>
      </c>
      <c r="F109" t="s">
        <v>513</v>
      </c>
      <c r="G109" t="s">
        <v>220</v>
      </c>
      <c r="I109" t="s">
        <v>2375</v>
      </c>
      <c r="N109">
        <f t="shared" si="1"/>
        <v>0</v>
      </c>
      <c r="R109" t="s">
        <v>1366</v>
      </c>
    </row>
    <row r="110" spans="1:18" x14ac:dyDescent="0.25">
      <c r="A110">
        <v>107</v>
      </c>
      <c r="C110" t="s">
        <v>1029</v>
      </c>
      <c r="F110" t="s">
        <v>514</v>
      </c>
      <c r="G110" t="s">
        <v>221</v>
      </c>
      <c r="I110" t="s">
        <v>2376</v>
      </c>
      <c r="N110">
        <f t="shared" si="1"/>
        <v>0</v>
      </c>
      <c r="R110" t="s">
        <v>1367</v>
      </c>
    </row>
    <row r="111" spans="1:18" x14ac:dyDescent="0.25">
      <c r="A111">
        <v>108</v>
      </c>
      <c r="C111" t="s">
        <v>1030</v>
      </c>
      <c r="F111" t="s">
        <v>515</v>
      </c>
      <c r="G111" t="s">
        <v>222</v>
      </c>
      <c r="I111" t="s">
        <v>2377</v>
      </c>
      <c r="N111">
        <f t="shared" si="1"/>
        <v>0</v>
      </c>
      <c r="R111" t="s">
        <v>1368</v>
      </c>
    </row>
    <row r="112" spans="1:18" x14ac:dyDescent="0.25">
      <c r="A112">
        <v>109</v>
      </c>
      <c r="C112" t="s">
        <v>1031</v>
      </c>
      <c r="F112" t="s">
        <v>516</v>
      </c>
      <c r="G112" t="s">
        <v>223</v>
      </c>
      <c r="I112" t="s">
        <v>2378</v>
      </c>
      <c r="N112">
        <f t="shared" si="1"/>
        <v>0</v>
      </c>
      <c r="R112" t="s">
        <v>1369</v>
      </c>
    </row>
    <row r="113" spans="1:18" x14ac:dyDescent="0.25">
      <c r="A113">
        <v>110</v>
      </c>
      <c r="C113" t="s">
        <v>1032</v>
      </c>
      <c r="F113" t="s">
        <v>517</v>
      </c>
      <c r="G113" t="s">
        <v>224</v>
      </c>
      <c r="I113" t="s">
        <v>2379</v>
      </c>
      <c r="N113">
        <f t="shared" si="1"/>
        <v>0</v>
      </c>
      <c r="R113" t="s">
        <v>1370</v>
      </c>
    </row>
    <row r="114" spans="1:18" x14ac:dyDescent="0.25">
      <c r="A114">
        <v>111</v>
      </c>
      <c r="B114" s="8"/>
      <c r="C114" s="8" t="s">
        <v>1033</v>
      </c>
      <c r="F114" t="s">
        <v>518</v>
      </c>
      <c r="G114" t="s">
        <v>225</v>
      </c>
      <c r="I114" t="s">
        <v>2380</v>
      </c>
      <c r="N114">
        <f t="shared" si="1"/>
        <v>0</v>
      </c>
      <c r="R114" t="s">
        <v>1371</v>
      </c>
    </row>
    <row r="115" spans="1:18" x14ac:dyDescent="0.25">
      <c r="A115">
        <v>112</v>
      </c>
      <c r="C115" t="s">
        <v>1034</v>
      </c>
      <c r="F115" t="s">
        <v>519</v>
      </c>
      <c r="G115" t="s">
        <v>226</v>
      </c>
      <c r="I115" t="s">
        <v>2381</v>
      </c>
      <c r="N115">
        <f t="shared" si="1"/>
        <v>0</v>
      </c>
      <c r="R115" t="s">
        <v>1372</v>
      </c>
    </row>
    <row r="116" spans="1:18" x14ac:dyDescent="0.25">
      <c r="A116">
        <v>113</v>
      </c>
      <c r="C116" t="s">
        <v>1035</v>
      </c>
      <c r="F116" t="s">
        <v>520</v>
      </c>
      <c r="G116" t="s">
        <v>227</v>
      </c>
      <c r="I116" t="s">
        <v>2382</v>
      </c>
      <c r="N116">
        <f t="shared" si="1"/>
        <v>0</v>
      </c>
      <c r="R116" t="s">
        <v>1373</v>
      </c>
    </row>
    <row r="117" spans="1:18" x14ac:dyDescent="0.25">
      <c r="A117">
        <v>114</v>
      </c>
      <c r="C117" t="s">
        <v>1036</v>
      </c>
      <c r="F117" t="s">
        <v>521</v>
      </c>
      <c r="G117" t="s">
        <v>228</v>
      </c>
      <c r="I117" t="s">
        <v>2383</v>
      </c>
      <c r="N117">
        <f t="shared" si="1"/>
        <v>0</v>
      </c>
      <c r="R117" t="s">
        <v>1374</v>
      </c>
    </row>
    <row r="118" spans="1:18" x14ac:dyDescent="0.25">
      <c r="A118">
        <v>115</v>
      </c>
      <c r="B118" s="8"/>
      <c r="C118" s="8" t="s">
        <v>1037</v>
      </c>
      <c r="E118">
        <v>0.3</v>
      </c>
      <c r="F118" t="s">
        <v>522</v>
      </c>
      <c r="G118" t="s">
        <v>229</v>
      </c>
      <c r="H118">
        <v>0</v>
      </c>
      <c r="I118" t="s">
        <v>2384</v>
      </c>
      <c r="N118">
        <f t="shared" si="1"/>
        <v>0.09</v>
      </c>
      <c r="R118" t="s">
        <v>1375</v>
      </c>
    </row>
    <row r="119" spans="1:18" x14ac:dyDescent="0.25">
      <c r="A119">
        <v>116</v>
      </c>
      <c r="C119" t="s">
        <v>1038</v>
      </c>
      <c r="F119" t="s">
        <v>523</v>
      </c>
      <c r="G119" t="s">
        <v>230</v>
      </c>
      <c r="I119" t="s">
        <v>2385</v>
      </c>
      <c r="N119">
        <f t="shared" si="1"/>
        <v>0</v>
      </c>
      <c r="R119" t="s">
        <v>1376</v>
      </c>
    </row>
    <row r="120" spans="1:18" x14ac:dyDescent="0.25">
      <c r="A120">
        <v>117</v>
      </c>
      <c r="C120" t="s">
        <v>1039</v>
      </c>
      <c r="F120" t="s">
        <v>524</v>
      </c>
      <c r="G120" t="s">
        <v>231</v>
      </c>
      <c r="I120" t="s">
        <v>2386</v>
      </c>
      <c r="N120">
        <f t="shared" si="1"/>
        <v>0</v>
      </c>
      <c r="R120" t="s">
        <v>1377</v>
      </c>
    </row>
    <row r="121" spans="1:18" x14ac:dyDescent="0.25">
      <c r="A121">
        <v>118</v>
      </c>
      <c r="C121" t="s">
        <v>1040</v>
      </c>
      <c r="F121" t="s">
        <v>525</v>
      </c>
      <c r="G121" t="s">
        <v>232</v>
      </c>
      <c r="I121" t="s">
        <v>2387</v>
      </c>
      <c r="N121">
        <f t="shared" si="1"/>
        <v>0</v>
      </c>
      <c r="R121" t="s">
        <v>1378</v>
      </c>
    </row>
    <row r="122" spans="1:18" x14ac:dyDescent="0.25">
      <c r="A122">
        <v>119</v>
      </c>
      <c r="C122" t="s">
        <v>1041</v>
      </c>
      <c r="F122" t="s">
        <v>526</v>
      </c>
      <c r="G122" t="s">
        <v>233</v>
      </c>
      <c r="I122" t="s">
        <v>2388</v>
      </c>
      <c r="N122">
        <f t="shared" si="1"/>
        <v>0</v>
      </c>
      <c r="R122" t="s">
        <v>1379</v>
      </c>
    </row>
    <row r="123" spans="1:18" x14ac:dyDescent="0.25">
      <c r="A123">
        <v>120</v>
      </c>
      <c r="C123" t="s">
        <v>1042</v>
      </c>
      <c r="F123" t="s">
        <v>527</v>
      </c>
      <c r="G123" t="s">
        <v>234</v>
      </c>
      <c r="I123" t="s">
        <v>2389</v>
      </c>
      <c r="N123">
        <f t="shared" si="1"/>
        <v>0</v>
      </c>
      <c r="R123" t="s">
        <v>1380</v>
      </c>
    </row>
    <row r="124" spans="1:18" x14ac:dyDescent="0.25">
      <c r="A124">
        <v>121</v>
      </c>
      <c r="C124" t="s">
        <v>1043</v>
      </c>
      <c r="F124" t="s">
        <v>528</v>
      </c>
      <c r="G124" t="s">
        <v>235</v>
      </c>
      <c r="I124" t="s">
        <v>2390</v>
      </c>
      <c r="N124">
        <f t="shared" si="1"/>
        <v>0</v>
      </c>
      <c r="R124" t="s">
        <v>1381</v>
      </c>
    </row>
    <row r="125" spans="1:18" x14ac:dyDescent="0.25">
      <c r="A125">
        <v>122</v>
      </c>
      <c r="C125" t="s">
        <v>1044</v>
      </c>
      <c r="F125" t="s">
        <v>529</v>
      </c>
      <c r="G125" t="s">
        <v>236</v>
      </c>
      <c r="I125" t="s">
        <v>2391</v>
      </c>
      <c r="N125">
        <f t="shared" si="1"/>
        <v>0</v>
      </c>
      <c r="R125" t="s">
        <v>1382</v>
      </c>
    </row>
    <row r="126" spans="1:18" x14ac:dyDescent="0.25">
      <c r="A126">
        <v>123</v>
      </c>
      <c r="C126" t="s">
        <v>1045</v>
      </c>
      <c r="F126" t="s">
        <v>530</v>
      </c>
      <c r="G126" t="s">
        <v>237</v>
      </c>
      <c r="I126" t="s">
        <v>2392</v>
      </c>
      <c r="N126">
        <f t="shared" si="1"/>
        <v>0</v>
      </c>
      <c r="R126" t="s">
        <v>1383</v>
      </c>
    </row>
    <row r="127" spans="1:18" x14ac:dyDescent="0.25">
      <c r="A127">
        <v>124</v>
      </c>
      <c r="C127" t="s">
        <v>1046</v>
      </c>
      <c r="F127" t="s">
        <v>531</v>
      </c>
      <c r="G127" t="s">
        <v>238</v>
      </c>
      <c r="I127" t="s">
        <v>2393</v>
      </c>
      <c r="N127">
        <f t="shared" si="1"/>
        <v>0</v>
      </c>
      <c r="R127" t="s">
        <v>1384</v>
      </c>
    </row>
    <row r="128" spans="1:18" x14ac:dyDescent="0.25">
      <c r="A128">
        <v>125</v>
      </c>
      <c r="C128" t="s">
        <v>1047</v>
      </c>
      <c r="F128" t="s">
        <v>532</v>
      </c>
      <c r="G128" t="s">
        <v>239</v>
      </c>
      <c r="I128" t="s">
        <v>2394</v>
      </c>
      <c r="N128">
        <f t="shared" si="1"/>
        <v>0</v>
      </c>
      <c r="R128" t="s">
        <v>1385</v>
      </c>
    </row>
    <row r="129" spans="1:18" x14ac:dyDescent="0.25">
      <c r="A129">
        <v>126</v>
      </c>
      <c r="C129" t="s">
        <v>1048</v>
      </c>
      <c r="F129" t="s">
        <v>533</v>
      </c>
      <c r="G129" t="s">
        <v>240</v>
      </c>
      <c r="I129" t="s">
        <v>2395</v>
      </c>
      <c r="N129">
        <f t="shared" si="1"/>
        <v>0</v>
      </c>
      <c r="R129" t="s">
        <v>1386</v>
      </c>
    </row>
    <row r="130" spans="1:18" x14ac:dyDescent="0.25">
      <c r="A130">
        <v>127</v>
      </c>
      <c r="C130" t="s">
        <v>1049</v>
      </c>
      <c r="F130" t="s">
        <v>534</v>
      </c>
      <c r="G130" t="s">
        <v>241</v>
      </c>
      <c r="I130" t="s">
        <v>2396</v>
      </c>
      <c r="N130">
        <f t="shared" si="1"/>
        <v>0</v>
      </c>
      <c r="R130" t="s">
        <v>1387</v>
      </c>
    </row>
    <row r="131" spans="1:18" x14ac:dyDescent="0.25">
      <c r="A131">
        <v>128</v>
      </c>
      <c r="C131" t="s">
        <v>1050</v>
      </c>
      <c r="F131" t="s">
        <v>535</v>
      </c>
      <c r="G131" t="s">
        <v>242</v>
      </c>
      <c r="I131" t="s">
        <v>2397</v>
      </c>
      <c r="N131">
        <f t="shared" si="1"/>
        <v>0</v>
      </c>
      <c r="R131" t="s">
        <v>1388</v>
      </c>
    </row>
    <row r="132" spans="1:18" x14ac:dyDescent="0.25">
      <c r="A132">
        <v>129</v>
      </c>
      <c r="C132" t="s">
        <v>1051</v>
      </c>
      <c r="F132" t="s">
        <v>536</v>
      </c>
      <c r="G132" t="s">
        <v>243</v>
      </c>
      <c r="I132" t="s">
        <v>2398</v>
      </c>
      <c r="N132">
        <f t="shared" si="1"/>
        <v>0</v>
      </c>
      <c r="R132" t="s">
        <v>1389</v>
      </c>
    </row>
    <row r="133" spans="1:18" x14ac:dyDescent="0.25">
      <c r="A133">
        <v>130</v>
      </c>
      <c r="C133" t="s">
        <v>1052</v>
      </c>
      <c r="F133" t="s">
        <v>537</v>
      </c>
      <c r="G133" t="s">
        <v>244</v>
      </c>
      <c r="I133" t="s">
        <v>2399</v>
      </c>
      <c r="N133">
        <f t="shared" ref="N133:N196" si="2">SUM(E133*$N$2,H133*$N$3)</f>
        <v>0</v>
      </c>
      <c r="R133" t="s">
        <v>1390</v>
      </c>
    </row>
    <row r="134" spans="1:18" x14ac:dyDescent="0.25">
      <c r="A134">
        <v>131</v>
      </c>
      <c r="C134" t="s">
        <v>1053</v>
      </c>
      <c r="F134" t="s">
        <v>538</v>
      </c>
      <c r="G134" t="s">
        <v>245</v>
      </c>
      <c r="I134" t="s">
        <v>2400</v>
      </c>
      <c r="N134">
        <f t="shared" si="2"/>
        <v>0</v>
      </c>
      <c r="R134" t="s">
        <v>1391</v>
      </c>
    </row>
    <row r="135" spans="1:18" x14ac:dyDescent="0.25">
      <c r="A135">
        <v>132</v>
      </c>
      <c r="B135" s="8"/>
      <c r="C135" s="8" t="s">
        <v>1054</v>
      </c>
      <c r="E135">
        <v>0.1</v>
      </c>
      <c r="F135" t="s">
        <v>539</v>
      </c>
      <c r="G135" t="s">
        <v>246</v>
      </c>
      <c r="H135">
        <v>0.5</v>
      </c>
      <c r="I135" t="s">
        <v>2401</v>
      </c>
      <c r="N135">
        <f t="shared" si="2"/>
        <v>0.38</v>
      </c>
      <c r="R135" t="s">
        <v>1392</v>
      </c>
    </row>
    <row r="136" spans="1:18" x14ac:dyDescent="0.25">
      <c r="A136">
        <v>133</v>
      </c>
      <c r="C136" t="s">
        <v>1055</v>
      </c>
      <c r="F136" t="s">
        <v>540</v>
      </c>
      <c r="G136" t="s">
        <v>247</v>
      </c>
      <c r="I136" t="s">
        <v>2402</v>
      </c>
      <c r="N136">
        <f t="shared" si="2"/>
        <v>0</v>
      </c>
      <c r="R136" t="s">
        <v>1393</v>
      </c>
    </row>
    <row r="137" spans="1:18" x14ac:dyDescent="0.25">
      <c r="A137">
        <v>134</v>
      </c>
      <c r="C137" t="s">
        <v>1056</v>
      </c>
      <c r="F137" t="s">
        <v>541</v>
      </c>
      <c r="G137" t="s">
        <v>248</v>
      </c>
      <c r="I137" t="s">
        <v>2403</v>
      </c>
      <c r="N137">
        <f t="shared" si="2"/>
        <v>0</v>
      </c>
      <c r="R137" t="s">
        <v>1394</v>
      </c>
    </row>
    <row r="138" spans="1:18" x14ac:dyDescent="0.25">
      <c r="A138">
        <v>135</v>
      </c>
      <c r="C138" t="s">
        <v>1057</v>
      </c>
      <c r="F138" t="s">
        <v>542</v>
      </c>
      <c r="G138" t="s">
        <v>249</v>
      </c>
      <c r="I138" t="s">
        <v>2404</v>
      </c>
      <c r="N138">
        <f t="shared" si="2"/>
        <v>0</v>
      </c>
      <c r="R138" t="s">
        <v>1395</v>
      </c>
    </row>
    <row r="139" spans="1:18" x14ac:dyDescent="0.25">
      <c r="A139">
        <v>136</v>
      </c>
      <c r="C139" t="s">
        <v>1058</v>
      </c>
      <c r="F139" t="s">
        <v>543</v>
      </c>
      <c r="G139" t="s">
        <v>250</v>
      </c>
      <c r="I139" t="s">
        <v>2405</v>
      </c>
      <c r="N139">
        <f t="shared" si="2"/>
        <v>0</v>
      </c>
      <c r="R139" t="s">
        <v>1396</v>
      </c>
    </row>
    <row r="140" spans="1:18" x14ac:dyDescent="0.25">
      <c r="A140">
        <v>137</v>
      </c>
      <c r="B140" s="8"/>
      <c r="C140" s="8" t="s">
        <v>1059</v>
      </c>
      <c r="E140">
        <v>450</v>
      </c>
      <c r="F140" t="s">
        <v>544</v>
      </c>
      <c r="G140" t="s">
        <v>251</v>
      </c>
      <c r="H140">
        <v>165</v>
      </c>
      <c r="I140" t="s">
        <v>2406</v>
      </c>
      <c r="N140">
        <f t="shared" si="2"/>
        <v>250.5</v>
      </c>
      <c r="R140" t="s">
        <v>1397</v>
      </c>
    </row>
    <row r="141" spans="1:18" x14ac:dyDescent="0.25">
      <c r="A141">
        <v>138</v>
      </c>
      <c r="C141" t="s">
        <v>1060</v>
      </c>
      <c r="F141" t="s">
        <v>545</v>
      </c>
      <c r="G141" t="s">
        <v>252</v>
      </c>
      <c r="I141" t="s">
        <v>2407</v>
      </c>
      <c r="N141">
        <f t="shared" si="2"/>
        <v>0</v>
      </c>
      <c r="R141" t="s">
        <v>1398</v>
      </c>
    </row>
    <row r="142" spans="1:18" x14ac:dyDescent="0.25">
      <c r="A142">
        <v>139</v>
      </c>
      <c r="C142" t="s">
        <v>1061</v>
      </c>
      <c r="F142" t="s">
        <v>546</v>
      </c>
      <c r="G142" t="s">
        <v>253</v>
      </c>
      <c r="I142" t="s">
        <v>2408</v>
      </c>
      <c r="N142">
        <f t="shared" si="2"/>
        <v>0</v>
      </c>
      <c r="R142" t="s">
        <v>1399</v>
      </c>
    </row>
    <row r="143" spans="1:18" x14ac:dyDescent="0.25">
      <c r="A143">
        <v>140</v>
      </c>
      <c r="C143" t="s">
        <v>1062</v>
      </c>
      <c r="F143" t="s">
        <v>547</v>
      </c>
      <c r="G143" t="s">
        <v>254</v>
      </c>
      <c r="I143" t="s">
        <v>2409</v>
      </c>
      <c r="N143">
        <f t="shared" si="2"/>
        <v>0</v>
      </c>
      <c r="R143" t="s">
        <v>1400</v>
      </c>
    </row>
    <row r="144" spans="1:18" x14ac:dyDescent="0.25">
      <c r="A144">
        <v>141</v>
      </c>
      <c r="C144" t="s">
        <v>1063</v>
      </c>
      <c r="F144" t="s">
        <v>548</v>
      </c>
      <c r="G144" t="s">
        <v>255</v>
      </c>
      <c r="I144" t="s">
        <v>2410</v>
      </c>
      <c r="N144">
        <f t="shared" si="2"/>
        <v>0</v>
      </c>
      <c r="R144" t="s">
        <v>1401</v>
      </c>
    </row>
    <row r="145" spans="1:18" x14ac:dyDescent="0.25">
      <c r="A145">
        <v>142</v>
      </c>
      <c r="B145" s="8"/>
      <c r="C145" s="8" t="s">
        <v>1064</v>
      </c>
      <c r="E145">
        <v>7.0000000000000007E-2</v>
      </c>
      <c r="F145" t="s">
        <v>549</v>
      </c>
      <c r="G145" t="s">
        <v>256</v>
      </c>
      <c r="H145">
        <v>0.15</v>
      </c>
      <c r="I145" t="s">
        <v>2411</v>
      </c>
      <c r="N145">
        <f t="shared" si="2"/>
        <v>0.126</v>
      </c>
      <c r="R145" t="s">
        <v>1402</v>
      </c>
    </row>
    <row r="146" spans="1:18" x14ac:dyDescent="0.25">
      <c r="A146">
        <v>143</v>
      </c>
      <c r="C146" t="s">
        <v>1065</v>
      </c>
      <c r="F146" t="s">
        <v>550</v>
      </c>
      <c r="G146" t="s">
        <v>257</v>
      </c>
      <c r="I146" t="s">
        <v>2412</v>
      </c>
      <c r="N146">
        <f t="shared" si="2"/>
        <v>0</v>
      </c>
      <c r="R146" t="s">
        <v>1403</v>
      </c>
    </row>
    <row r="147" spans="1:18" x14ac:dyDescent="0.25">
      <c r="A147">
        <v>144</v>
      </c>
      <c r="C147" t="s">
        <v>1066</v>
      </c>
      <c r="F147" t="s">
        <v>551</v>
      </c>
      <c r="G147" t="s">
        <v>258</v>
      </c>
      <c r="I147" t="s">
        <v>2413</v>
      </c>
      <c r="N147">
        <f t="shared" si="2"/>
        <v>0</v>
      </c>
      <c r="R147" t="s">
        <v>1404</v>
      </c>
    </row>
    <row r="148" spans="1:18" x14ac:dyDescent="0.25">
      <c r="A148">
        <v>145</v>
      </c>
      <c r="C148" t="s">
        <v>1067</v>
      </c>
      <c r="F148" t="s">
        <v>552</v>
      </c>
      <c r="G148" t="s">
        <v>259</v>
      </c>
      <c r="I148" t="s">
        <v>2414</v>
      </c>
      <c r="N148">
        <f t="shared" si="2"/>
        <v>0</v>
      </c>
      <c r="R148" t="s">
        <v>1405</v>
      </c>
    </row>
    <row r="149" spans="1:18" x14ac:dyDescent="0.25">
      <c r="A149">
        <v>146</v>
      </c>
      <c r="C149" t="s">
        <v>1068</v>
      </c>
      <c r="F149" t="s">
        <v>553</v>
      </c>
      <c r="G149" t="s">
        <v>260</v>
      </c>
      <c r="I149" t="s">
        <v>2415</v>
      </c>
      <c r="N149">
        <f t="shared" si="2"/>
        <v>0</v>
      </c>
      <c r="R149" t="s">
        <v>1406</v>
      </c>
    </row>
    <row r="150" spans="1:18" x14ac:dyDescent="0.25">
      <c r="A150">
        <v>147</v>
      </c>
      <c r="C150" t="s">
        <v>1069</v>
      </c>
      <c r="F150" t="s">
        <v>554</v>
      </c>
      <c r="G150" t="s">
        <v>261</v>
      </c>
      <c r="I150" t="s">
        <v>2416</v>
      </c>
      <c r="N150">
        <f t="shared" si="2"/>
        <v>0</v>
      </c>
      <c r="R150" t="s">
        <v>1407</v>
      </c>
    </row>
    <row r="151" spans="1:18" x14ac:dyDescent="0.25">
      <c r="A151">
        <v>148</v>
      </c>
      <c r="B151" s="8"/>
      <c r="C151" s="8" t="s">
        <v>1070</v>
      </c>
      <c r="E151">
        <v>0.2</v>
      </c>
      <c r="F151" t="s">
        <v>555</v>
      </c>
      <c r="G151" t="s">
        <v>262</v>
      </c>
      <c r="H151">
        <v>0.11</v>
      </c>
      <c r="I151" t="s">
        <v>2417</v>
      </c>
      <c r="N151">
        <f t="shared" si="2"/>
        <v>0.13700000000000001</v>
      </c>
      <c r="R151" t="s">
        <v>1408</v>
      </c>
    </row>
    <row r="152" spans="1:18" x14ac:dyDescent="0.25">
      <c r="A152">
        <v>149</v>
      </c>
      <c r="C152" t="s">
        <v>1071</v>
      </c>
      <c r="F152" t="s">
        <v>556</v>
      </c>
      <c r="G152" t="s">
        <v>263</v>
      </c>
      <c r="I152" t="s">
        <v>2418</v>
      </c>
      <c r="N152">
        <f t="shared" si="2"/>
        <v>0</v>
      </c>
      <c r="R152" t="s">
        <v>1409</v>
      </c>
    </row>
    <row r="153" spans="1:18" x14ac:dyDescent="0.25">
      <c r="A153">
        <v>150</v>
      </c>
      <c r="C153" t="s">
        <v>1072</v>
      </c>
      <c r="F153" t="s">
        <v>557</v>
      </c>
      <c r="G153" t="s">
        <v>264</v>
      </c>
      <c r="I153" t="s">
        <v>2419</v>
      </c>
      <c r="N153">
        <f t="shared" si="2"/>
        <v>0</v>
      </c>
      <c r="R153" t="s">
        <v>1410</v>
      </c>
    </row>
    <row r="154" spans="1:18" x14ac:dyDescent="0.25">
      <c r="A154">
        <v>151</v>
      </c>
      <c r="C154" t="s">
        <v>1073</v>
      </c>
      <c r="F154" t="s">
        <v>558</v>
      </c>
      <c r="G154" t="s">
        <v>265</v>
      </c>
      <c r="I154" t="s">
        <v>2420</v>
      </c>
      <c r="N154">
        <f t="shared" si="2"/>
        <v>0</v>
      </c>
      <c r="R154" t="s">
        <v>1411</v>
      </c>
    </row>
    <row r="155" spans="1:18" x14ac:dyDescent="0.25">
      <c r="A155">
        <v>152</v>
      </c>
      <c r="C155" t="s">
        <v>1074</v>
      </c>
      <c r="F155" t="s">
        <v>559</v>
      </c>
      <c r="G155" t="s">
        <v>266</v>
      </c>
      <c r="I155" t="s">
        <v>2421</v>
      </c>
      <c r="N155">
        <f t="shared" si="2"/>
        <v>0</v>
      </c>
      <c r="R155" t="s">
        <v>1412</v>
      </c>
    </row>
    <row r="156" spans="1:18" x14ac:dyDescent="0.25">
      <c r="A156">
        <v>153</v>
      </c>
      <c r="C156" t="s">
        <v>1075</v>
      </c>
      <c r="F156" t="s">
        <v>560</v>
      </c>
      <c r="G156" t="s">
        <v>267</v>
      </c>
      <c r="H156">
        <v>5.0000000000000001E-4</v>
      </c>
      <c r="I156" t="s">
        <v>2422</v>
      </c>
      <c r="N156">
        <f t="shared" si="2"/>
        <v>3.5E-4</v>
      </c>
      <c r="R156" t="s">
        <v>1413</v>
      </c>
    </row>
    <row r="157" spans="1:18" x14ac:dyDescent="0.25">
      <c r="A157">
        <v>154</v>
      </c>
      <c r="C157" t="s">
        <v>1076</v>
      </c>
      <c r="F157" t="s">
        <v>561</v>
      </c>
      <c r="G157" t="s">
        <v>268</v>
      </c>
      <c r="I157" t="s">
        <v>2423</v>
      </c>
      <c r="N157">
        <f t="shared" si="2"/>
        <v>0</v>
      </c>
      <c r="R157" t="s">
        <v>1414</v>
      </c>
    </row>
    <row r="158" spans="1:18" x14ac:dyDescent="0.25">
      <c r="A158">
        <v>155</v>
      </c>
      <c r="C158" t="s">
        <v>1077</v>
      </c>
      <c r="F158" t="s">
        <v>562</v>
      </c>
      <c r="G158" t="s">
        <v>269</v>
      </c>
      <c r="I158" t="s">
        <v>2424</v>
      </c>
      <c r="N158">
        <f t="shared" si="2"/>
        <v>0</v>
      </c>
      <c r="R158" t="s">
        <v>1415</v>
      </c>
    </row>
    <row r="159" spans="1:18" x14ac:dyDescent="0.25">
      <c r="A159">
        <v>156</v>
      </c>
      <c r="B159" s="8"/>
      <c r="C159" s="8" t="s">
        <v>1078</v>
      </c>
      <c r="E159">
        <v>3.5700000000000003E-2</v>
      </c>
      <c r="F159" t="s">
        <v>563</v>
      </c>
      <c r="G159" t="s">
        <v>270</v>
      </c>
      <c r="H159">
        <v>1.55E-2</v>
      </c>
      <c r="I159" t="s">
        <v>2425</v>
      </c>
      <c r="N159">
        <f t="shared" si="2"/>
        <v>2.1559999999999999E-2</v>
      </c>
      <c r="R159" t="s">
        <v>1416</v>
      </c>
    </row>
    <row r="160" spans="1:18" x14ac:dyDescent="0.25">
      <c r="A160">
        <v>157</v>
      </c>
      <c r="C160" t="s">
        <v>1079</v>
      </c>
      <c r="F160" t="s">
        <v>564</v>
      </c>
      <c r="G160" t="s">
        <v>271</v>
      </c>
      <c r="I160" t="s">
        <v>2426</v>
      </c>
      <c r="N160">
        <f t="shared" si="2"/>
        <v>0</v>
      </c>
      <c r="R160" t="s">
        <v>1417</v>
      </c>
    </row>
    <row r="161" spans="1:18" x14ac:dyDescent="0.25">
      <c r="A161">
        <v>158</v>
      </c>
      <c r="B161" s="8"/>
      <c r="C161" s="8" t="s">
        <v>1080</v>
      </c>
      <c r="E161">
        <v>5.4999999999999997E-3</v>
      </c>
      <c r="F161" t="s">
        <v>565</v>
      </c>
      <c r="G161" t="s">
        <v>272</v>
      </c>
      <c r="H161">
        <v>1.15E-2</v>
      </c>
      <c r="I161" t="s">
        <v>2427</v>
      </c>
      <c r="N161">
        <f t="shared" si="2"/>
        <v>9.7000000000000003E-3</v>
      </c>
      <c r="R161" t="s">
        <v>1418</v>
      </c>
    </row>
    <row r="162" spans="1:18" x14ac:dyDescent="0.25">
      <c r="A162">
        <v>159</v>
      </c>
      <c r="B162" s="8"/>
      <c r="C162" s="8" t="s">
        <v>1081</v>
      </c>
      <c r="E162">
        <v>5.0000000000000001E-3</v>
      </c>
      <c r="F162" t="s">
        <v>566</v>
      </c>
      <c r="G162" t="s">
        <v>273</v>
      </c>
      <c r="H162">
        <v>2.5000000000000001E-3</v>
      </c>
      <c r="I162" t="s">
        <v>2428</v>
      </c>
      <c r="N162">
        <f t="shared" si="2"/>
        <v>3.2499999999999999E-3</v>
      </c>
      <c r="R162" t="s">
        <v>1419</v>
      </c>
    </row>
    <row r="163" spans="1:18" x14ac:dyDescent="0.25">
      <c r="A163">
        <v>160</v>
      </c>
      <c r="B163" s="8"/>
      <c r="C163" s="8" t="s">
        <v>1082</v>
      </c>
      <c r="E163">
        <v>2.5999999999999999E-2</v>
      </c>
      <c r="F163" t="s">
        <v>567</v>
      </c>
      <c r="G163" t="s">
        <v>274</v>
      </c>
      <c r="H163">
        <v>0.03</v>
      </c>
      <c r="I163" t="s">
        <v>2429</v>
      </c>
      <c r="M163">
        <f>SUM(0.026*$M$2,0.033*$M$3)</f>
        <v>3.0899999999999997E-2</v>
      </c>
      <c r="N163">
        <f t="shared" si="2"/>
        <v>2.8799999999999999E-2</v>
      </c>
      <c r="R163" t="s">
        <v>1420</v>
      </c>
    </row>
    <row r="164" spans="1:18" x14ac:dyDescent="0.25">
      <c r="A164">
        <v>161</v>
      </c>
      <c r="B164" s="8"/>
      <c r="C164" s="8" t="s">
        <v>1083</v>
      </c>
      <c r="E164">
        <v>1.7999999999999999E-2</v>
      </c>
      <c r="F164" t="s">
        <v>568</v>
      </c>
      <c r="G164" t="s">
        <v>275</v>
      </c>
      <c r="H164">
        <v>0.03</v>
      </c>
      <c r="I164" t="s">
        <v>2430</v>
      </c>
      <c r="M164">
        <f>SUM(0.018*$M$2,0.003*$M$3)</f>
        <v>7.4999999999999997E-3</v>
      </c>
      <c r="N164">
        <f t="shared" si="2"/>
        <v>2.6399999999999996E-2</v>
      </c>
      <c r="R164" t="s">
        <v>1421</v>
      </c>
    </row>
    <row r="165" spans="1:18" x14ac:dyDescent="0.25">
      <c r="A165">
        <v>162</v>
      </c>
      <c r="B165" s="8"/>
      <c r="C165" s="8" t="s">
        <v>1084</v>
      </c>
      <c r="E165">
        <v>1.4999999999999999E-2</v>
      </c>
      <c r="F165" t="s">
        <v>569</v>
      </c>
      <c r="G165" t="s">
        <v>276</v>
      </c>
      <c r="H165">
        <v>0.03</v>
      </c>
      <c r="I165" t="s">
        <v>2431</v>
      </c>
      <c r="N165">
        <f t="shared" si="2"/>
        <v>2.5499999999999998E-2</v>
      </c>
      <c r="R165" t="s">
        <v>1422</v>
      </c>
    </row>
    <row r="166" spans="1:18" x14ac:dyDescent="0.25">
      <c r="A166">
        <v>163</v>
      </c>
      <c r="B166" s="8"/>
      <c r="C166" s="8" t="s">
        <v>1085</v>
      </c>
      <c r="E166">
        <v>1.4999999999999999E-2</v>
      </c>
      <c r="F166" t="s">
        <v>570</v>
      </c>
      <c r="G166" t="s">
        <v>277</v>
      </c>
      <c r="H166">
        <v>0.03</v>
      </c>
      <c r="I166" t="s">
        <v>2432</v>
      </c>
      <c r="N166">
        <f t="shared" si="2"/>
        <v>2.5499999999999998E-2</v>
      </c>
      <c r="R166" t="s">
        <v>1423</v>
      </c>
    </row>
    <row r="167" spans="1:18" x14ac:dyDescent="0.25">
      <c r="A167">
        <v>164</v>
      </c>
      <c r="B167" s="8"/>
      <c r="C167" s="8" t="s">
        <v>1086</v>
      </c>
      <c r="E167">
        <v>0.02</v>
      </c>
      <c r="F167" t="s">
        <v>571</v>
      </c>
      <c r="G167" t="s">
        <v>278</v>
      </c>
      <c r="H167">
        <v>0.03</v>
      </c>
      <c r="I167" t="s">
        <v>2433</v>
      </c>
      <c r="N167">
        <f t="shared" si="2"/>
        <v>2.6999999999999996E-2</v>
      </c>
      <c r="R167" t="s">
        <v>1424</v>
      </c>
    </row>
    <row r="168" spans="1:18" x14ac:dyDescent="0.25">
      <c r="A168">
        <v>165</v>
      </c>
      <c r="B168" s="8"/>
      <c r="C168" s="8" t="s">
        <v>1087</v>
      </c>
      <c r="E168">
        <v>0.02</v>
      </c>
      <c r="F168" t="s">
        <v>572</v>
      </c>
      <c r="G168" t="s">
        <v>279</v>
      </c>
      <c r="H168">
        <v>0.03</v>
      </c>
      <c r="I168" t="s">
        <v>2434</v>
      </c>
      <c r="N168">
        <f t="shared" si="2"/>
        <v>2.6999999999999996E-2</v>
      </c>
      <c r="R168" t="s">
        <v>1425</v>
      </c>
    </row>
    <row r="169" spans="1:18" x14ac:dyDescent="0.25">
      <c r="A169">
        <v>166</v>
      </c>
      <c r="C169" t="s">
        <v>1088</v>
      </c>
      <c r="F169" t="s">
        <v>573</v>
      </c>
      <c r="G169" t="s">
        <v>280</v>
      </c>
      <c r="I169" t="s">
        <v>2435</v>
      </c>
      <c r="N169">
        <f t="shared" si="2"/>
        <v>0</v>
      </c>
      <c r="R169" t="s">
        <v>1426</v>
      </c>
    </row>
    <row r="170" spans="1:18" x14ac:dyDescent="0.25">
      <c r="A170">
        <v>167</v>
      </c>
      <c r="C170" t="s">
        <v>1089</v>
      </c>
      <c r="F170" t="s">
        <v>574</v>
      </c>
      <c r="G170" t="s">
        <v>281</v>
      </c>
      <c r="I170" t="s">
        <v>2436</v>
      </c>
      <c r="N170">
        <f t="shared" si="2"/>
        <v>0</v>
      </c>
      <c r="R170" t="s">
        <v>1427</v>
      </c>
    </row>
    <row r="171" spans="1:18" x14ac:dyDescent="0.25">
      <c r="A171">
        <v>168</v>
      </c>
      <c r="C171" t="s">
        <v>1090</v>
      </c>
      <c r="F171" t="s">
        <v>575</v>
      </c>
      <c r="G171" t="s">
        <v>282</v>
      </c>
      <c r="I171" t="s">
        <v>2437</v>
      </c>
      <c r="N171">
        <f t="shared" si="2"/>
        <v>0</v>
      </c>
      <c r="R171" t="s">
        <v>1428</v>
      </c>
    </row>
    <row r="172" spans="1:18" x14ac:dyDescent="0.25">
      <c r="A172">
        <v>169</v>
      </c>
      <c r="C172" t="s">
        <v>1091</v>
      </c>
      <c r="F172" t="s">
        <v>576</v>
      </c>
      <c r="G172" t="s">
        <v>283</v>
      </c>
      <c r="I172" t="s">
        <v>2438</v>
      </c>
      <c r="N172">
        <f t="shared" si="2"/>
        <v>0</v>
      </c>
      <c r="R172" t="s">
        <v>1429</v>
      </c>
    </row>
    <row r="173" spans="1:18" x14ac:dyDescent="0.25">
      <c r="A173">
        <v>170</v>
      </c>
      <c r="C173" t="s">
        <v>1092</v>
      </c>
      <c r="F173" t="s">
        <v>577</v>
      </c>
      <c r="G173" t="s">
        <v>284</v>
      </c>
      <c r="I173" t="s">
        <v>2439</v>
      </c>
      <c r="N173">
        <f t="shared" si="2"/>
        <v>0</v>
      </c>
      <c r="R173" t="s">
        <v>1430</v>
      </c>
    </row>
    <row r="174" spans="1:18" x14ac:dyDescent="0.25">
      <c r="A174">
        <v>171</v>
      </c>
      <c r="C174" t="s">
        <v>1093</v>
      </c>
      <c r="F174" t="s">
        <v>578</v>
      </c>
      <c r="G174" t="s">
        <v>285</v>
      </c>
      <c r="I174" t="s">
        <v>2440</v>
      </c>
      <c r="N174">
        <f t="shared" si="2"/>
        <v>0</v>
      </c>
      <c r="R174" t="s">
        <v>1431</v>
      </c>
    </row>
    <row r="175" spans="1:18" x14ac:dyDescent="0.25">
      <c r="A175">
        <v>172</v>
      </c>
      <c r="C175" t="s">
        <v>1094</v>
      </c>
      <c r="F175" t="s">
        <v>579</v>
      </c>
      <c r="G175" t="s">
        <v>286</v>
      </c>
      <c r="I175" t="s">
        <v>2441</v>
      </c>
      <c r="N175">
        <f t="shared" si="2"/>
        <v>0</v>
      </c>
      <c r="R175" t="s">
        <v>1432</v>
      </c>
    </row>
    <row r="176" spans="1:18" x14ac:dyDescent="0.25">
      <c r="A176">
        <v>173</v>
      </c>
      <c r="C176" t="s">
        <v>1095</v>
      </c>
      <c r="F176" t="s">
        <v>580</v>
      </c>
      <c r="G176" t="s">
        <v>287</v>
      </c>
      <c r="I176" t="s">
        <v>2442</v>
      </c>
      <c r="N176">
        <f t="shared" si="2"/>
        <v>0</v>
      </c>
      <c r="R176" t="s">
        <v>1433</v>
      </c>
    </row>
    <row r="177" spans="1:18" x14ac:dyDescent="0.25">
      <c r="A177">
        <v>174</v>
      </c>
      <c r="C177" t="s">
        <v>1096</v>
      </c>
      <c r="F177" t="s">
        <v>581</v>
      </c>
      <c r="G177" t="s">
        <v>288</v>
      </c>
      <c r="I177" t="s">
        <v>2443</v>
      </c>
      <c r="N177">
        <f t="shared" si="2"/>
        <v>0</v>
      </c>
      <c r="R177" t="s">
        <v>1434</v>
      </c>
    </row>
    <row r="178" spans="1:18" x14ac:dyDescent="0.25">
      <c r="A178">
        <v>175</v>
      </c>
      <c r="C178" t="s">
        <v>1097</v>
      </c>
      <c r="F178" t="s">
        <v>582</v>
      </c>
      <c r="G178" t="s">
        <v>289</v>
      </c>
      <c r="I178" t="s">
        <v>2444</v>
      </c>
      <c r="N178">
        <f t="shared" si="2"/>
        <v>0</v>
      </c>
      <c r="R178" t="s">
        <v>1435</v>
      </c>
    </row>
    <row r="179" spans="1:18" x14ac:dyDescent="0.25">
      <c r="A179">
        <v>176</v>
      </c>
      <c r="C179" t="s">
        <v>1098</v>
      </c>
      <c r="F179" t="s">
        <v>583</v>
      </c>
      <c r="G179" t="s">
        <v>290</v>
      </c>
      <c r="I179" t="s">
        <v>2445</v>
      </c>
      <c r="N179">
        <f t="shared" si="2"/>
        <v>0</v>
      </c>
      <c r="R179" t="s">
        <v>1436</v>
      </c>
    </row>
    <row r="180" spans="1:18" x14ac:dyDescent="0.25">
      <c r="A180">
        <v>177</v>
      </c>
      <c r="C180" t="s">
        <v>1099</v>
      </c>
      <c r="F180" t="s">
        <v>584</v>
      </c>
      <c r="G180" t="s">
        <v>291</v>
      </c>
      <c r="I180" t="s">
        <v>2446</v>
      </c>
      <c r="N180">
        <f t="shared" si="2"/>
        <v>0</v>
      </c>
      <c r="R180" t="s">
        <v>1437</v>
      </c>
    </row>
    <row r="181" spans="1:18" x14ac:dyDescent="0.25">
      <c r="A181">
        <v>178</v>
      </c>
      <c r="C181" t="s">
        <v>1100</v>
      </c>
      <c r="F181" t="s">
        <v>585</v>
      </c>
      <c r="G181" t="s">
        <v>292</v>
      </c>
      <c r="I181" t="s">
        <v>2447</v>
      </c>
      <c r="N181">
        <f t="shared" si="2"/>
        <v>0</v>
      </c>
      <c r="R181" t="s">
        <v>1438</v>
      </c>
    </row>
    <row r="182" spans="1:18" x14ac:dyDescent="0.25">
      <c r="A182">
        <v>179</v>
      </c>
      <c r="C182" t="s">
        <v>1101</v>
      </c>
      <c r="F182" t="s">
        <v>586</v>
      </c>
      <c r="G182" t="s">
        <v>293</v>
      </c>
      <c r="I182" t="s">
        <v>2448</v>
      </c>
      <c r="N182">
        <f t="shared" si="2"/>
        <v>0</v>
      </c>
      <c r="R182" t="s">
        <v>1439</v>
      </c>
    </row>
    <row r="183" spans="1:18" x14ac:dyDescent="0.25">
      <c r="A183">
        <v>180</v>
      </c>
      <c r="C183" t="s">
        <v>1102</v>
      </c>
      <c r="F183" t="s">
        <v>587</v>
      </c>
      <c r="G183" t="s">
        <v>294</v>
      </c>
      <c r="I183" t="s">
        <v>2449</v>
      </c>
      <c r="N183">
        <f t="shared" si="2"/>
        <v>0</v>
      </c>
      <c r="R183" t="s">
        <v>1440</v>
      </c>
    </row>
    <row r="184" spans="1:18" x14ac:dyDescent="0.25">
      <c r="A184">
        <v>181</v>
      </c>
      <c r="C184" t="s">
        <v>1103</v>
      </c>
      <c r="F184" t="s">
        <v>588</v>
      </c>
      <c r="G184" t="s">
        <v>295</v>
      </c>
      <c r="I184" t="s">
        <v>2450</v>
      </c>
      <c r="N184">
        <f t="shared" si="2"/>
        <v>0</v>
      </c>
      <c r="R184" t="s">
        <v>1441</v>
      </c>
    </row>
    <row r="185" spans="1:18" x14ac:dyDescent="0.25">
      <c r="A185">
        <v>182</v>
      </c>
      <c r="C185" t="s">
        <v>1104</v>
      </c>
      <c r="F185" t="s">
        <v>589</v>
      </c>
      <c r="G185" t="s">
        <v>296</v>
      </c>
      <c r="I185" t="s">
        <v>2451</v>
      </c>
      <c r="N185">
        <f t="shared" si="2"/>
        <v>0</v>
      </c>
      <c r="R185" t="s">
        <v>1442</v>
      </c>
    </row>
    <row r="186" spans="1:18" x14ac:dyDescent="0.25">
      <c r="A186">
        <v>183</v>
      </c>
      <c r="C186" t="s">
        <v>1105</v>
      </c>
      <c r="F186" t="s">
        <v>590</v>
      </c>
      <c r="G186" t="s">
        <v>297</v>
      </c>
      <c r="I186" t="s">
        <v>2452</v>
      </c>
      <c r="N186">
        <f t="shared" si="2"/>
        <v>0</v>
      </c>
      <c r="R186" t="s">
        <v>1443</v>
      </c>
    </row>
    <row r="187" spans="1:18" x14ac:dyDescent="0.25">
      <c r="A187">
        <v>184</v>
      </c>
      <c r="C187" t="s">
        <v>1106</v>
      </c>
      <c r="F187" t="s">
        <v>591</v>
      </c>
      <c r="G187" t="s">
        <v>298</v>
      </c>
      <c r="I187" t="s">
        <v>2453</v>
      </c>
      <c r="N187">
        <f t="shared" si="2"/>
        <v>0</v>
      </c>
      <c r="R187" t="s">
        <v>1444</v>
      </c>
    </row>
    <row r="188" spans="1:18" x14ac:dyDescent="0.25">
      <c r="A188">
        <v>185</v>
      </c>
      <c r="B188" s="8" t="s">
        <v>1195</v>
      </c>
      <c r="C188" s="8" t="s">
        <v>1107</v>
      </c>
      <c r="E188">
        <v>36.5</v>
      </c>
      <c r="F188" t="s">
        <v>592</v>
      </c>
      <c r="G188" t="s">
        <v>299</v>
      </c>
      <c r="H188">
        <v>25</v>
      </c>
      <c r="I188" t="s">
        <v>2454</v>
      </c>
      <c r="N188">
        <f t="shared" si="2"/>
        <v>28.45</v>
      </c>
      <c r="R188" t="s">
        <v>1445</v>
      </c>
    </row>
    <row r="189" spans="1:18" x14ac:dyDescent="0.25">
      <c r="A189">
        <v>186</v>
      </c>
      <c r="C189" t="s">
        <v>1108</v>
      </c>
      <c r="F189" t="s">
        <v>593</v>
      </c>
      <c r="G189" t="s">
        <v>300</v>
      </c>
      <c r="I189" t="s">
        <v>2455</v>
      </c>
      <c r="N189">
        <f t="shared" si="2"/>
        <v>0</v>
      </c>
      <c r="R189" t="s">
        <v>1446</v>
      </c>
    </row>
    <row r="190" spans="1:18" x14ac:dyDescent="0.25">
      <c r="A190">
        <v>187</v>
      </c>
      <c r="B190" s="8" t="s">
        <v>1194</v>
      </c>
      <c r="C190" s="8" t="s">
        <v>1109</v>
      </c>
      <c r="D190" s="45"/>
      <c r="E190">
        <v>9.8000000000000007</v>
      </c>
      <c r="F190" t="s">
        <v>594</v>
      </c>
      <c r="G190" t="s">
        <v>301</v>
      </c>
      <c r="H190">
        <v>2.8</v>
      </c>
      <c r="I190" t="s">
        <v>2456</v>
      </c>
      <c r="M190">
        <f>SUM(9.8*$M$2,6.6*$M$3)</f>
        <v>7.5599999999999987</v>
      </c>
      <c r="N190">
        <f t="shared" si="2"/>
        <v>4.8999999999999995</v>
      </c>
      <c r="R190" t="s">
        <v>1447</v>
      </c>
    </row>
    <row r="191" spans="1:18" x14ac:dyDescent="0.25">
      <c r="A191">
        <v>188</v>
      </c>
      <c r="C191" t="s">
        <v>1110</v>
      </c>
      <c r="D191" s="45"/>
      <c r="F191" t="s">
        <v>595</v>
      </c>
      <c r="G191" t="s">
        <v>302</v>
      </c>
      <c r="I191" t="s">
        <v>2457</v>
      </c>
      <c r="M191">
        <f>SUM(0.026*$M$2,0.038*$M$3)</f>
        <v>3.44E-2</v>
      </c>
      <c r="N191">
        <f t="shared" si="2"/>
        <v>0</v>
      </c>
      <c r="R191" t="s">
        <v>1448</v>
      </c>
    </row>
    <row r="192" spans="1:18" x14ac:dyDescent="0.25">
      <c r="A192">
        <v>189</v>
      </c>
      <c r="B192" s="8" t="s">
        <v>1192</v>
      </c>
      <c r="C192" s="8" t="s">
        <v>1111</v>
      </c>
      <c r="E192">
        <v>1.35</v>
      </c>
      <c r="F192" t="s">
        <v>596</v>
      </c>
      <c r="G192" t="s">
        <v>303</v>
      </c>
      <c r="H192">
        <v>5.9</v>
      </c>
      <c r="I192" t="s">
        <v>2458</v>
      </c>
      <c r="N192">
        <f t="shared" si="2"/>
        <v>4.5350000000000001</v>
      </c>
      <c r="R192" t="s">
        <v>1449</v>
      </c>
    </row>
    <row r="193" spans="1:18" x14ac:dyDescent="0.25">
      <c r="A193">
        <v>190</v>
      </c>
      <c r="C193" t="s">
        <v>1112</v>
      </c>
      <c r="F193" t="s">
        <v>597</v>
      </c>
      <c r="G193" t="s">
        <v>304</v>
      </c>
      <c r="I193" t="s">
        <v>2459</v>
      </c>
      <c r="N193">
        <f t="shared" si="2"/>
        <v>0</v>
      </c>
      <c r="R193" t="s">
        <v>1450</v>
      </c>
    </row>
    <row r="194" spans="1:18" x14ac:dyDescent="0.25">
      <c r="A194">
        <v>191</v>
      </c>
      <c r="C194" t="s">
        <v>1113</v>
      </c>
      <c r="F194" t="s">
        <v>598</v>
      </c>
      <c r="G194" t="s">
        <v>305</v>
      </c>
      <c r="I194" t="s">
        <v>2460</v>
      </c>
      <c r="N194">
        <f t="shared" si="2"/>
        <v>0</v>
      </c>
      <c r="R194" t="s">
        <v>1451</v>
      </c>
    </row>
    <row r="195" spans="1:18" x14ac:dyDescent="0.25">
      <c r="A195">
        <v>192</v>
      </c>
      <c r="C195" t="s">
        <v>1114</v>
      </c>
      <c r="F195" t="s">
        <v>599</v>
      </c>
      <c r="G195" t="s">
        <v>306</v>
      </c>
      <c r="I195" t="s">
        <v>2461</v>
      </c>
      <c r="N195">
        <f t="shared" si="2"/>
        <v>0</v>
      </c>
      <c r="R195" t="s">
        <v>1452</v>
      </c>
    </row>
    <row r="196" spans="1:18" x14ac:dyDescent="0.25">
      <c r="A196">
        <v>193</v>
      </c>
      <c r="C196" t="s">
        <v>1115</v>
      </c>
      <c r="F196" t="s">
        <v>600</v>
      </c>
      <c r="G196" t="s">
        <v>307</v>
      </c>
      <c r="I196" t="s">
        <v>2462</v>
      </c>
      <c r="N196">
        <f t="shared" si="2"/>
        <v>0</v>
      </c>
      <c r="R196" t="s">
        <v>1453</v>
      </c>
    </row>
    <row r="197" spans="1:18" x14ac:dyDescent="0.25">
      <c r="A197">
        <v>194</v>
      </c>
      <c r="C197" t="s">
        <v>1116</v>
      </c>
      <c r="F197" t="s">
        <v>601</v>
      </c>
      <c r="G197" t="s">
        <v>308</v>
      </c>
      <c r="I197" t="s">
        <v>2463</v>
      </c>
      <c r="N197">
        <f t="shared" ref="N197:N249" si="3">SUM(E197*$N$2,H197*$N$3)</f>
        <v>0</v>
      </c>
      <c r="R197" t="s">
        <v>1454</v>
      </c>
    </row>
    <row r="198" spans="1:18" x14ac:dyDescent="0.25">
      <c r="A198">
        <v>195</v>
      </c>
      <c r="C198" t="s">
        <v>1117</v>
      </c>
      <c r="F198" t="s">
        <v>602</v>
      </c>
      <c r="G198" t="s">
        <v>309</v>
      </c>
      <c r="I198" t="s">
        <v>2464</v>
      </c>
      <c r="N198">
        <f t="shared" si="3"/>
        <v>0</v>
      </c>
      <c r="R198" t="s">
        <v>1455</v>
      </c>
    </row>
    <row r="199" spans="1:18" x14ac:dyDescent="0.25">
      <c r="A199">
        <v>196</v>
      </c>
      <c r="B199" s="8"/>
      <c r="C199" s="8" t="s">
        <v>1118</v>
      </c>
      <c r="E199">
        <v>70</v>
      </c>
      <c r="F199" t="s">
        <v>603</v>
      </c>
      <c r="G199" t="s">
        <v>310</v>
      </c>
      <c r="H199">
        <v>10</v>
      </c>
      <c r="I199" t="s">
        <v>2465</v>
      </c>
      <c r="N199">
        <f t="shared" si="3"/>
        <v>28</v>
      </c>
      <c r="R199" t="s">
        <v>1456</v>
      </c>
    </row>
    <row r="200" spans="1:18" x14ac:dyDescent="0.25">
      <c r="A200">
        <v>197</v>
      </c>
      <c r="C200" t="s">
        <v>1119</v>
      </c>
      <c r="F200" t="s">
        <v>604</v>
      </c>
      <c r="G200" t="s">
        <v>311</v>
      </c>
      <c r="I200" t="s">
        <v>2466</v>
      </c>
      <c r="N200">
        <f t="shared" si="3"/>
        <v>0</v>
      </c>
      <c r="R200" t="s">
        <v>1457</v>
      </c>
    </row>
    <row r="201" spans="1:18" x14ac:dyDescent="0.25">
      <c r="A201">
        <v>198</v>
      </c>
      <c r="B201" s="8"/>
      <c r="C201" s="8" t="s">
        <v>1120</v>
      </c>
      <c r="E201">
        <v>1</v>
      </c>
      <c r="F201" t="s">
        <v>605</v>
      </c>
      <c r="G201" t="s">
        <v>312</v>
      </c>
      <c r="H201">
        <v>1</v>
      </c>
      <c r="I201" t="s">
        <v>2467</v>
      </c>
      <c r="N201">
        <f t="shared" si="3"/>
        <v>1</v>
      </c>
      <c r="R201" t="s">
        <v>1458</v>
      </c>
    </row>
    <row r="202" spans="1:18" x14ac:dyDescent="0.25">
      <c r="A202">
        <v>199</v>
      </c>
      <c r="C202" t="s">
        <v>1121</v>
      </c>
      <c r="F202" t="s">
        <v>606</v>
      </c>
      <c r="G202" t="s">
        <v>313</v>
      </c>
      <c r="I202" t="s">
        <v>2468</v>
      </c>
      <c r="N202">
        <f t="shared" si="3"/>
        <v>0</v>
      </c>
      <c r="R202" t="s">
        <v>1459</v>
      </c>
    </row>
    <row r="203" spans="1:18" x14ac:dyDescent="0.25">
      <c r="A203">
        <v>200</v>
      </c>
      <c r="C203" t="s">
        <v>1122</v>
      </c>
      <c r="F203" t="s">
        <v>607</v>
      </c>
      <c r="G203" t="s">
        <v>314</v>
      </c>
      <c r="I203" t="s">
        <v>2469</v>
      </c>
      <c r="N203">
        <f t="shared" si="3"/>
        <v>0</v>
      </c>
      <c r="R203" t="s">
        <v>1460</v>
      </c>
    </row>
    <row r="204" spans="1:18" x14ac:dyDescent="0.25">
      <c r="A204">
        <v>201</v>
      </c>
      <c r="C204" t="s">
        <v>1123</v>
      </c>
      <c r="F204" t="s">
        <v>608</v>
      </c>
      <c r="G204" t="s">
        <v>315</v>
      </c>
      <c r="I204" t="s">
        <v>2470</v>
      </c>
      <c r="N204">
        <f t="shared" si="3"/>
        <v>0</v>
      </c>
      <c r="R204" t="s">
        <v>1461</v>
      </c>
    </row>
    <row r="205" spans="1:18" x14ac:dyDescent="0.25">
      <c r="A205">
        <v>202</v>
      </c>
      <c r="C205" t="s">
        <v>1124</v>
      </c>
      <c r="F205" t="s">
        <v>609</v>
      </c>
      <c r="G205" t="s">
        <v>316</v>
      </c>
      <c r="I205" t="s">
        <v>2471</v>
      </c>
      <c r="N205">
        <f t="shared" si="3"/>
        <v>0</v>
      </c>
      <c r="R205" t="s">
        <v>1462</v>
      </c>
    </row>
    <row r="206" spans="1:18" x14ac:dyDescent="0.25">
      <c r="A206">
        <v>203</v>
      </c>
      <c r="C206" t="s">
        <v>1125</v>
      </c>
      <c r="F206" t="s">
        <v>610</v>
      </c>
      <c r="G206" t="s">
        <v>317</v>
      </c>
      <c r="I206" t="s">
        <v>2472</v>
      </c>
      <c r="N206">
        <f t="shared" si="3"/>
        <v>0</v>
      </c>
      <c r="R206" t="s">
        <v>1463</v>
      </c>
    </row>
    <row r="207" spans="1:18" x14ac:dyDescent="0.25">
      <c r="A207">
        <v>204</v>
      </c>
      <c r="C207" t="s">
        <v>1126</v>
      </c>
      <c r="F207" t="s">
        <v>611</v>
      </c>
      <c r="G207" t="s">
        <v>318</v>
      </c>
      <c r="I207" t="s">
        <v>2473</v>
      </c>
      <c r="N207">
        <f t="shared" si="3"/>
        <v>0</v>
      </c>
      <c r="R207" t="s">
        <v>1464</v>
      </c>
    </row>
    <row r="208" spans="1:18" x14ac:dyDescent="0.25">
      <c r="A208">
        <v>205</v>
      </c>
      <c r="C208" t="s">
        <v>1127</v>
      </c>
      <c r="F208" t="s">
        <v>612</v>
      </c>
      <c r="G208" t="s">
        <v>319</v>
      </c>
      <c r="I208" t="s">
        <v>2474</v>
      </c>
      <c r="N208">
        <f t="shared" si="3"/>
        <v>0</v>
      </c>
      <c r="R208" t="s">
        <v>1465</v>
      </c>
    </row>
    <row r="209" spans="1:18" x14ac:dyDescent="0.25">
      <c r="A209">
        <v>206</v>
      </c>
      <c r="C209" t="s">
        <v>1128</v>
      </c>
      <c r="F209" t="s">
        <v>613</v>
      </c>
      <c r="G209" t="s">
        <v>320</v>
      </c>
      <c r="I209" t="s">
        <v>2475</v>
      </c>
      <c r="N209">
        <f t="shared" si="3"/>
        <v>0</v>
      </c>
      <c r="R209" t="s">
        <v>1466</v>
      </c>
    </row>
    <row r="210" spans="1:18" x14ac:dyDescent="0.25">
      <c r="A210">
        <v>207</v>
      </c>
      <c r="C210" t="s">
        <v>1129</v>
      </c>
      <c r="F210" t="s">
        <v>614</v>
      </c>
      <c r="G210" t="s">
        <v>321</v>
      </c>
      <c r="I210" t="s">
        <v>2476</v>
      </c>
      <c r="N210">
        <f t="shared" si="3"/>
        <v>0</v>
      </c>
      <c r="R210" t="s">
        <v>1467</v>
      </c>
    </row>
    <row r="211" spans="1:18" x14ac:dyDescent="0.25">
      <c r="A211">
        <v>208</v>
      </c>
      <c r="C211" t="s">
        <v>1130</v>
      </c>
      <c r="F211" t="s">
        <v>615</v>
      </c>
      <c r="G211" t="s">
        <v>322</v>
      </c>
      <c r="I211" t="s">
        <v>2477</v>
      </c>
      <c r="N211">
        <f t="shared" si="3"/>
        <v>0</v>
      </c>
      <c r="R211" t="s">
        <v>1468</v>
      </c>
    </row>
    <row r="212" spans="1:18" x14ac:dyDescent="0.25">
      <c r="A212">
        <v>209</v>
      </c>
      <c r="C212" t="s">
        <v>1131</v>
      </c>
      <c r="F212" t="s">
        <v>616</v>
      </c>
      <c r="G212" t="s">
        <v>323</v>
      </c>
      <c r="I212" t="s">
        <v>2478</v>
      </c>
      <c r="N212">
        <f t="shared" si="3"/>
        <v>0</v>
      </c>
      <c r="R212" t="s">
        <v>1469</v>
      </c>
    </row>
    <row r="213" spans="1:18" x14ac:dyDescent="0.25">
      <c r="A213">
        <v>210</v>
      </c>
      <c r="C213" t="s">
        <v>1132</v>
      </c>
      <c r="F213" t="s">
        <v>617</v>
      </c>
      <c r="G213" t="s">
        <v>324</v>
      </c>
      <c r="I213" t="s">
        <v>2479</v>
      </c>
      <c r="N213">
        <f t="shared" si="3"/>
        <v>0</v>
      </c>
      <c r="R213" t="s">
        <v>1470</v>
      </c>
    </row>
    <row r="214" spans="1:18" x14ac:dyDescent="0.25">
      <c r="A214">
        <v>211</v>
      </c>
      <c r="C214" t="s">
        <v>1133</v>
      </c>
      <c r="F214" t="s">
        <v>618</v>
      </c>
      <c r="G214" t="s">
        <v>325</v>
      </c>
      <c r="I214" t="s">
        <v>2480</v>
      </c>
      <c r="N214">
        <f t="shared" si="3"/>
        <v>0</v>
      </c>
      <c r="R214" t="s">
        <v>1471</v>
      </c>
    </row>
    <row r="215" spans="1:18" x14ac:dyDescent="0.25">
      <c r="A215">
        <v>212</v>
      </c>
      <c r="B215" s="8"/>
      <c r="C215" s="8" t="s">
        <v>1134</v>
      </c>
      <c r="E215">
        <v>13.1</v>
      </c>
      <c r="F215" t="s">
        <v>619</v>
      </c>
      <c r="G215" t="s">
        <v>326</v>
      </c>
      <c r="H215">
        <v>13.8</v>
      </c>
      <c r="I215" t="s">
        <v>2481</v>
      </c>
      <c r="M215">
        <f>SUM(13.1*$M$2,10.6*$M$3)</f>
        <v>11.349999999999998</v>
      </c>
      <c r="N215">
        <f t="shared" si="3"/>
        <v>13.59</v>
      </c>
      <c r="R215" t="s">
        <v>1472</v>
      </c>
    </row>
    <row r="216" spans="1:18" x14ac:dyDescent="0.25">
      <c r="A216">
        <v>213</v>
      </c>
      <c r="B216" s="8"/>
      <c r="C216" s="8" t="s">
        <v>1135</v>
      </c>
      <c r="E216">
        <v>8.5</v>
      </c>
      <c r="F216" t="s">
        <v>620</v>
      </c>
      <c r="G216" t="s">
        <v>327</v>
      </c>
      <c r="H216">
        <v>13.8</v>
      </c>
      <c r="I216" t="s">
        <v>2482</v>
      </c>
      <c r="M216">
        <f>SUM(8.5*$M$2,10.6*$M$3)</f>
        <v>9.9699999999999989</v>
      </c>
      <c r="N216">
        <f t="shared" si="3"/>
        <v>12.21</v>
      </c>
      <c r="R216" t="s">
        <v>1473</v>
      </c>
    </row>
    <row r="217" spans="1:18" x14ac:dyDescent="0.25">
      <c r="A217">
        <v>214</v>
      </c>
      <c r="C217" t="s">
        <v>1136</v>
      </c>
      <c r="D217" s="45"/>
      <c r="F217" t="s">
        <v>621</v>
      </c>
      <c r="G217" t="s">
        <v>328</v>
      </c>
      <c r="I217" t="s">
        <v>2483</v>
      </c>
      <c r="N217">
        <f t="shared" si="3"/>
        <v>0</v>
      </c>
      <c r="R217" t="s">
        <v>1474</v>
      </c>
    </row>
    <row r="218" spans="1:18" x14ac:dyDescent="0.25">
      <c r="A218">
        <v>215</v>
      </c>
      <c r="C218" t="s">
        <v>1137</v>
      </c>
      <c r="F218" t="s">
        <v>622</v>
      </c>
      <c r="G218" t="s">
        <v>329</v>
      </c>
      <c r="I218" t="s">
        <v>2484</v>
      </c>
      <c r="N218">
        <f t="shared" si="3"/>
        <v>0</v>
      </c>
      <c r="R218" t="s">
        <v>1475</v>
      </c>
    </row>
    <row r="219" spans="1:18" x14ac:dyDescent="0.25">
      <c r="A219">
        <v>216</v>
      </c>
      <c r="C219" t="s">
        <v>1138</v>
      </c>
      <c r="F219" t="s">
        <v>623</v>
      </c>
      <c r="G219" t="s">
        <v>330</v>
      </c>
      <c r="I219" t="s">
        <v>2485</v>
      </c>
      <c r="N219">
        <f t="shared" si="3"/>
        <v>0</v>
      </c>
      <c r="R219" t="s">
        <v>1476</v>
      </c>
    </row>
    <row r="220" spans="1:18" x14ac:dyDescent="0.25">
      <c r="A220">
        <v>217</v>
      </c>
      <c r="C220" t="s">
        <v>1139</v>
      </c>
      <c r="F220" t="s">
        <v>624</v>
      </c>
      <c r="G220" t="s">
        <v>331</v>
      </c>
      <c r="I220" t="s">
        <v>2486</v>
      </c>
      <c r="N220">
        <f t="shared" si="3"/>
        <v>0</v>
      </c>
      <c r="R220" t="s">
        <v>1477</v>
      </c>
    </row>
    <row r="221" spans="1:18" x14ac:dyDescent="0.25">
      <c r="A221">
        <v>218</v>
      </c>
      <c r="C221" t="s">
        <v>1140</v>
      </c>
      <c r="F221" t="s">
        <v>625</v>
      </c>
      <c r="G221" t="s">
        <v>332</v>
      </c>
      <c r="I221" t="s">
        <v>2487</v>
      </c>
      <c r="N221">
        <f t="shared" si="3"/>
        <v>0</v>
      </c>
      <c r="R221" t="s">
        <v>1478</v>
      </c>
    </row>
    <row r="222" spans="1:18" x14ac:dyDescent="0.25">
      <c r="A222">
        <v>219</v>
      </c>
      <c r="C222" t="s">
        <v>1141</v>
      </c>
      <c r="F222" t="s">
        <v>626</v>
      </c>
      <c r="G222" t="s">
        <v>333</v>
      </c>
      <c r="I222" t="s">
        <v>2488</v>
      </c>
      <c r="N222">
        <f t="shared" si="3"/>
        <v>0</v>
      </c>
      <c r="R222" t="s">
        <v>1479</v>
      </c>
    </row>
    <row r="223" spans="1:18" x14ac:dyDescent="0.25">
      <c r="A223">
        <v>220</v>
      </c>
      <c r="C223" t="s">
        <v>1142</v>
      </c>
      <c r="F223" t="s">
        <v>627</v>
      </c>
      <c r="G223" t="s">
        <v>334</v>
      </c>
      <c r="I223" t="s">
        <v>2489</v>
      </c>
      <c r="N223">
        <f t="shared" si="3"/>
        <v>0</v>
      </c>
      <c r="R223" t="s">
        <v>1480</v>
      </c>
    </row>
    <row r="224" spans="1:18" x14ac:dyDescent="0.25">
      <c r="A224">
        <v>221</v>
      </c>
      <c r="C224" t="s">
        <v>1143</v>
      </c>
      <c r="F224" t="s">
        <v>628</v>
      </c>
      <c r="G224" t="s">
        <v>335</v>
      </c>
      <c r="I224" t="s">
        <v>2490</v>
      </c>
      <c r="N224">
        <f t="shared" si="3"/>
        <v>0</v>
      </c>
      <c r="R224" t="s">
        <v>1481</v>
      </c>
    </row>
    <row r="225" spans="1:18" x14ac:dyDescent="0.25">
      <c r="A225">
        <v>222</v>
      </c>
      <c r="C225" t="s">
        <v>1144</v>
      </c>
      <c r="F225" t="s">
        <v>629</v>
      </c>
      <c r="G225" t="s">
        <v>336</v>
      </c>
      <c r="I225" t="s">
        <v>2491</v>
      </c>
      <c r="N225">
        <f t="shared" si="3"/>
        <v>0</v>
      </c>
      <c r="R225" t="s">
        <v>1482</v>
      </c>
    </row>
    <row r="226" spans="1:18" x14ac:dyDescent="0.25">
      <c r="A226">
        <v>223</v>
      </c>
      <c r="C226" t="s">
        <v>1145</v>
      </c>
      <c r="F226" t="s">
        <v>630</v>
      </c>
      <c r="G226" t="s">
        <v>337</v>
      </c>
      <c r="I226" t="s">
        <v>2492</v>
      </c>
      <c r="N226">
        <f t="shared" si="3"/>
        <v>0</v>
      </c>
      <c r="R226" t="s">
        <v>1483</v>
      </c>
    </row>
    <row r="227" spans="1:18" x14ac:dyDescent="0.25">
      <c r="A227">
        <v>224</v>
      </c>
      <c r="C227" t="s">
        <v>1146</v>
      </c>
      <c r="F227" t="s">
        <v>631</v>
      </c>
      <c r="G227" t="s">
        <v>338</v>
      </c>
      <c r="I227" t="s">
        <v>2493</v>
      </c>
      <c r="N227">
        <f t="shared" si="3"/>
        <v>0</v>
      </c>
      <c r="R227" t="s">
        <v>1484</v>
      </c>
    </row>
    <row r="228" spans="1:18" x14ac:dyDescent="0.25">
      <c r="A228">
        <v>225</v>
      </c>
      <c r="C228" t="s">
        <v>1147</v>
      </c>
      <c r="F228" t="s">
        <v>632</v>
      </c>
      <c r="G228" t="s">
        <v>339</v>
      </c>
      <c r="I228" t="s">
        <v>2494</v>
      </c>
      <c r="N228">
        <f t="shared" si="3"/>
        <v>0</v>
      </c>
      <c r="R228" t="s">
        <v>1485</v>
      </c>
    </row>
    <row r="229" spans="1:18" x14ac:dyDescent="0.25">
      <c r="A229">
        <v>226</v>
      </c>
      <c r="C229" t="s">
        <v>1148</v>
      </c>
      <c r="F229" t="s">
        <v>633</v>
      </c>
      <c r="G229" t="s">
        <v>340</v>
      </c>
      <c r="I229" t="s">
        <v>2495</v>
      </c>
      <c r="N229">
        <f t="shared" si="3"/>
        <v>0</v>
      </c>
      <c r="R229" t="s">
        <v>1486</v>
      </c>
    </row>
    <row r="230" spans="1:18" x14ac:dyDescent="0.25">
      <c r="A230">
        <v>227</v>
      </c>
      <c r="C230" t="s">
        <v>1149</v>
      </c>
      <c r="F230" t="s">
        <v>634</v>
      </c>
      <c r="G230" t="s">
        <v>341</v>
      </c>
      <c r="I230" t="s">
        <v>2496</v>
      </c>
      <c r="N230">
        <f t="shared" si="3"/>
        <v>0</v>
      </c>
      <c r="R230" t="s">
        <v>1487</v>
      </c>
    </row>
    <row r="231" spans="1:18" x14ac:dyDescent="0.25">
      <c r="A231">
        <v>228</v>
      </c>
      <c r="C231" t="s">
        <v>1150</v>
      </c>
      <c r="F231" t="s">
        <v>635</v>
      </c>
      <c r="G231" t="s">
        <v>342</v>
      </c>
      <c r="I231" t="s">
        <v>2497</v>
      </c>
      <c r="N231">
        <f t="shared" si="3"/>
        <v>0</v>
      </c>
      <c r="R231" t="s">
        <v>1488</v>
      </c>
    </row>
    <row r="232" spans="1:18" x14ac:dyDescent="0.25">
      <c r="A232">
        <v>229</v>
      </c>
      <c r="C232" t="s">
        <v>1151</v>
      </c>
      <c r="F232" t="s">
        <v>636</v>
      </c>
      <c r="G232" t="s">
        <v>343</v>
      </c>
      <c r="I232" t="s">
        <v>2498</v>
      </c>
      <c r="N232">
        <f t="shared" si="3"/>
        <v>0</v>
      </c>
      <c r="R232" t="s">
        <v>1489</v>
      </c>
    </row>
    <row r="233" spans="1:18" x14ac:dyDescent="0.25">
      <c r="A233">
        <v>230</v>
      </c>
      <c r="C233" t="s">
        <v>1152</v>
      </c>
      <c r="F233" t="s">
        <v>637</v>
      </c>
      <c r="G233" t="s">
        <v>344</v>
      </c>
      <c r="I233" t="s">
        <v>2499</v>
      </c>
      <c r="N233">
        <f t="shared" si="3"/>
        <v>0</v>
      </c>
      <c r="R233" t="s">
        <v>1490</v>
      </c>
    </row>
    <row r="234" spans="1:18" x14ac:dyDescent="0.25">
      <c r="A234">
        <v>231</v>
      </c>
      <c r="C234" t="s">
        <v>1153</v>
      </c>
      <c r="F234" t="s">
        <v>638</v>
      </c>
      <c r="G234" t="s">
        <v>345</v>
      </c>
      <c r="I234" t="s">
        <v>2500</v>
      </c>
      <c r="N234">
        <f t="shared" si="3"/>
        <v>0</v>
      </c>
      <c r="R234" t="s">
        <v>1491</v>
      </c>
    </row>
    <row r="235" spans="1:18" x14ac:dyDescent="0.25">
      <c r="A235">
        <v>232</v>
      </c>
      <c r="C235" t="s">
        <v>1154</v>
      </c>
      <c r="F235" t="s">
        <v>639</v>
      </c>
      <c r="G235" t="s">
        <v>346</v>
      </c>
      <c r="I235" t="s">
        <v>2501</v>
      </c>
      <c r="N235">
        <f t="shared" si="3"/>
        <v>0</v>
      </c>
      <c r="R235" t="s">
        <v>1492</v>
      </c>
    </row>
    <row r="236" spans="1:18" x14ac:dyDescent="0.25">
      <c r="A236">
        <v>233</v>
      </c>
      <c r="C236" t="s">
        <v>1155</v>
      </c>
      <c r="F236" t="s">
        <v>640</v>
      </c>
      <c r="G236" t="s">
        <v>347</v>
      </c>
      <c r="I236" t="s">
        <v>2502</v>
      </c>
      <c r="N236">
        <f t="shared" si="3"/>
        <v>0</v>
      </c>
      <c r="R236" t="s">
        <v>1493</v>
      </c>
    </row>
    <row r="237" spans="1:18" x14ac:dyDescent="0.25">
      <c r="A237">
        <v>234</v>
      </c>
      <c r="C237" t="s">
        <v>1156</v>
      </c>
      <c r="F237" t="s">
        <v>641</v>
      </c>
      <c r="G237" t="s">
        <v>348</v>
      </c>
      <c r="I237" t="s">
        <v>2503</v>
      </c>
      <c r="N237">
        <f t="shared" si="3"/>
        <v>0</v>
      </c>
      <c r="R237" t="s">
        <v>1494</v>
      </c>
    </row>
    <row r="238" spans="1:18" x14ac:dyDescent="0.25">
      <c r="A238">
        <v>235</v>
      </c>
      <c r="C238" t="s">
        <v>1157</v>
      </c>
      <c r="F238" t="s">
        <v>642</v>
      </c>
      <c r="G238" t="s">
        <v>349</v>
      </c>
      <c r="I238" t="s">
        <v>2504</v>
      </c>
      <c r="N238">
        <f t="shared" si="3"/>
        <v>0</v>
      </c>
      <c r="R238" t="s">
        <v>1495</v>
      </c>
    </row>
    <row r="239" spans="1:18" x14ac:dyDescent="0.25">
      <c r="A239">
        <v>236</v>
      </c>
      <c r="C239" t="s">
        <v>1158</v>
      </c>
      <c r="F239" t="s">
        <v>643</v>
      </c>
      <c r="G239" t="s">
        <v>350</v>
      </c>
      <c r="I239" t="s">
        <v>2505</v>
      </c>
      <c r="N239">
        <f t="shared" si="3"/>
        <v>0</v>
      </c>
      <c r="R239" t="s">
        <v>1496</v>
      </c>
    </row>
    <row r="240" spans="1:18" x14ac:dyDescent="0.25">
      <c r="A240">
        <v>237</v>
      </c>
      <c r="B240" s="8"/>
      <c r="C240" s="8" t="s">
        <v>1159</v>
      </c>
      <c r="E240">
        <v>40.67</v>
      </c>
      <c r="F240" t="s">
        <v>644</v>
      </c>
      <c r="G240" t="s">
        <v>351</v>
      </c>
      <c r="H240">
        <v>71.5</v>
      </c>
      <c r="I240" t="s">
        <v>2506</v>
      </c>
      <c r="M240">
        <f>SUM(40.67*$M$2,23.9*$M$3)</f>
        <v>28.930999999999997</v>
      </c>
      <c r="N240">
        <f t="shared" si="3"/>
        <v>62.250999999999998</v>
      </c>
      <c r="R240" t="s">
        <v>1497</v>
      </c>
    </row>
    <row r="241" spans="1:18" x14ac:dyDescent="0.25">
      <c r="A241">
        <v>238</v>
      </c>
      <c r="C241" t="s">
        <v>1160</v>
      </c>
      <c r="F241" t="s">
        <v>645</v>
      </c>
      <c r="G241" t="s">
        <v>352</v>
      </c>
      <c r="I241" t="s">
        <v>2507</v>
      </c>
      <c r="N241">
        <f t="shared" si="3"/>
        <v>0</v>
      </c>
      <c r="R241" t="s">
        <v>1498</v>
      </c>
    </row>
    <row r="242" spans="1:18" x14ac:dyDescent="0.25">
      <c r="A242">
        <v>239</v>
      </c>
      <c r="C242" t="s">
        <v>1161</v>
      </c>
      <c r="F242" t="s">
        <v>646</v>
      </c>
      <c r="G242" t="s">
        <v>353</v>
      </c>
      <c r="I242" t="s">
        <v>2508</v>
      </c>
      <c r="N242">
        <f t="shared" si="3"/>
        <v>0</v>
      </c>
      <c r="R242" t="s">
        <v>1499</v>
      </c>
    </row>
    <row r="243" spans="1:18" x14ac:dyDescent="0.25">
      <c r="A243">
        <v>240</v>
      </c>
      <c r="C243" t="s">
        <v>1162</v>
      </c>
      <c r="F243" t="s">
        <v>647</v>
      </c>
      <c r="G243" t="s">
        <v>354</v>
      </c>
      <c r="I243" t="s">
        <v>2509</v>
      </c>
      <c r="N243">
        <f t="shared" si="3"/>
        <v>0</v>
      </c>
      <c r="R243" t="s">
        <v>1500</v>
      </c>
    </row>
    <row r="244" spans="1:18" x14ac:dyDescent="0.25">
      <c r="A244">
        <v>241</v>
      </c>
      <c r="C244" t="s">
        <v>1163</v>
      </c>
      <c r="F244" t="s">
        <v>648</v>
      </c>
      <c r="G244" t="s">
        <v>355</v>
      </c>
      <c r="I244" t="s">
        <v>2510</v>
      </c>
      <c r="N244">
        <f t="shared" si="3"/>
        <v>0</v>
      </c>
      <c r="R244" t="s">
        <v>1501</v>
      </c>
    </row>
    <row r="245" spans="1:18" x14ac:dyDescent="0.25">
      <c r="A245">
        <v>242</v>
      </c>
      <c r="C245" t="s">
        <v>1164</v>
      </c>
      <c r="F245" t="s">
        <v>649</v>
      </c>
      <c r="G245" t="s">
        <v>356</v>
      </c>
      <c r="I245" t="s">
        <v>2511</v>
      </c>
      <c r="N245">
        <f t="shared" si="3"/>
        <v>0</v>
      </c>
      <c r="R245" t="s">
        <v>1502</v>
      </c>
    </row>
    <row r="246" spans="1:18" x14ac:dyDescent="0.25">
      <c r="A246">
        <v>243</v>
      </c>
      <c r="C246" t="s">
        <v>1165</v>
      </c>
      <c r="F246" t="s">
        <v>650</v>
      </c>
      <c r="G246" t="s">
        <v>357</v>
      </c>
      <c r="I246" t="s">
        <v>2512</v>
      </c>
      <c r="N246">
        <f t="shared" si="3"/>
        <v>0</v>
      </c>
      <c r="R246" t="s">
        <v>1503</v>
      </c>
    </row>
    <row r="247" spans="1:18" x14ac:dyDescent="0.25">
      <c r="A247">
        <v>244</v>
      </c>
      <c r="C247" t="s">
        <v>1166</v>
      </c>
      <c r="F247" t="s">
        <v>651</v>
      </c>
      <c r="G247" t="s">
        <v>358</v>
      </c>
      <c r="I247" t="s">
        <v>2513</v>
      </c>
      <c r="N247">
        <f t="shared" si="3"/>
        <v>0</v>
      </c>
      <c r="R247" t="s">
        <v>1504</v>
      </c>
    </row>
    <row r="248" spans="1:18" x14ac:dyDescent="0.25">
      <c r="A248">
        <v>245</v>
      </c>
      <c r="C248" t="s">
        <v>1167</v>
      </c>
      <c r="E248">
        <v>60</v>
      </c>
      <c r="F248" t="s">
        <v>652</v>
      </c>
      <c r="G248" t="s">
        <v>359</v>
      </c>
      <c r="H248">
        <v>60</v>
      </c>
      <c r="I248" t="s">
        <v>2514</v>
      </c>
      <c r="M248">
        <f>SUM(60*$M$2,70*$M$3)</f>
        <v>67</v>
      </c>
      <c r="N248">
        <f t="shared" si="3"/>
        <v>60</v>
      </c>
      <c r="R248" t="s">
        <v>1505</v>
      </c>
    </row>
    <row r="249" spans="1:18" x14ac:dyDescent="0.25">
      <c r="A249">
        <v>246</v>
      </c>
      <c r="C249" t="s">
        <v>1168</v>
      </c>
      <c r="E249">
        <v>60</v>
      </c>
      <c r="F249" t="s">
        <v>653</v>
      </c>
      <c r="G249" t="s">
        <v>360</v>
      </c>
      <c r="H249">
        <v>150</v>
      </c>
      <c r="I249" t="s">
        <v>2515</v>
      </c>
      <c r="M249">
        <f>SUM(60*$M$2,70*$M$3)</f>
        <v>67</v>
      </c>
      <c r="N249">
        <f t="shared" si="3"/>
        <v>123</v>
      </c>
      <c r="R249" t="s">
        <v>1506</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93E32-DC6C-4ECB-BB22-48D9EE80ADEB}">
  <dimension ref="A1:A246"/>
  <sheetViews>
    <sheetView topLeftCell="A151" workbookViewId="0">
      <selection activeCell="A237" sqref="A237"/>
    </sheetView>
  </sheetViews>
  <sheetFormatPr defaultRowHeight="15" x14ac:dyDescent="0.25"/>
  <cols>
    <col min="2" max="2" width="46.42578125" customWidth="1"/>
  </cols>
  <sheetData>
    <row r="1" spans="1:1" x14ac:dyDescent="0.25">
      <c r="A1" t="s">
        <v>923</v>
      </c>
    </row>
    <row r="2" spans="1:1" x14ac:dyDescent="0.25">
      <c r="A2" t="s">
        <v>924</v>
      </c>
    </row>
    <row r="3" spans="1:1" x14ac:dyDescent="0.25">
      <c r="A3" t="s">
        <v>925</v>
      </c>
    </row>
    <row r="4" spans="1:1" x14ac:dyDescent="0.25">
      <c r="A4" t="s">
        <v>926</v>
      </c>
    </row>
    <row r="5" spans="1:1" x14ac:dyDescent="0.25">
      <c r="A5" t="s">
        <v>927</v>
      </c>
    </row>
    <row r="6" spans="1:1" x14ac:dyDescent="0.25">
      <c r="A6" t="s">
        <v>928</v>
      </c>
    </row>
    <row r="7" spans="1:1" x14ac:dyDescent="0.25">
      <c r="A7" t="s">
        <v>929</v>
      </c>
    </row>
    <row r="8" spans="1:1" x14ac:dyDescent="0.25">
      <c r="A8" t="s">
        <v>930</v>
      </c>
    </row>
    <row r="9" spans="1:1" x14ac:dyDescent="0.25">
      <c r="A9" t="s">
        <v>931</v>
      </c>
    </row>
    <row r="10" spans="1:1" x14ac:dyDescent="0.25">
      <c r="A10" t="s">
        <v>932</v>
      </c>
    </row>
    <row r="11" spans="1:1" x14ac:dyDescent="0.25">
      <c r="A11" t="s">
        <v>933</v>
      </c>
    </row>
    <row r="12" spans="1:1" x14ac:dyDescent="0.25">
      <c r="A12" t="s">
        <v>934</v>
      </c>
    </row>
    <row r="13" spans="1:1" x14ac:dyDescent="0.25">
      <c r="A13" t="s">
        <v>935</v>
      </c>
    </row>
    <row r="14" spans="1:1" x14ac:dyDescent="0.25">
      <c r="A14" t="s">
        <v>936</v>
      </c>
    </row>
    <row r="15" spans="1:1" x14ac:dyDescent="0.25">
      <c r="A15" t="s">
        <v>937</v>
      </c>
    </row>
    <row r="16" spans="1:1" x14ac:dyDescent="0.25">
      <c r="A16" t="s">
        <v>938</v>
      </c>
    </row>
    <row r="17" spans="1:1" x14ac:dyDescent="0.25">
      <c r="A17" t="s">
        <v>939</v>
      </c>
    </row>
    <row r="18" spans="1:1" x14ac:dyDescent="0.25">
      <c r="A18" t="s">
        <v>940</v>
      </c>
    </row>
    <row r="19" spans="1:1" x14ac:dyDescent="0.25">
      <c r="A19" t="s">
        <v>941</v>
      </c>
    </row>
    <row r="20" spans="1:1" x14ac:dyDescent="0.25">
      <c r="A20" t="s">
        <v>942</v>
      </c>
    </row>
    <row r="21" spans="1:1" x14ac:dyDescent="0.25">
      <c r="A21" t="s">
        <v>943</v>
      </c>
    </row>
    <row r="22" spans="1:1" x14ac:dyDescent="0.25">
      <c r="A22" t="s">
        <v>944</v>
      </c>
    </row>
    <row r="23" spans="1:1" x14ac:dyDescent="0.25">
      <c r="A23" t="s">
        <v>945</v>
      </c>
    </row>
    <row r="24" spans="1:1" x14ac:dyDescent="0.25">
      <c r="A24" t="s">
        <v>946</v>
      </c>
    </row>
    <row r="25" spans="1:1" x14ac:dyDescent="0.25">
      <c r="A25" t="s">
        <v>947</v>
      </c>
    </row>
    <row r="26" spans="1:1" x14ac:dyDescent="0.25">
      <c r="A26" t="s">
        <v>948</v>
      </c>
    </row>
    <row r="27" spans="1:1" x14ac:dyDescent="0.25">
      <c r="A27" t="s">
        <v>949</v>
      </c>
    </row>
    <row r="28" spans="1:1" x14ac:dyDescent="0.25">
      <c r="A28" t="s">
        <v>950</v>
      </c>
    </row>
    <row r="29" spans="1:1" x14ac:dyDescent="0.25">
      <c r="A29" t="s">
        <v>951</v>
      </c>
    </row>
    <row r="30" spans="1:1" x14ac:dyDescent="0.25">
      <c r="A30" t="s">
        <v>952</v>
      </c>
    </row>
    <row r="31" spans="1:1" x14ac:dyDescent="0.25">
      <c r="A31" t="s">
        <v>953</v>
      </c>
    </row>
    <row r="32" spans="1:1" x14ac:dyDescent="0.25">
      <c r="A32" t="s">
        <v>954</v>
      </c>
    </row>
    <row r="33" spans="1:1" x14ac:dyDescent="0.25">
      <c r="A33" t="s">
        <v>955</v>
      </c>
    </row>
    <row r="34" spans="1:1" x14ac:dyDescent="0.25">
      <c r="A34" t="s">
        <v>956</v>
      </c>
    </row>
    <row r="35" spans="1:1" x14ac:dyDescent="0.25">
      <c r="A35" t="s">
        <v>957</v>
      </c>
    </row>
    <row r="36" spans="1:1" x14ac:dyDescent="0.25">
      <c r="A36" t="s">
        <v>958</v>
      </c>
    </row>
    <row r="37" spans="1:1" x14ac:dyDescent="0.25">
      <c r="A37" t="s">
        <v>959</v>
      </c>
    </row>
    <row r="38" spans="1:1" x14ac:dyDescent="0.25">
      <c r="A38" t="s">
        <v>960</v>
      </c>
    </row>
    <row r="39" spans="1:1" x14ac:dyDescent="0.25">
      <c r="A39" t="s">
        <v>961</v>
      </c>
    </row>
    <row r="40" spans="1:1" x14ac:dyDescent="0.25">
      <c r="A40" t="s">
        <v>962</v>
      </c>
    </row>
    <row r="41" spans="1:1" x14ac:dyDescent="0.25">
      <c r="A41" t="s">
        <v>963</v>
      </c>
    </row>
    <row r="42" spans="1:1" x14ac:dyDescent="0.25">
      <c r="A42" t="s">
        <v>964</v>
      </c>
    </row>
    <row r="43" spans="1:1" x14ac:dyDescent="0.25">
      <c r="A43" t="s">
        <v>965</v>
      </c>
    </row>
    <row r="44" spans="1:1" x14ac:dyDescent="0.25">
      <c r="A44" t="s">
        <v>966</v>
      </c>
    </row>
    <row r="45" spans="1:1" x14ac:dyDescent="0.25">
      <c r="A45" t="s">
        <v>967</v>
      </c>
    </row>
    <row r="46" spans="1:1" x14ac:dyDescent="0.25">
      <c r="A46" t="s">
        <v>968</v>
      </c>
    </row>
    <row r="47" spans="1:1" x14ac:dyDescent="0.25">
      <c r="A47" t="s">
        <v>969</v>
      </c>
    </row>
    <row r="48" spans="1:1" x14ac:dyDescent="0.25">
      <c r="A48" t="s">
        <v>970</v>
      </c>
    </row>
    <row r="49" spans="1:1" x14ac:dyDescent="0.25">
      <c r="A49" t="s">
        <v>971</v>
      </c>
    </row>
    <row r="50" spans="1:1" x14ac:dyDescent="0.25">
      <c r="A50" t="s">
        <v>972</v>
      </c>
    </row>
    <row r="51" spans="1:1" x14ac:dyDescent="0.25">
      <c r="A51" t="s">
        <v>973</v>
      </c>
    </row>
    <row r="52" spans="1:1" x14ac:dyDescent="0.25">
      <c r="A52" t="s">
        <v>974</v>
      </c>
    </row>
    <row r="53" spans="1:1" x14ac:dyDescent="0.25">
      <c r="A53" t="s">
        <v>975</v>
      </c>
    </row>
    <row r="54" spans="1:1" x14ac:dyDescent="0.25">
      <c r="A54" t="s">
        <v>976</v>
      </c>
    </row>
    <row r="55" spans="1:1" x14ac:dyDescent="0.25">
      <c r="A55" t="s">
        <v>977</v>
      </c>
    </row>
    <row r="56" spans="1:1" x14ac:dyDescent="0.25">
      <c r="A56" t="s">
        <v>978</v>
      </c>
    </row>
    <row r="57" spans="1:1" x14ac:dyDescent="0.25">
      <c r="A57" t="s">
        <v>979</v>
      </c>
    </row>
    <row r="58" spans="1:1" x14ac:dyDescent="0.25">
      <c r="A58" t="s">
        <v>980</v>
      </c>
    </row>
    <row r="59" spans="1:1" x14ac:dyDescent="0.25">
      <c r="A59" t="s">
        <v>981</v>
      </c>
    </row>
    <row r="60" spans="1:1" x14ac:dyDescent="0.25">
      <c r="A60" t="s">
        <v>982</v>
      </c>
    </row>
    <row r="61" spans="1:1" x14ac:dyDescent="0.25">
      <c r="A61" t="s">
        <v>983</v>
      </c>
    </row>
    <row r="62" spans="1:1" x14ac:dyDescent="0.25">
      <c r="A62" t="s">
        <v>984</v>
      </c>
    </row>
    <row r="63" spans="1:1" x14ac:dyDescent="0.25">
      <c r="A63" t="s">
        <v>985</v>
      </c>
    </row>
    <row r="64" spans="1:1" x14ac:dyDescent="0.25">
      <c r="A64" t="s">
        <v>986</v>
      </c>
    </row>
    <row r="65" spans="1:1" x14ac:dyDescent="0.25">
      <c r="A65" t="s">
        <v>987</v>
      </c>
    </row>
    <row r="66" spans="1:1" x14ac:dyDescent="0.25">
      <c r="A66" t="s">
        <v>988</v>
      </c>
    </row>
    <row r="67" spans="1:1" x14ac:dyDescent="0.25">
      <c r="A67" t="s">
        <v>989</v>
      </c>
    </row>
    <row r="68" spans="1:1" x14ac:dyDescent="0.25">
      <c r="A68" t="s">
        <v>990</v>
      </c>
    </row>
    <row r="69" spans="1:1" x14ac:dyDescent="0.25">
      <c r="A69" t="s">
        <v>991</v>
      </c>
    </row>
    <row r="70" spans="1:1" x14ac:dyDescent="0.25">
      <c r="A70" t="s">
        <v>992</v>
      </c>
    </row>
    <row r="71" spans="1:1" x14ac:dyDescent="0.25">
      <c r="A71" t="s">
        <v>993</v>
      </c>
    </row>
    <row r="72" spans="1:1" x14ac:dyDescent="0.25">
      <c r="A72" t="s">
        <v>994</v>
      </c>
    </row>
    <row r="73" spans="1:1" x14ac:dyDescent="0.25">
      <c r="A73" t="s">
        <v>995</v>
      </c>
    </row>
    <row r="74" spans="1:1" x14ac:dyDescent="0.25">
      <c r="A74" t="s">
        <v>996</v>
      </c>
    </row>
    <row r="75" spans="1:1" x14ac:dyDescent="0.25">
      <c r="A75" t="s">
        <v>997</v>
      </c>
    </row>
    <row r="76" spans="1:1" x14ac:dyDescent="0.25">
      <c r="A76" t="s">
        <v>998</v>
      </c>
    </row>
    <row r="77" spans="1:1" x14ac:dyDescent="0.25">
      <c r="A77" t="s">
        <v>999</v>
      </c>
    </row>
    <row r="78" spans="1:1" x14ac:dyDescent="0.25">
      <c r="A78" t="s">
        <v>1000</v>
      </c>
    </row>
    <row r="79" spans="1:1" x14ac:dyDescent="0.25">
      <c r="A79" t="s">
        <v>1001</v>
      </c>
    </row>
    <row r="80" spans="1:1" x14ac:dyDescent="0.25">
      <c r="A80" t="s">
        <v>1002</v>
      </c>
    </row>
    <row r="81" spans="1:1" x14ac:dyDescent="0.25">
      <c r="A81" t="s">
        <v>1003</v>
      </c>
    </row>
    <row r="82" spans="1:1" x14ac:dyDescent="0.25">
      <c r="A82" t="s">
        <v>1004</v>
      </c>
    </row>
    <row r="83" spans="1:1" x14ac:dyDescent="0.25">
      <c r="A83" t="s">
        <v>1005</v>
      </c>
    </row>
    <row r="84" spans="1:1" x14ac:dyDescent="0.25">
      <c r="A84" t="s">
        <v>1006</v>
      </c>
    </row>
    <row r="85" spans="1:1" x14ac:dyDescent="0.25">
      <c r="A85" t="s">
        <v>1007</v>
      </c>
    </row>
    <row r="86" spans="1:1" x14ac:dyDescent="0.25">
      <c r="A86" t="s">
        <v>1008</v>
      </c>
    </row>
    <row r="87" spans="1:1" x14ac:dyDescent="0.25">
      <c r="A87" t="s">
        <v>1009</v>
      </c>
    </row>
    <row r="88" spans="1:1" x14ac:dyDescent="0.25">
      <c r="A88" t="s">
        <v>1010</v>
      </c>
    </row>
    <row r="89" spans="1:1" x14ac:dyDescent="0.25">
      <c r="A89" t="s">
        <v>1011</v>
      </c>
    </row>
    <row r="90" spans="1:1" x14ac:dyDescent="0.25">
      <c r="A90" t="s">
        <v>1012</v>
      </c>
    </row>
    <row r="91" spans="1:1" x14ac:dyDescent="0.25">
      <c r="A91" t="s">
        <v>1013</v>
      </c>
    </row>
    <row r="92" spans="1:1" x14ac:dyDescent="0.25">
      <c r="A92" t="s">
        <v>1014</v>
      </c>
    </row>
    <row r="93" spans="1:1" x14ac:dyDescent="0.25">
      <c r="A93" t="s">
        <v>1015</v>
      </c>
    </row>
    <row r="94" spans="1:1" x14ac:dyDescent="0.25">
      <c r="A94" t="s">
        <v>1016</v>
      </c>
    </row>
    <row r="95" spans="1:1" x14ac:dyDescent="0.25">
      <c r="A95" t="s">
        <v>1017</v>
      </c>
    </row>
    <row r="96" spans="1:1" x14ac:dyDescent="0.25">
      <c r="A96" t="s">
        <v>1018</v>
      </c>
    </row>
    <row r="97" spans="1:1" x14ac:dyDescent="0.25">
      <c r="A97" t="s">
        <v>1019</v>
      </c>
    </row>
    <row r="98" spans="1:1" x14ac:dyDescent="0.25">
      <c r="A98" t="s">
        <v>1020</v>
      </c>
    </row>
    <row r="99" spans="1:1" x14ac:dyDescent="0.25">
      <c r="A99" t="s">
        <v>1021</v>
      </c>
    </row>
    <row r="100" spans="1:1" x14ac:dyDescent="0.25">
      <c r="A100" t="s">
        <v>1022</v>
      </c>
    </row>
    <row r="101" spans="1:1" x14ac:dyDescent="0.25">
      <c r="A101" t="s">
        <v>1023</v>
      </c>
    </row>
    <row r="102" spans="1:1" x14ac:dyDescent="0.25">
      <c r="A102" t="s">
        <v>1024</v>
      </c>
    </row>
    <row r="103" spans="1:1" x14ac:dyDescent="0.25">
      <c r="A103" t="s">
        <v>1025</v>
      </c>
    </row>
    <row r="104" spans="1:1" x14ac:dyDescent="0.25">
      <c r="A104" t="s">
        <v>1026</v>
      </c>
    </row>
    <row r="105" spans="1:1" x14ac:dyDescent="0.25">
      <c r="A105" t="s">
        <v>1027</v>
      </c>
    </row>
    <row r="106" spans="1:1" x14ac:dyDescent="0.25">
      <c r="A106" t="s">
        <v>1028</v>
      </c>
    </row>
    <row r="107" spans="1:1" x14ac:dyDescent="0.25">
      <c r="A107" t="s">
        <v>1029</v>
      </c>
    </row>
    <row r="108" spans="1:1" x14ac:dyDescent="0.25">
      <c r="A108" t="s">
        <v>1030</v>
      </c>
    </row>
    <row r="109" spans="1:1" x14ac:dyDescent="0.25">
      <c r="A109" t="s">
        <v>1031</v>
      </c>
    </row>
    <row r="110" spans="1:1" x14ac:dyDescent="0.25">
      <c r="A110" t="s">
        <v>1032</v>
      </c>
    </row>
    <row r="111" spans="1:1" x14ac:dyDescent="0.25">
      <c r="A111" t="s">
        <v>1033</v>
      </c>
    </row>
    <row r="112" spans="1:1" x14ac:dyDescent="0.25">
      <c r="A112" t="s">
        <v>1034</v>
      </c>
    </row>
    <row r="113" spans="1:1" x14ac:dyDescent="0.25">
      <c r="A113" t="s">
        <v>1035</v>
      </c>
    </row>
    <row r="114" spans="1:1" x14ac:dyDescent="0.25">
      <c r="A114" t="s">
        <v>1036</v>
      </c>
    </row>
    <row r="115" spans="1:1" x14ac:dyDescent="0.25">
      <c r="A115" t="s">
        <v>1037</v>
      </c>
    </row>
    <row r="116" spans="1:1" x14ac:dyDescent="0.25">
      <c r="A116" t="s">
        <v>1038</v>
      </c>
    </row>
    <row r="117" spans="1:1" x14ac:dyDescent="0.25">
      <c r="A117" t="s">
        <v>1039</v>
      </c>
    </row>
    <row r="118" spans="1:1" x14ac:dyDescent="0.25">
      <c r="A118" t="s">
        <v>1040</v>
      </c>
    </row>
    <row r="119" spans="1:1" x14ac:dyDescent="0.25">
      <c r="A119" t="s">
        <v>1041</v>
      </c>
    </row>
    <row r="120" spans="1:1" x14ac:dyDescent="0.25">
      <c r="A120" t="s">
        <v>1042</v>
      </c>
    </row>
    <row r="121" spans="1:1" x14ac:dyDescent="0.25">
      <c r="A121" t="s">
        <v>1043</v>
      </c>
    </row>
    <row r="122" spans="1:1" x14ac:dyDescent="0.25">
      <c r="A122" t="s">
        <v>1044</v>
      </c>
    </row>
    <row r="123" spans="1:1" x14ac:dyDescent="0.25">
      <c r="A123" t="s">
        <v>1045</v>
      </c>
    </row>
    <row r="124" spans="1:1" x14ac:dyDescent="0.25">
      <c r="A124" t="s">
        <v>1046</v>
      </c>
    </row>
    <row r="125" spans="1:1" x14ac:dyDescent="0.25">
      <c r="A125" t="s">
        <v>1047</v>
      </c>
    </row>
    <row r="126" spans="1:1" x14ac:dyDescent="0.25">
      <c r="A126" t="s">
        <v>1048</v>
      </c>
    </row>
    <row r="127" spans="1:1" x14ac:dyDescent="0.25">
      <c r="A127" t="s">
        <v>1049</v>
      </c>
    </row>
    <row r="128" spans="1:1" x14ac:dyDescent="0.25">
      <c r="A128" t="s">
        <v>1050</v>
      </c>
    </row>
    <row r="129" spans="1:1" x14ac:dyDescent="0.25">
      <c r="A129" t="s">
        <v>1051</v>
      </c>
    </row>
    <row r="130" spans="1:1" x14ac:dyDescent="0.25">
      <c r="A130" t="s">
        <v>1052</v>
      </c>
    </row>
    <row r="131" spans="1:1" x14ac:dyDescent="0.25">
      <c r="A131" t="s">
        <v>1053</v>
      </c>
    </row>
    <row r="132" spans="1:1" x14ac:dyDescent="0.25">
      <c r="A132" t="s">
        <v>1054</v>
      </c>
    </row>
    <row r="133" spans="1:1" x14ac:dyDescent="0.25">
      <c r="A133" t="s">
        <v>1055</v>
      </c>
    </row>
    <row r="134" spans="1:1" x14ac:dyDescent="0.25">
      <c r="A134" t="s">
        <v>1056</v>
      </c>
    </row>
    <row r="135" spans="1:1" x14ac:dyDescent="0.25">
      <c r="A135" t="s">
        <v>1057</v>
      </c>
    </row>
    <row r="136" spans="1:1" x14ac:dyDescent="0.25">
      <c r="A136" t="s">
        <v>1058</v>
      </c>
    </row>
    <row r="137" spans="1:1" x14ac:dyDescent="0.25">
      <c r="A137" t="s">
        <v>1059</v>
      </c>
    </row>
    <row r="138" spans="1:1" x14ac:dyDescent="0.25">
      <c r="A138" t="s">
        <v>1060</v>
      </c>
    </row>
    <row r="139" spans="1:1" x14ac:dyDescent="0.25">
      <c r="A139" t="s">
        <v>1061</v>
      </c>
    </row>
    <row r="140" spans="1:1" x14ac:dyDescent="0.25">
      <c r="A140" t="s">
        <v>1062</v>
      </c>
    </row>
    <row r="141" spans="1:1" x14ac:dyDescent="0.25">
      <c r="A141" t="s">
        <v>1063</v>
      </c>
    </row>
    <row r="142" spans="1:1" x14ac:dyDescent="0.25">
      <c r="A142" t="s">
        <v>1064</v>
      </c>
    </row>
    <row r="143" spans="1:1" x14ac:dyDescent="0.25">
      <c r="A143" t="s">
        <v>1065</v>
      </c>
    </row>
    <row r="144" spans="1:1" x14ac:dyDescent="0.25">
      <c r="A144" t="s">
        <v>1066</v>
      </c>
    </row>
    <row r="145" spans="1:1" x14ac:dyDescent="0.25">
      <c r="A145" t="s">
        <v>1067</v>
      </c>
    </row>
    <row r="146" spans="1:1" x14ac:dyDescent="0.25">
      <c r="A146" t="s">
        <v>1068</v>
      </c>
    </row>
    <row r="147" spans="1:1" x14ac:dyDescent="0.25">
      <c r="A147" t="s">
        <v>1069</v>
      </c>
    </row>
    <row r="148" spans="1:1" x14ac:dyDescent="0.25">
      <c r="A148" t="s">
        <v>1070</v>
      </c>
    </row>
    <row r="149" spans="1:1" x14ac:dyDescent="0.25">
      <c r="A149" t="s">
        <v>1071</v>
      </c>
    </row>
    <row r="150" spans="1:1" x14ac:dyDescent="0.25">
      <c r="A150" t="s">
        <v>1072</v>
      </c>
    </row>
    <row r="151" spans="1:1" x14ac:dyDescent="0.25">
      <c r="A151" t="s">
        <v>1073</v>
      </c>
    </row>
    <row r="152" spans="1:1" x14ac:dyDescent="0.25">
      <c r="A152" t="s">
        <v>1074</v>
      </c>
    </row>
    <row r="153" spans="1:1" x14ac:dyDescent="0.25">
      <c r="A153" t="s">
        <v>1075</v>
      </c>
    </row>
    <row r="154" spans="1:1" x14ac:dyDescent="0.25">
      <c r="A154" t="s">
        <v>1076</v>
      </c>
    </row>
    <row r="155" spans="1:1" x14ac:dyDescent="0.25">
      <c r="A155" t="s">
        <v>1077</v>
      </c>
    </row>
    <row r="156" spans="1:1" x14ac:dyDescent="0.25">
      <c r="A156" t="s">
        <v>1078</v>
      </c>
    </row>
    <row r="157" spans="1:1" x14ac:dyDescent="0.25">
      <c r="A157" t="s">
        <v>1079</v>
      </c>
    </row>
    <row r="158" spans="1:1" x14ac:dyDescent="0.25">
      <c r="A158" t="s">
        <v>1080</v>
      </c>
    </row>
    <row r="159" spans="1:1" x14ac:dyDescent="0.25">
      <c r="A159" t="s">
        <v>1081</v>
      </c>
    </row>
    <row r="160" spans="1:1" x14ac:dyDescent="0.25">
      <c r="A160" t="s">
        <v>1082</v>
      </c>
    </row>
    <row r="161" spans="1:1" x14ac:dyDescent="0.25">
      <c r="A161" t="s">
        <v>1083</v>
      </c>
    </row>
    <row r="162" spans="1:1" x14ac:dyDescent="0.25">
      <c r="A162" t="s">
        <v>1084</v>
      </c>
    </row>
    <row r="163" spans="1:1" x14ac:dyDescent="0.25">
      <c r="A163" t="s">
        <v>1085</v>
      </c>
    </row>
    <row r="164" spans="1:1" x14ac:dyDescent="0.25">
      <c r="A164" t="s">
        <v>1086</v>
      </c>
    </row>
    <row r="165" spans="1:1" x14ac:dyDescent="0.25">
      <c r="A165" t="s">
        <v>1087</v>
      </c>
    </row>
    <row r="166" spans="1:1" x14ac:dyDescent="0.25">
      <c r="A166" t="s">
        <v>1088</v>
      </c>
    </row>
    <row r="167" spans="1:1" x14ac:dyDescent="0.25">
      <c r="A167" t="s">
        <v>1089</v>
      </c>
    </row>
    <row r="168" spans="1:1" x14ac:dyDescent="0.25">
      <c r="A168" t="s">
        <v>1090</v>
      </c>
    </row>
    <row r="169" spans="1:1" x14ac:dyDescent="0.25">
      <c r="A169" t="s">
        <v>1091</v>
      </c>
    </row>
    <row r="170" spans="1:1" x14ac:dyDescent="0.25">
      <c r="A170" t="s">
        <v>1092</v>
      </c>
    </row>
    <row r="171" spans="1:1" x14ac:dyDescent="0.25">
      <c r="A171" t="s">
        <v>1093</v>
      </c>
    </row>
    <row r="172" spans="1:1" x14ac:dyDescent="0.25">
      <c r="A172" t="s">
        <v>1094</v>
      </c>
    </row>
    <row r="173" spans="1:1" x14ac:dyDescent="0.25">
      <c r="A173" t="s">
        <v>1095</v>
      </c>
    </row>
    <row r="174" spans="1:1" x14ac:dyDescent="0.25">
      <c r="A174" t="s">
        <v>1096</v>
      </c>
    </row>
    <row r="175" spans="1:1" x14ac:dyDescent="0.25">
      <c r="A175" t="s">
        <v>1097</v>
      </c>
    </row>
    <row r="176" spans="1:1" x14ac:dyDescent="0.25">
      <c r="A176" t="s">
        <v>1098</v>
      </c>
    </row>
    <row r="177" spans="1:1" x14ac:dyDescent="0.25">
      <c r="A177" t="s">
        <v>1099</v>
      </c>
    </row>
    <row r="178" spans="1:1" x14ac:dyDescent="0.25">
      <c r="A178" t="s">
        <v>1100</v>
      </c>
    </row>
    <row r="179" spans="1:1" x14ac:dyDescent="0.25">
      <c r="A179" t="s">
        <v>1101</v>
      </c>
    </row>
    <row r="180" spans="1:1" x14ac:dyDescent="0.25">
      <c r="A180" t="s">
        <v>1102</v>
      </c>
    </row>
    <row r="181" spans="1:1" x14ac:dyDescent="0.25">
      <c r="A181" t="s">
        <v>1103</v>
      </c>
    </row>
    <row r="182" spans="1:1" x14ac:dyDescent="0.25">
      <c r="A182" t="s">
        <v>1104</v>
      </c>
    </row>
    <row r="183" spans="1:1" x14ac:dyDescent="0.25">
      <c r="A183" t="s">
        <v>1105</v>
      </c>
    </row>
    <row r="184" spans="1:1" x14ac:dyDescent="0.25">
      <c r="A184" t="s">
        <v>1106</v>
      </c>
    </row>
    <row r="185" spans="1:1" x14ac:dyDescent="0.25">
      <c r="A185" t="s">
        <v>1107</v>
      </c>
    </row>
    <row r="186" spans="1:1" x14ac:dyDescent="0.25">
      <c r="A186" t="s">
        <v>1108</v>
      </c>
    </row>
    <row r="187" spans="1:1" x14ac:dyDescent="0.25">
      <c r="A187" t="s">
        <v>1109</v>
      </c>
    </row>
    <row r="188" spans="1:1" x14ac:dyDescent="0.25">
      <c r="A188" t="s">
        <v>1110</v>
      </c>
    </row>
    <row r="189" spans="1:1" x14ac:dyDescent="0.25">
      <c r="A189" t="s">
        <v>1111</v>
      </c>
    </row>
    <row r="190" spans="1:1" x14ac:dyDescent="0.25">
      <c r="A190" t="s">
        <v>1112</v>
      </c>
    </row>
    <row r="191" spans="1:1" x14ac:dyDescent="0.25">
      <c r="A191" t="s">
        <v>1113</v>
      </c>
    </row>
    <row r="192" spans="1:1" x14ac:dyDescent="0.25">
      <c r="A192" t="s">
        <v>1114</v>
      </c>
    </row>
    <row r="193" spans="1:1" x14ac:dyDescent="0.25">
      <c r="A193" t="s">
        <v>1115</v>
      </c>
    </row>
    <row r="194" spans="1:1" x14ac:dyDescent="0.25">
      <c r="A194" t="s">
        <v>1116</v>
      </c>
    </row>
    <row r="195" spans="1:1" x14ac:dyDescent="0.25">
      <c r="A195" t="s">
        <v>1117</v>
      </c>
    </row>
    <row r="196" spans="1:1" x14ac:dyDescent="0.25">
      <c r="A196" t="s">
        <v>1118</v>
      </c>
    </row>
    <row r="197" spans="1:1" x14ac:dyDescent="0.25">
      <c r="A197" t="s">
        <v>1119</v>
      </c>
    </row>
    <row r="198" spans="1:1" x14ac:dyDescent="0.25">
      <c r="A198" t="s">
        <v>1120</v>
      </c>
    </row>
    <row r="199" spans="1:1" x14ac:dyDescent="0.25">
      <c r="A199" t="s">
        <v>1121</v>
      </c>
    </row>
    <row r="200" spans="1:1" x14ac:dyDescent="0.25">
      <c r="A200" t="s">
        <v>1122</v>
      </c>
    </row>
    <row r="201" spans="1:1" x14ac:dyDescent="0.25">
      <c r="A201" t="s">
        <v>1123</v>
      </c>
    </row>
    <row r="202" spans="1:1" x14ac:dyDescent="0.25">
      <c r="A202" t="s">
        <v>1124</v>
      </c>
    </row>
    <row r="203" spans="1:1" x14ac:dyDescent="0.25">
      <c r="A203" t="s">
        <v>1125</v>
      </c>
    </row>
    <row r="204" spans="1:1" x14ac:dyDescent="0.25">
      <c r="A204" t="s">
        <v>1126</v>
      </c>
    </row>
    <row r="205" spans="1:1" x14ac:dyDescent="0.25">
      <c r="A205" t="s">
        <v>1127</v>
      </c>
    </row>
    <row r="206" spans="1:1" x14ac:dyDescent="0.25">
      <c r="A206" t="s">
        <v>1128</v>
      </c>
    </row>
    <row r="207" spans="1:1" x14ac:dyDescent="0.25">
      <c r="A207" t="s">
        <v>1129</v>
      </c>
    </row>
    <row r="208" spans="1:1" x14ac:dyDescent="0.25">
      <c r="A208" t="s">
        <v>1130</v>
      </c>
    </row>
    <row r="209" spans="1:1" x14ac:dyDescent="0.25">
      <c r="A209" t="s">
        <v>1131</v>
      </c>
    </row>
    <row r="210" spans="1:1" x14ac:dyDescent="0.25">
      <c r="A210" t="s">
        <v>1132</v>
      </c>
    </row>
    <row r="211" spans="1:1" x14ac:dyDescent="0.25">
      <c r="A211" t="s">
        <v>1133</v>
      </c>
    </row>
    <row r="212" spans="1:1" x14ac:dyDescent="0.25">
      <c r="A212" t="s">
        <v>1134</v>
      </c>
    </row>
    <row r="213" spans="1:1" x14ac:dyDescent="0.25">
      <c r="A213" t="s">
        <v>1135</v>
      </c>
    </row>
    <row r="214" spans="1:1" x14ac:dyDescent="0.25">
      <c r="A214" t="s">
        <v>1136</v>
      </c>
    </row>
    <row r="215" spans="1:1" x14ac:dyDescent="0.25">
      <c r="A215" t="s">
        <v>1137</v>
      </c>
    </row>
    <row r="216" spans="1:1" x14ac:dyDescent="0.25">
      <c r="A216" t="s">
        <v>1138</v>
      </c>
    </row>
    <row r="217" spans="1:1" x14ac:dyDescent="0.25">
      <c r="A217" t="s">
        <v>1139</v>
      </c>
    </row>
    <row r="218" spans="1:1" x14ac:dyDescent="0.25">
      <c r="A218" t="s">
        <v>1140</v>
      </c>
    </row>
    <row r="219" spans="1:1" x14ac:dyDescent="0.25">
      <c r="A219" t="s">
        <v>1141</v>
      </c>
    </row>
    <row r="220" spans="1:1" x14ac:dyDescent="0.25">
      <c r="A220" t="s">
        <v>1142</v>
      </c>
    </row>
    <row r="221" spans="1:1" x14ac:dyDescent="0.25">
      <c r="A221" t="s">
        <v>1143</v>
      </c>
    </row>
    <row r="222" spans="1:1" x14ac:dyDescent="0.25">
      <c r="A222" t="s">
        <v>1144</v>
      </c>
    </row>
    <row r="223" spans="1:1" x14ac:dyDescent="0.25">
      <c r="A223" t="s">
        <v>1145</v>
      </c>
    </row>
    <row r="224" spans="1:1" x14ac:dyDescent="0.25">
      <c r="A224" t="s">
        <v>1146</v>
      </c>
    </row>
    <row r="225" spans="1:1" x14ac:dyDescent="0.25">
      <c r="A225" t="s">
        <v>1147</v>
      </c>
    </row>
    <row r="226" spans="1:1" x14ac:dyDescent="0.25">
      <c r="A226" t="s">
        <v>1148</v>
      </c>
    </row>
    <row r="227" spans="1:1" x14ac:dyDescent="0.25">
      <c r="A227" t="s">
        <v>1149</v>
      </c>
    </row>
    <row r="228" spans="1:1" x14ac:dyDescent="0.25">
      <c r="A228" t="s">
        <v>1150</v>
      </c>
    </row>
    <row r="229" spans="1:1" x14ac:dyDescent="0.25">
      <c r="A229" t="s">
        <v>1151</v>
      </c>
    </row>
    <row r="230" spans="1:1" x14ac:dyDescent="0.25">
      <c r="A230" t="s">
        <v>1152</v>
      </c>
    </row>
    <row r="231" spans="1:1" x14ac:dyDescent="0.25">
      <c r="A231" t="s">
        <v>1153</v>
      </c>
    </row>
    <row r="232" spans="1:1" x14ac:dyDescent="0.25">
      <c r="A232" t="s">
        <v>1154</v>
      </c>
    </row>
    <row r="233" spans="1:1" x14ac:dyDescent="0.25">
      <c r="A233" t="s">
        <v>1155</v>
      </c>
    </row>
    <row r="234" spans="1:1" x14ac:dyDescent="0.25">
      <c r="A234" t="s">
        <v>1156</v>
      </c>
    </row>
    <row r="235" spans="1:1" x14ac:dyDescent="0.25">
      <c r="A235" t="s">
        <v>1157</v>
      </c>
    </row>
    <row r="236" spans="1:1" x14ac:dyDescent="0.25">
      <c r="A236" t="s">
        <v>1158</v>
      </c>
    </row>
    <row r="237" spans="1:1" x14ac:dyDescent="0.25">
      <c r="A237" t="s">
        <v>1159</v>
      </c>
    </row>
    <row r="238" spans="1:1" x14ac:dyDescent="0.25">
      <c r="A238" t="s">
        <v>1160</v>
      </c>
    </row>
    <row r="239" spans="1:1" x14ac:dyDescent="0.25">
      <c r="A239" t="s">
        <v>1161</v>
      </c>
    </row>
    <row r="240" spans="1:1" x14ac:dyDescent="0.25">
      <c r="A240" t="s">
        <v>1162</v>
      </c>
    </row>
    <row r="241" spans="1:1" x14ac:dyDescent="0.25">
      <c r="A241" t="s">
        <v>1163</v>
      </c>
    </row>
    <row r="242" spans="1:1" x14ac:dyDescent="0.25">
      <c r="A242" t="s">
        <v>1164</v>
      </c>
    </row>
    <row r="243" spans="1:1" x14ac:dyDescent="0.25">
      <c r="A243" t="s">
        <v>1165</v>
      </c>
    </row>
    <row r="244" spans="1:1" x14ac:dyDescent="0.25">
      <c r="A244" t="s">
        <v>1166</v>
      </c>
    </row>
    <row r="245" spans="1:1" x14ac:dyDescent="0.25">
      <c r="A245" t="s">
        <v>1167</v>
      </c>
    </row>
    <row r="246" spans="1:1" x14ac:dyDescent="0.25">
      <c r="A246" t="s">
        <v>1168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A0EA-7704-4FEF-8F55-8FC755A29D78}">
  <dimension ref="A2:C247"/>
  <sheetViews>
    <sheetView topLeftCell="A200" workbookViewId="0">
      <selection activeCell="A219" sqref="A219"/>
    </sheetView>
  </sheetViews>
  <sheetFormatPr defaultRowHeight="15" x14ac:dyDescent="0.25"/>
  <cols>
    <col min="1" max="1" width="51.140625" customWidth="1"/>
  </cols>
  <sheetData>
    <row r="2" spans="1:1" x14ac:dyDescent="0.25">
      <c r="A2" t="s">
        <v>115</v>
      </c>
    </row>
    <row r="3" spans="1:1" x14ac:dyDescent="0.25">
      <c r="A3" t="s">
        <v>116</v>
      </c>
    </row>
    <row r="4" spans="1:1" x14ac:dyDescent="0.25">
      <c r="A4" t="s">
        <v>117</v>
      </c>
    </row>
    <row r="5" spans="1:1" x14ac:dyDescent="0.25">
      <c r="A5" t="s">
        <v>118</v>
      </c>
    </row>
    <row r="6" spans="1:1" x14ac:dyDescent="0.25">
      <c r="A6" t="s">
        <v>119</v>
      </c>
    </row>
    <row r="7" spans="1:1" x14ac:dyDescent="0.25">
      <c r="A7" t="s">
        <v>120</v>
      </c>
    </row>
    <row r="8" spans="1:1" x14ac:dyDescent="0.25">
      <c r="A8" t="s">
        <v>121</v>
      </c>
    </row>
    <row r="9" spans="1:1" x14ac:dyDescent="0.25">
      <c r="A9" t="s">
        <v>122</v>
      </c>
    </row>
    <row r="10" spans="1:1" x14ac:dyDescent="0.25">
      <c r="A10" t="s">
        <v>123</v>
      </c>
    </row>
    <row r="11" spans="1:1" x14ac:dyDescent="0.25">
      <c r="A11" t="s">
        <v>124</v>
      </c>
    </row>
    <row r="12" spans="1:1" x14ac:dyDescent="0.25">
      <c r="A12" t="s">
        <v>125</v>
      </c>
    </row>
    <row r="13" spans="1:1" x14ac:dyDescent="0.25">
      <c r="A13" t="s">
        <v>126</v>
      </c>
    </row>
    <row r="14" spans="1:1" x14ac:dyDescent="0.25">
      <c r="A14" t="s">
        <v>127</v>
      </c>
    </row>
    <row r="15" spans="1:1" x14ac:dyDescent="0.25">
      <c r="A15" t="s">
        <v>128</v>
      </c>
    </row>
    <row r="16" spans="1:1" x14ac:dyDescent="0.25">
      <c r="A16" t="s">
        <v>129</v>
      </c>
    </row>
    <row r="17" spans="1:1" x14ac:dyDescent="0.25">
      <c r="A17" t="s">
        <v>130</v>
      </c>
    </row>
    <row r="18" spans="1:1" x14ac:dyDescent="0.25">
      <c r="A18" t="s">
        <v>131</v>
      </c>
    </row>
    <row r="19" spans="1:1" x14ac:dyDescent="0.25">
      <c r="A19" t="s">
        <v>132</v>
      </c>
    </row>
    <row r="20" spans="1:1" x14ac:dyDescent="0.25">
      <c r="A20" t="s">
        <v>133</v>
      </c>
    </row>
    <row r="21" spans="1:1" x14ac:dyDescent="0.25">
      <c r="A21" t="s">
        <v>134</v>
      </c>
    </row>
    <row r="22" spans="1:1" x14ac:dyDescent="0.25">
      <c r="A22" t="s">
        <v>135</v>
      </c>
    </row>
    <row r="23" spans="1:1" x14ac:dyDescent="0.25">
      <c r="A23" t="s">
        <v>136</v>
      </c>
    </row>
    <row r="24" spans="1:1" x14ac:dyDescent="0.25">
      <c r="A24" t="s">
        <v>137</v>
      </c>
    </row>
    <row r="25" spans="1:1" x14ac:dyDescent="0.25">
      <c r="A25" t="s">
        <v>138</v>
      </c>
    </row>
    <row r="26" spans="1:1" x14ac:dyDescent="0.25">
      <c r="A26" t="s">
        <v>139</v>
      </c>
    </row>
    <row r="27" spans="1:1" x14ac:dyDescent="0.25">
      <c r="A27" t="s">
        <v>140</v>
      </c>
    </row>
    <row r="28" spans="1:1" x14ac:dyDescent="0.25">
      <c r="A28" t="s">
        <v>141</v>
      </c>
    </row>
    <row r="29" spans="1:1" x14ac:dyDescent="0.25">
      <c r="A29" t="s">
        <v>142</v>
      </c>
    </row>
    <row r="30" spans="1:1" x14ac:dyDescent="0.25">
      <c r="A30" t="s">
        <v>143</v>
      </c>
    </row>
    <row r="31" spans="1:1" x14ac:dyDescent="0.25">
      <c r="A31" t="s">
        <v>144</v>
      </c>
    </row>
    <row r="32" spans="1:1" x14ac:dyDescent="0.25">
      <c r="A32" t="s">
        <v>145</v>
      </c>
    </row>
    <row r="33" spans="1:1" x14ac:dyDescent="0.25">
      <c r="A33" t="s">
        <v>146</v>
      </c>
    </row>
    <row r="34" spans="1:1" x14ac:dyDescent="0.25">
      <c r="A34" t="s">
        <v>147</v>
      </c>
    </row>
    <row r="35" spans="1:1" x14ac:dyDescent="0.25">
      <c r="A35" t="s">
        <v>148</v>
      </c>
    </row>
    <row r="36" spans="1:1" x14ac:dyDescent="0.25">
      <c r="A36" t="s">
        <v>149</v>
      </c>
    </row>
    <row r="37" spans="1:1" x14ac:dyDescent="0.25">
      <c r="A37" t="s">
        <v>150</v>
      </c>
    </row>
    <row r="38" spans="1:1" x14ac:dyDescent="0.25">
      <c r="A38" t="s">
        <v>151</v>
      </c>
    </row>
    <row r="39" spans="1:1" x14ac:dyDescent="0.25">
      <c r="A39" t="s">
        <v>152</v>
      </c>
    </row>
    <row r="40" spans="1:1" x14ac:dyDescent="0.25">
      <c r="A40" t="s">
        <v>153</v>
      </c>
    </row>
    <row r="41" spans="1:1" x14ac:dyDescent="0.25">
      <c r="A41" t="s">
        <v>154</v>
      </c>
    </row>
    <row r="42" spans="1:1" x14ac:dyDescent="0.25">
      <c r="A42" t="s">
        <v>155</v>
      </c>
    </row>
    <row r="43" spans="1:1" x14ac:dyDescent="0.25">
      <c r="A43" t="s">
        <v>156</v>
      </c>
    </row>
    <row r="44" spans="1:1" x14ac:dyDescent="0.25">
      <c r="A44" t="s">
        <v>157</v>
      </c>
    </row>
    <row r="45" spans="1:1" x14ac:dyDescent="0.25">
      <c r="A45" t="s">
        <v>158</v>
      </c>
    </row>
    <row r="46" spans="1:1" x14ac:dyDescent="0.25">
      <c r="A46" t="s">
        <v>159</v>
      </c>
    </row>
    <row r="47" spans="1:1" x14ac:dyDescent="0.25">
      <c r="A47" t="s">
        <v>160</v>
      </c>
    </row>
    <row r="48" spans="1:1" x14ac:dyDescent="0.25">
      <c r="A48" t="s">
        <v>161</v>
      </c>
    </row>
    <row r="49" spans="1:1" x14ac:dyDescent="0.25">
      <c r="A49" t="s">
        <v>162</v>
      </c>
    </row>
    <row r="50" spans="1:1" x14ac:dyDescent="0.25">
      <c r="A50" t="s">
        <v>163</v>
      </c>
    </row>
    <row r="51" spans="1:1" x14ac:dyDescent="0.25">
      <c r="A51" t="s">
        <v>164</v>
      </c>
    </row>
    <row r="52" spans="1:1" x14ac:dyDescent="0.25">
      <c r="A52" t="s">
        <v>165</v>
      </c>
    </row>
    <row r="53" spans="1:1" x14ac:dyDescent="0.25">
      <c r="A53" t="s">
        <v>166</v>
      </c>
    </row>
    <row r="54" spans="1:1" x14ac:dyDescent="0.25">
      <c r="A54" t="s">
        <v>167</v>
      </c>
    </row>
    <row r="55" spans="1:1" x14ac:dyDescent="0.25">
      <c r="A55" t="s">
        <v>168</v>
      </c>
    </row>
    <row r="56" spans="1:1" x14ac:dyDescent="0.25">
      <c r="A56" t="s">
        <v>169</v>
      </c>
    </row>
    <row r="57" spans="1:1" x14ac:dyDescent="0.25">
      <c r="A57" t="s">
        <v>170</v>
      </c>
    </row>
    <row r="58" spans="1:1" x14ac:dyDescent="0.25">
      <c r="A58" t="s">
        <v>171</v>
      </c>
    </row>
    <row r="59" spans="1:1" x14ac:dyDescent="0.25">
      <c r="A59" t="s">
        <v>172</v>
      </c>
    </row>
    <row r="60" spans="1:1" x14ac:dyDescent="0.25">
      <c r="A60" t="s">
        <v>173</v>
      </c>
    </row>
    <row r="61" spans="1:1" x14ac:dyDescent="0.25">
      <c r="A61" t="s">
        <v>174</v>
      </c>
    </row>
    <row r="62" spans="1:1" x14ac:dyDescent="0.25">
      <c r="A62" t="s">
        <v>175</v>
      </c>
    </row>
    <row r="63" spans="1:1" x14ac:dyDescent="0.25">
      <c r="A63" t="s">
        <v>176</v>
      </c>
    </row>
    <row r="64" spans="1:1" x14ac:dyDescent="0.25">
      <c r="A64" t="s">
        <v>177</v>
      </c>
    </row>
    <row r="65" spans="1:1" x14ac:dyDescent="0.25">
      <c r="A65" t="s">
        <v>178</v>
      </c>
    </row>
    <row r="66" spans="1:1" x14ac:dyDescent="0.25">
      <c r="A66" t="s">
        <v>179</v>
      </c>
    </row>
    <row r="67" spans="1:1" x14ac:dyDescent="0.25">
      <c r="A67" t="s">
        <v>180</v>
      </c>
    </row>
    <row r="68" spans="1:1" x14ac:dyDescent="0.25">
      <c r="A68" t="s">
        <v>181</v>
      </c>
    </row>
    <row r="69" spans="1:1" x14ac:dyDescent="0.25">
      <c r="A69" t="s">
        <v>182</v>
      </c>
    </row>
    <row r="70" spans="1:1" x14ac:dyDescent="0.25">
      <c r="A70" t="s">
        <v>183</v>
      </c>
    </row>
    <row r="71" spans="1:1" x14ac:dyDescent="0.25">
      <c r="A71" t="s">
        <v>184</v>
      </c>
    </row>
    <row r="72" spans="1:1" x14ac:dyDescent="0.25">
      <c r="A72" t="s">
        <v>185</v>
      </c>
    </row>
    <row r="73" spans="1:1" x14ac:dyDescent="0.25">
      <c r="A73" t="s">
        <v>186</v>
      </c>
    </row>
    <row r="74" spans="1:1" x14ac:dyDescent="0.25">
      <c r="A74" t="s">
        <v>187</v>
      </c>
    </row>
    <row r="75" spans="1:1" x14ac:dyDescent="0.25">
      <c r="A75" t="s">
        <v>188</v>
      </c>
    </row>
    <row r="76" spans="1:1" x14ac:dyDescent="0.25">
      <c r="A76" t="s">
        <v>189</v>
      </c>
    </row>
    <row r="77" spans="1:1" x14ac:dyDescent="0.25">
      <c r="A77" t="s">
        <v>190</v>
      </c>
    </row>
    <row r="78" spans="1:1" x14ac:dyDescent="0.25">
      <c r="A78" t="s">
        <v>191</v>
      </c>
    </row>
    <row r="79" spans="1:1" x14ac:dyDescent="0.25">
      <c r="A79" t="s">
        <v>192</v>
      </c>
    </row>
    <row r="80" spans="1:1" x14ac:dyDescent="0.25">
      <c r="A80" t="s">
        <v>193</v>
      </c>
    </row>
    <row r="81" spans="1:1" x14ac:dyDescent="0.25">
      <c r="A81" t="s">
        <v>194</v>
      </c>
    </row>
    <row r="82" spans="1:1" x14ac:dyDescent="0.25">
      <c r="A82" t="s">
        <v>195</v>
      </c>
    </row>
    <row r="83" spans="1:1" x14ac:dyDescent="0.25">
      <c r="A83" t="s">
        <v>196</v>
      </c>
    </row>
    <row r="84" spans="1:1" x14ac:dyDescent="0.25">
      <c r="A84" t="s">
        <v>197</v>
      </c>
    </row>
    <row r="85" spans="1:1" x14ac:dyDescent="0.25">
      <c r="A85" t="s">
        <v>198</v>
      </c>
    </row>
    <row r="86" spans="1:1" x14ac:dyDescent="0.25">
      <c r="A86" t="s">
        <v>199</v>
      </c>
    </row>
    <row r="87" spans="1:1" x14ac:dyDescent="0.25">
      <c r="A87" t="s">
        <v>200</v>
      </c>
    </row>
    <row r="88" spans="1:1" x14ac:dyDescent="0.25">
      <c r="A88" t="s">
        <v>201</v>
      </c>
    </row>
    <row r="89" spans="1:1" x14ac:dyDescent="0.25">
      <c r="A89" t="s">
        <v>202</v>
      </c>
    </row>
    <row r="90" spans="1:1" x14ac:dyDescent="0.25">
      <c r="A90" t="s">
        <v>203</v>
      </c>
    </row>
    <row r="91" spans="1:1" x14ac:dyDescent="0.25">
      <c r="A91" t="s">
        <v>204</v>
      </c>
    </row>
    <row r="92" spans="1:1" x14ac:dyDescent="0.25">
      <c r="A92" t="s">
        <v>205</v>
      </c>
    </row>
    <row r="93" spans="1:1" x14ac:dyDescent="0.25">
      <c r="A93" t="s">
        <v>206</v>
      </c>
    </row>
    <row r="94" spans="1:1" x14ac:dyDescent="0.25">
      <c r="A94" t="s">
        <v>207</v>
      </c>
    </row>
    <row r="95" spans="1:1" x14ac:dyDescent="0.25">
      <c r="A95" t="s">
        <v>208</v>
      </c>
    </row>
    <row r="96" spans="1:1" x14ac:dyDescent="0.25">
      <c r="A96" t="s">
        <v>209</v>
      </c>
    </row>
    <row r="97" spans="1:1" x14ac:dyDescent="0.25">
      <c r="A97" t="s">
        <v>210</v>
      </c>
    </row>
    <row r="98" spans="1:1" x14ac:dyDescent="0.25">
      <c r="A98" t="s">
        <v>211</v>
      </c>
    </row>
    <row r="99" spans="1:1" x14ac:dyDescent="0.25">
      <c r="A99" t="s">
        <v>212</v>
      </c>
    </row>
    <row r="100" spans="1:1" x14ac:dyDescent="0.25">
      <c r="A100" t="s">
        <v>213</v>
      </c>
    </row>
    <row r="101" spans="1:1" x14ac:dyDescent="0.25">
      <c r="A101" t="s">
        <v>214</v>
      </c>
    </row>
    <row r="102" spans="1:1" x14ac:dyDescent="0.25">
      <c r="A102" t="s">
        <v>215</v>
      </c>
    </row>
    <row r="103" spans="1:1" x14ac:dyDescent="0.25">
      <c r="A103" t="s">
        <v>216</v>
      </c>
    </row>
    <row r="104" spans="1:1" x14ac:dyDescent="0.25">
      <c r="A104" t="s">
        <v>217</v>
      </c>
    </row>
    <row r="105" spans="1:1" x14ac:dyDescent="0.25">
      <c r="A105" t="s">
        <v>218</v>
      </c>
    </row>
    <row r="106" spans="1:1" x14ac:dyDescent="0.25">
      <c r="A106" t="s">
        <v>219</v>
      </c>
    </row>
    <row r="107" spans="1:1" x14ac:dyDescent="0.25">
      <c r="A107" t="s">
        <v>220</v>
      </c>
    </row>
    <row r="108" spans="1:1" x14ac:dyDescent="0.25">
      <c r="A108" t="s">
        <v>221</v>
      </c>
    </row>
    <row r="109" spans="1:1" x14ac:dyDescent="0.25">
      <c r="A109" t="s">
        <v>222</v>
      </c>
    </row>
    <row r="110" spans="1:1" x14ac:dyDescent="0.25">
      <c r="A110" t="s">
        <v>223</v>
      </c>
    </row>
    <row r="111" spans="1:1" x14ac:dyDescent="0.25">
      <c r="A111" t="s">
        <v>224</v>
      </c>
    </row>
    <row r="112" spans="1:1" x14ac:dyDescent="0.25">
      <c r="A112" t="s">
        <v>225</v>
      </c>
    </row>
    <row r="113" spans="1:3" x14ac:dyDescent="0.25">
      <c r="A113" t="s">
        <v>226</v>
      </c>
    </row>
    <row r="114" spans="1:3" x14ac:dyDescent="0.25">
      <c r="A114" t="s">
        <v>227</v>
      </c>
    </row>
    <row r="115" spans="1:3" x14ac:dyDescent="0.25">
      <c r="A115" t="s">
        <v>228</v>
      </c>
    </row>
    <row r="116" spans="1:3" x14ac:dyDescent="0.25">
      <c r="A116" t="s">
        <v>229</v>
      </c>
      <c r="C116" t="s">
        <v>403</v>
      </c>
    </row>
    <row r="117" spans="1:3" x14ac:dyDescent="0.25">
      <c r="A117" t="s">
        <v>230</v>
      </c>
    </row>
    <row r="118" spans="1:3" x14ac:dyDescent="0.25">
      <c r="A118" t="s">
        <v>231</v>
      </c>
    </row>
    <row r="119" spans="1:3" x14ac:dyDescent="0.25">
      <c r="A119" t="s">
        <v>232</v>
      </c>
    </row>
    <row r="120" spans="1:3" x14ac:dyDescent="0.25">
      <c r="A120" t="s">
        <v>233</v>
      </c>
    </row>
    <row r="121" spans="1:3" x14ac:dyDescent="0.25">
      <c r="A121" t="s">
        <v>234</v>
      </c>
    </row>
    <row r="122" spans="1:3" x14ac:dyDescent="0.25">
      <c r="A122" t="s">
        <v>235</v>
      </c>
    </row>
    <row r="123" spans="1:3" x14ac:dyDescent="0.25">
      <c r="A123" t="s">
        <v>236</v>
      </c>
    </row>
    <row r="124" spans="1:3" x14ac:dyDescent="0.25">
      <c r="A124" t="s">
        <v>237</v>
      </c>
    </row>
    <row r="125" spans="1:3" x14ac:dyDescent="0.25">
      <c r="A125" t="s">
        <v>238</v>
      </c>
    </row>
    <row r="126" spans="1:3" x14ac:dyDescent="0.25">
      <c r="A126" t="s">
        <v>239</v>
      </c>
    </row>
    <row r="127" spans="1:3" x14ac:dyDescent="0.25">
      <c r="A127" t="s">
        <v>240</v>
      </c>
    </row>
    <row r="128" spans="1:3" x14ac:dyDescent="0.25">
      <c r="A128" t="s">
        <v>241</v>
      </c>
    </row>
    <row r="129" spans="1:1" x14ac:dyDescent="0.25">
      <c r="A129" t="s">
        <v>242</v>
      </c>
    </row>
    <row r="130" spans="1:1" x14ac:dyDescent="0.25">
      <c r="A130" t="s">
        <v>243</v>
      </c>
    </row>
    <row r="131" spans="1:1" x14ac:dyDescent="0.25">
      <c r="A131" t="s">
        <v>244</v>
      </c>
    </row>
    <row r="132" spans="1:1" x14ac:dyDescent="0.25">
      <c r="A132" t="s">
        <v>245</v>
      </c>
    </row>
    <row r="133" spans="1:1" x14ac:dyDescent="0.25">
      <c r="A133" t="s">
        <v>246</v>
      </c>
    </row>
    <row r="134" spans="1:1" x14ac:dyDescent="0.25">
      <c r="A134" t="s">
        <v>247</v>
      </c>
    </row>
    <row r="135" spans="1:1" x14ac:dyDescent="0.25">
      <c r="A135" t="s">
        <v>248</v>
      </c>
    </row>
    <row r="136" spans="1:1" x14ac:dyDescent="0.25">
      <c r="A136" t="s">
        <v>249</v>
      </c>
    </row>
    <row r="137" spans="1:1" x14ac:dyDescent="0.25">
      <c r="A137" t="s">
        <v>250</v>
      </c>
    </row>
    <row r="138" spans="1:1" x14ac:dyDescent="0.25">
      <c r="A138" t="s">
        <v>251</v>
      </c>
    </row>
    <row r="139" spans="1:1" x14ac:dyDescent="0.25">
      <c r="A139" t="s">
        <v>252</v>
      </c>
    </row>
    <row r="140" spans="1:1" x14ac:dyDescent="0.25">
      <c r="A140" t="s">
        <v>253</v>
      </c>
    </row>
    <row r="141" spans="1:1" x14ac:dyDescent="0.25">
      <c r="A141" t="s">
        <v>254</v>
      </c>
    </row>
    <row r="142" spans="1:1" x14ac:dyDescent="0.25">
      <c r="A142" t="s">
        <v>255</v>
      </c>
    </row>
    <row r="143" spans="1:1" x14ac:dyDescent="0.25">
      <c r="A143" t="s">
        <v>256</v>
      </c>
    </row>
    <row r="144" spans="1:1" x14ac:dyDescent="0.25">
      <c r="A144" t="s">
        <v>257</v>
      </c>
    </row>
    <row r="145" spans="1:1" x14ac:dyDescent="0.25">
      <c r="A145" t="s">
        <v>258</v>
      </c>
    </row>
    <row r="146" spans="1:1" x14ac:dyDescent="0.25">
      <c r="A146" t="s">
        <v>259</v>
      </c>
    </row>
    <row r="147" spans="1:1" x14ac:dyDescent="0.25">
      <c r="A147" t="s">
        <v>260</v>
      </c>
    </row>
    <row r="148" spans="1:1" x14ac:dyDescent="0.25">
      <c r="A148" t="s">
        <v>261</v>
      </c>
    </row>
    <row r="149" spans="1:1" x14ac:dyDescent="0.25">
      <c r="A149" t="s">
        <v>262</v>
      </c>
    </row>
    <row r="150" spans="1:1" x14ac:dyDescent="0.25">
      <c r="A150" t="s">
        <v>263</v>
      </c>
    </row>
    <row r="151" spans="1:1" x14ac:dyDescent="0.25">
      <c r="A151" t="s">
        <v>264</v>
      </c>
    </row>
    <row r="152" spans="1:1" x14ac:dyDescent="0.25">
      <c r="A152" t="s">
        <v>265</v>
      </c>
    </row>
    <row r="153" spans="1:1" x14ac:dyDescent="0.25">
      <c r="A153" t="s">
        <v>266</v>
      </c>
    </row>
    <row r="154" spans="1:1" x14ac:dyDescent="0.25">
      <c r="A154" t="s">
        <v>267</v>
      </c>
    </row>
    <row r="155" spans="1:1" x14ac:dyDescent="0.25">
      <c r="A155" t="s">
        <v>268</v>
      </c>
    </row>
    <row r="156" spans="1:1" x14ac:dyDescent="0.25">
      <c r="A156" t="s">
        <v>269</v>
      </c>
    </row>
    <row r="157" spans="1:1" x14ac:dyDescent="0.25">
      <c r="A157" t="s">
        <v>270</v>
      </c>
    </row>
    <row r="158" spans="1:1" x14ac:dyDescent="0.25">
      <c r="A158" t="s">
        <v>271</v>
      </c>
    </row>
    <row r="159" spans="1:1" x14ac:dyDescent="0.25">
      <c r="A159" t="s">
        <v>272</v>
      </c>
    </row>
    <row r="160" spans="1:1" x14ac:dyDescent="0.25">
      <c r="A160" t="s">
        <v>273</v>
      </c>
    </row>
    <row r="161" spans="1:1" x14ac:dyDescent="0.25">
      <c r="A161" t="s">
        <v>274</v>
      </c>
    </row>
    <row r="162" spans="1:1" x14ac:dyDescent="0.25">
      <c r="A162" t="s">
        <v>275</v>
      </c>
    </row>
    <row r="163" spans="1:1" x14ac:dyDescent="0.25">
      <c r="A163" t="s">
        <v>276</v>
      </c>
    </row>
    <row r="164" spans="1:1" x14ac:dyDescent="0.25">
      <c r="A164" t="s">
        <v>277</v>
      </c>
    </row>
    <row r="165" spans="1:1" x14ac:dyDescent="0.25">
      <c r="A165" t="s">
        <v>278</v>
      </c>
    </row>
    <row r="166" spans="1:1" x14ac:dyDescent="0.25">
      <c r="A166" t="s">
        <v>279</v>
      </c>
    </row>
    <row r="167" spans="1:1" x14ac:dyDescent="0.25">
      <c r="A167" t="s">
        <v>280</v>
      </c>
    </row>
    <row r="168" spans="1:1" x14ac:dyDescent="0.25">
      <c r="A168" t="s">
        <v>281</v>
      </c>
    </row>
    <row r="169" spans="1:1" x14ac:dyDescent="0.25">
      <c r="A169" t="s">
        <v>282</v>
      </c>
    </row>
    <row r="170" spans="1:1" x14ac:dyDescent="0.25">
      <c r="A170" t="s">
        <v>283</v>
      </c>
    </row>
    <row r="171" spans="1:1" x14ac:dyDescent="0.25">
      <c r="A171" t="s">
        <v>284</v>
      </c>
    </row>
    <row r="172" spans="1:1" x14ac:dyDescent="0.25">
      <c r="A172" t="s">
        <v>285</v>
      </c>
    </row>
    <row r="173" spans="1:1" x14ac:dyDescent="0.25">
      <c r="A173" t="s">
        <v>286</v>
      </c>
    </row>
    <row r="174" spans="1:1" x14ac:dyDescent="0.25">
      <c r="A174" t="s">
        <v>287</v>
      </c>
    </row>
    <row r="175" spans="1:1" x14ac:dyDescent="0.25">
      <c r="A175" t="s">
        <v>288</v>
      </c>
    </row>
    <row r="176" spans="1:1" x14ac:dyDescent="0.25">
      <c r="A176" t="s">
        <v>289</v>
      </c>
    </row>
    <row r="177" spans="1:1" x14ac:dyDescent="0.25">
      <c r="A177" t="s">
        <v>290</v>
      </c>
    </row>
    <row r="178" spans="1:1" x14ac:dyDescent="0.25">
      <c r="A178" t="s">
        <v>291</v>
      </c>
    </row>
    <row r="179" spans="1:1" x14ac:dyDescent="0.25">
      <c r="A179" t="s">
        <v>292</v>
      </c>
    </row>
    <row r="180" spans="1:1" x14ac:dyDescent="0.25">
      <c r="A180" t="s">
        <v>293</v>
      </c>
    </row>
    <row r="181" spans="1:1" x14ac:dyDescent="0.25">
      <c r="A181" t="s">
        <v>294</v>
      </c>
    </row>
    <row r="182" spans="1:1" x14ac:dyDescent="0.25">
      <c r="A182" t="s">
        <v>295</v>
      </c>
    </row>
    <row r="183" spans="1:1" x14ac:dyDescent="0.25">
      <c r="A183" t="s">
        <v>296</v>
      </c>
    </row>
    <row r="184" spans="1:1" x14ac:dyDescent="0.25">
      <c r="A184" t="s">
        <v>297</v>
      </c>
    </row>
    <row r="185" spans="1:1" x14ac:dyDescent="0.25">
      <c r="A185" t="s">
        <v>298</v>
      </c>
    </row>
    <row r="186" spans="1:1" x14ac:dyDescent="0.25">
      <c r="A186" t="s">
        <v>299</v>
      </c>
    </row>
    <row r="187" spans="1:1" x14ac:dyDescent="0.25">
      <c r="A187" t="s">
        <v>300</v>
      </c>
    </row>
    <row r="188" spans="1:1" x14ac:dyDescent="0.25">
      <c r="A188" t="s">
        <v>301</v>
      </c>
    </row>
    <row r="189" spans="1:1" x14ac:dyDescent="0.25">
      <c r="A189" t="s">
        <v>302</v>
      </c>
    </row>
    <row r="190" spans="1:1" x14ac:dyDescent="0.25">
      <c r="A190" t="s">
        <v>303</v>
      </c>
    </row>
    <row r="191" spans="1:1" x14ac:dyDescent="0.25">
      <c r="A191" t="s">
        <v>304</v>
      </c>
    </row>
    <row r="192" spans="1:1" x14ac:dyDescent="0.25">
      <c r="A192" t="s">
        <v>305</v>
      </c>
    </row>
    <row r="193" spans="1:1" x14ac:dyDescent="0.25">
      <c r="A193" t="s">
        <v>306</v>
      </c>
    </row>
    <row r="194" spans="1:1" x14ac:dyDescent="0.25">
      <c r="A194" t="s">
        <v>307</v>
      </c>
    </row>
    <row r="195" spans="1:1" x14ac:dyDescent="0.25">
      <c r="A195" t="s">
        <v>308</v>
      </c>
    </row>
    <row r="196" spans="1:1" x14ac:dyDescent="0.25">
      <c r="A196" t="s">
        <v>309</v>
      </c>
    </row>
    <row r="197" spans="1:1" x14ac:dyDescent="0.25">
      <c r="A197" t="s">
        <v>310</v>
      </c>
    </row>
    <row r="198" spans="1:1" x14ac:dyDescent="0.25">
      <c r="A198" t="s">
        <v>311</v>
      </c>
    </row>
    <row r="199" spans="1:1" x14ac:dyDescent="0.25">
      <c r="A199" t="s">
        <v>312</v>
      </c>
    </row>
    <row r="200" spans="1:1" x14ac:dyDescent="0.25">
      <c r="A200" t="s">
        <v>313</v>
      </c>
    </row>
    <row r="201" spans="1:1" x14ac:dyDescent="0.25">
      <c r="A201" t="s">
        <v>314</v>
      </c>
    </row>
    <row r="202" spans="1:1" x14ac:dyDescent="0.25">
      <c r="A202" t="s">
        <v>315</v>
      </c>
    </row>
    <row r="203" spans="1:1" x14ac:dyDescent="0.25">
      <c r="A203" t="s">
        <v>316</v>
      </c>
    </row>
    <row r="204" spans="1:1" x14ac:dyDescent="0.25">
      <c r="A204" t="s">
        <v>317</v>
      </c>
    </row>
    <row r="205" spans="1:1" x14ac:dyDescent="0.25">
      <c r="A205" t="s">
        <v>318</v>
      </c>
    </row>
    <row r="206" spans="1:1" x14ac:dyDescent="0.25">
      <c r="A206" t="s">
        <v>319</v>
      </c>
    </row>
    <row r="207" spans="1:1" x14ac:dyDescent="0.25">
      <c r="A207" t="s">
        <v>320</v>
      </c>
    </row>
    <row r="208" spans="1:1" x14ac:dyDescent="0.25">
      <c r="A208" t="s">
        <v>321</v>
      </c>
    </row>
    <row r="209" spans="1:1" x14ac:dyDescent="0.25">
      <c r="A209" t="s">
        <v>322</v>
      </c>
    </row>
    <row r="210" spans="1:1" x14ac:dyDescent="0.25">
      <c r="A210" t="s">
        <v>323</v>
      </c>
    </row>
    <row r="211" spans="1:1" x14ac:dyDescent="0.25">
      <c r="A211" t="s">
        <v>324</v>
      </c>
    </row>
    <row r="212" spans="1:1" x14ac:dyDescent="0.25">
      <c r="A212" t="s">
        <v>325</v>
      </c>
    </row>
    <row r="213" spans="1:1" x14ac:dyDescent="0.25">
      <c r="A213" t="s">
        <v>326</v>
      </c>
    </row>
    <row r="214" spans="1:1" x14ac:dyDescent="0.25">
      <c r="A214" t="s">
        <v>327</v>
      </c>
    </row>
    <row r="215" spans="1:1" x14ac:dyDescent="0.25">
      <c r="A215" t="s">
        <v>328</v>
      </c>
    </row>
    <row r="216" spans="1:1" x14ac:dyDescent="0.25">
      <c r="A216" t="s">
        <v>329</v>
      </c>
    </row>
    <row r="217" spans="1:1" x14ac:dyDescent="0.25">
      <c r="A217" t="s">
        <v>330</v>
      </c>
    </row>
    <row r="218" spans="1:1" x14ac:dyDescent="0.25">
      <c r="A218" t="s">
        <v>331</v>
      </c>
    </row>
    <row r="219" spans="1:1" x14ac:dyDescent="0.25">
      <c r="A219" t="s">
        <v>332</v>
      </c>
    </row>
    <row r="220" spans="1:1" x14ac:dyDescent="0.25">
      <c r="A220" t="s">
        <v>333</v>
      </c>
    </row>
    <row r="221" spans="1:1" x14ac:dyDescent="0.25">
      <c r="A221" t="s">
        <v>334</v>
      </c>
    </row>
    <row r="222" spans="1:1" x14ac:dyDescent="0.25">
      <c r="A222" t="s">
        <v>335</v>
      </c>
    </row>
    <row r="223" spans="1:1" x14ac:dyDescent="0.25">
      <c r="A223" t="s">
        <v>336</v>
      </c>
    </row>
    <row r="224" spans="1:1" x14ac:dyDescent="0.25">
      <c r="A224" t="s">
        <v>337</v>
      </c>
    </row>
    <row r="225" spans="1:1" x14ac:dyDescent="0.25">
      <c r="A225" t="s">
        <v>338</v>
      </c>
    </row>
    <row r="226" spans="1:1" x14ac:dyDescent="0.25">
      <c r="A226" t="s">
        <v>339</v>
      </c>
    </row>
    <row r="227" spans="1:1" x14ac:dyDescent="0.25">
      <c r="A227" t="s">
        <v>340</v>
      </c>
    </row>
    <row r="228" spans="1:1" x14ac:dyDescent="0.25">
      <c r="A228" t="s">
        <v>341</v>
      </c>
    </row>
    <row r="229" spans="1:1" x14ac:dyDescent="0.25">
      <c r="A229" t="s">
        <v>342</v>
      </c>
    </row>
    <row r="230" spans="1:1" x14ac:dyDescent="0.25">
      <c r="A230" t="s">
        <v>343</v>
      </c>
    </row>
    <row r="231" spans="1:1" x14ac:dyDescent="0.25">
      <c r="A231" t="s">
        <v>344</v>
      </c>
    </row>
    <row r="232" spans="1:1" x14ac:dyDescent="0.25">
      <c r="A232" t="s">
        <v>345</v>
      </c>
    </row>
    <row r="233" spans="1:1" x14ac:dyDescent="0.25">
      <c r="A233" t="s">
        <v>346</v>
      </c>
    </row>
    <row r="234" spans="1:1" x14ac:dyDescent="0.25">
      <c r="A234" t="s">
        <v>347</v>
      </c>
    </row>
    <row r="235" spans="1:1" x14ac:dyDescent="0.25">
      <c r="A235" t="s">
        <v>348</v>
      </c>
    </row>
    <row r="236" spans="1:1" x14ac:dyDescent="0.25">
      <c r="A236" t="s">
        <v>349</v>
      </c>
    </row>
    <row r="237" spans="1:1" x14ac:dyDescent="0.25">
      <c r="A237" t="s">
        <v>350</v>
      </c>
    </row>
    <row r="238" spans="1:1" x14ac:dyDescent="0.25">
      <c r="A238" t="s">
        <v>351</v>
      </c>
    </row>
    <row r="239" spans="1:1" x14ac:dyDescent="0.25">
      <c r="A239" t="s">
        <v>352</v>
      </c>
    </row>
    <row r="240" spans="1:1" x14ac:dyDescent="0.25">
      <c r="A240" t="s">
        <v>353</v>
      </c>
    </row>
    <row r="241" spans="1:1" x14ac:dyDescent="0.25">
      <c r="A241" t="s">
        <v>354</v>
      </c>
    </row>
    <row r="242" spans="1:1" x14ac:dyDescent="0.25">
      <c r="A242" t="s">
        <v>355</v>
      </c>
    </row>
    <row r="243" spans="1:1" x14ac:dyDescent="0.25">
      <c r="A243" t="s">
        <v>356</v>
      </c>
    </row>
    <row r="244" spans="1:1" x14ac:dyDescent="0.25">
      <c r="A244" t="s">
        <v>357</v>
      </c>
    </row>
    <row r="245" spans="1:1" x14ac:dyDescent="0.25">
      <c r="A245" t="s">
        <v>358</v>
      </c>
    </row>
    <row r="246" spans="1:1" x14ac:dyDescent="0.25">
      <c r="A246" t="s">
        <v>359</v>
      </c>
    </row>
    <row r="247" spans="1:1" x14ac:dyDescent="0.25">
      <c r="A247" t="s">
        <v>360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5F2A6-ED8B-46C6-A534-C31669167515}">
  <dimension ref="A1:A246"/>
  <sheetViews>
    <sheetView topLeftCell="A229" workbookViewId="0">
      <selection sqref="A1:A246"/>
    </sheetView>
  </sheetViews>
  <sheetFormatPr defaultRowHeight="15" x14ac:dyDescent="0.25"/>
  <sheetData>
    <row r="1" spans="1:1" x14ac:dyDescent="0.25">
      <c r="A1" t="s">
        <v>408</v>
      </c>
    </row>
    <row r="2" spans="1:1" x14ac:dyDescent="0.25">
      <c r="A2" t="s">
        <v>409</v>
      </c>
    </row>
    <row r="3" spans="1:1" x14ac:dyDescent="0.25">
      <c r="A3" t="s">
        <v>410</v>
      </c>
    </row>
    <row r="4" spans="1:1" x14ac:dyDescent="0.25">
      <c r="A4" t="s">
        <v>411</v>
      </c>
    </row>
    <row r="5" spans="1:1" x14ac:dyDescent="0.25">
      <c r="A5" t="s">
        <v>412</v>
      </c>
    </row>
    <row r="6" spans="1:1" x14ac:dyDescent="0.25">
      <c r="A6" t="s">
        <v>413</v>
      </c>
    </row>
    <row r="7" spans="1:1" x14ac:dyDescent="0.25">
      <c r="A7" t="s">
        <v>414</v>
      </c>
    </row>
    <row r="8" spans="1:1" x14ac:dyDescent="0.25">
      <c r="A8" t="s">
        <v>415</v>
      </c>
    </row>
    <row r="9" spans="1:1" x14ac:dyDescent="0.25">
      <c r="A9" t="s">
        <v>416</v>
      </c>
    </row>
    <row r="10" spans="1:1" x14ac:dyDescent="0.25">
      <c r="A10" t="s">
        <v>417</v>
      </c>
    </row>
    <row r="11" spans="1:1" x14ac:dyDescent="0.25">
      <c r="A11" t="s">
        <v>418</v>
      </c>
    </row>
    <row r="12" spans="1:1" x14ac:dyDescent="0.25">
      <c r="A12" t="s">
        <v>419</v>
      </c>
    </row>
    <row r="13" spans="1:1" x14ac:dyDescent="0.25">
      <c r="A13" t="s">
        <v>420</v>
      </c>
    </row>
    <row r="14" spans="1:1" x14ac:dyDescent="0.25">
      <c r="A14" t="s">
        <v>421</v>
      </c>
    </row>
    <row r="15" spans="1:1" x14ac:dyDescent="0.25">
      <c r="A15" t="s">
        <v>422</v>
      </c>
    </row>
    <row r="16" spans="1:1" x14ac:dyDescent="0.25">
      <c r="A16" t="s">
        <v>423</v>
      </c>
    </row>
    <row r="17" spans="1:1" x14ac:dyDescent="0.25">
      <c r="A17" t="s">
        <v>424</v>
      </c>
    </row>
    <row r="18" spans="1:1" x14ac:dyDescent="0.25">
      <c r="A18" t="s">
        <v>425</v>
      </c>
    </row>
    <row r="19" spans="1:1" x14ac:dyDescent="0.25">
      <c r="A19" t="s">
        <v>426</v>
      </c>
    </row>
    <row r="20" spans="1:1" x14ac:dyDescent="0.25">
      <c r="A20" t="s">
        <v>427</v>
      </c>
    </row>
    <row r="21" spans="1:1" x14ac:dyDescent="0.25">
      <c r="A21" t="s">
        <v>428</v>
      </c>
    </row>
    <row r="22" spans="1:1" x14ac:dyDescent="0.25">
      <c r="A22" t="s">
        <v>429</v>
      </c>
    </row>
    <row r="23" spans="1:1" x14ac:dyDescent="0.25">
      <c r="A23" t="s">
        <v>430</v>
      </c>
    </row>
    <row r="24" spans="1:1" x14ac:dyDescent="0.25">
      <c r="A24" t="s">
        <v>431</v>
      </c>
    </row>
    <row r="25" spans="1:1" x14ac:dyDescent="0.25">
      <c r="A25" t="s">
        <v>432</v>
      </c>
    </row>
    <row r="26" spans="1:1" x14ac:dyDescent="0.25">
      <c r="A26" t="s">
        <v>433</v>
      </c>
    </row>
    <row r="27" spans="1:1" x14ac:dyDescent="0.25">
      <c r="A27" t="s">
        <v>434</v>
      </c>
    </row>
    <row r="28" spans="1:1" x14ac:dyDescent="0.25">
      <c r="A28" t="s">
        <v>435</v>
      </c>
    </row>
    <row r="29" spans="1:1" x14ac:dyDescent="0.25">
      <c r="A29" t="s">
        <v>436</v>
      </c>
    </row>
    <row r="30" spans="1:1" x14ac:dyDescent="0.25">
      <c r="A30" t="s">
        <v>437</v>
      </c>
    </row>
    <row r="31" spans="1:1" x14ac:dyDescent="0.25">
      <c r="A31" t="s">
        <v>438</v>
      </c>
    </row>
    <row r="32" spans="1:1" x14ac:dyDescent="0.25">
      <c r="A32" t="s">
        <v>439</v>
      </c>
    </row>
    <row r="33" spans="1:1" x14ac:dyDescent="0.25">
      <c r="A33" t="s">
        <v>440</v>
      </c>
    </row>
    <row r="34" spans="1:1" x14ac:dyDescent="0.25">
      <c r="A34" t="s">
        <v>441</v>
      </c>
    </row>
    <row r="35" spans="1:1" x14ac:dyDescent="0.25">
      <c r="A35" t="s">
        <v>442</v>
      </c>
    </row>
    <row r="36" spans="1:1" x14ac:dyDescent="0.25">
      <c r="A36" t="s">
        <v>443</v>
      </c>
    </row>
    <row r="37" spans="1:1" x14ac:dyDescent="0.25">
      <c r="A37" t="s">
        <v>444</v>
      </c>
    </row>
    <row r="38" spans="1:1" x14ac:dyDescent="0.25">
      <c r="A38" t="s">
        <v>445</v>
      </c>
    </row>
    <row r="39" spans="1:1" x14ac:dyDescent="0.25">
      <c r="A39" t="s">
        <v>446</v>
      </c>
    </row>
    <row r="40" spans="1:1" x14ac:dyDescent="0.25">
      <c r="A40" t="s">
        <v>447</v>
      </c>
    </row>
    <row r="41" spans="1:1" x14ac:dyDescent="0.25">
      <c r="A41" t="s">
        <v>448</v>
      </c>
    </row>
    <row r="42" spans="1:1" x14ac:dyDescent="0.25">
      <c r="A42" t="s">
        <v>449</v>
      </c>
    </row>
    <row r="43" spans="1:1" x14ac:dyDescent="0.25">
      <c r="A43" t="s">
        <v>450</v>
      </c>
    </row>
    <row r="44" spans="1:1" x14ac:dyDescent="0.25">
      <c r="A44" t="s">
        <v>451</v>
      </c>
    </row>
    <row r="45" spans="1:1" x14ac:dyDescent="0.25">
      <c r="A45" t="s">
        <v>452</v>
      </c>
    </row>
    <row r="46" spans="1:1" x14ac:dyDescent="0.25">
      <c r="A46" t="s">
        <v>453</v>
      </c>
    </row>
    <row r="47" spans="1:1" x14ac:dyDescent="0.25">
      <c r="A47" t="s">
        <v>454</v>
      </c>
    </row>
    <row r="48" spans="1:1" x14ac:dyDescent="0.25">
      <c r="A48" t="s">
        <v>455</v>
      </c>
    </row>
    <row r="49" spans="1:1" x14ac:dyDescent="0.25">
      <c r="A49" t="s">
        <v>456</v>
      </c>
    </row>
    <row r="50" spans="1:1" x14ac:dyDescent="0.25">
      <c r="A50" t="s">
        <v>457</v>
      </c>
    </row>
    <row r="51" spans="1:1" x14ac:dyDescent="0.25">
      <c r="A51" t="s">
        <v>458</v>
      </c>
    </row>
    <row r="52" spans="1:1" x14ac:dyDescent="0.25">
      <c r="A52" t="s">
        <v>459</v>
      </c>
    </row>
    <row r="53" spans="1:1" x14ac:dyDescent="0.25">
      <c r="A53" t="s">
        <v>460</v>
      </c>
    </row>
    <row r="54" spans="1:1" x14ac:dyDescent="0.25">
      <c r="A54" t="s">
        <v>461</v>
      </c>
    </row>
    <row r="55" spans="1:1" x14ac:dyDescent="0.25">
      <c r="A55" t="s">
        <v>462</v>
      </c>
    </row>
    <row r="56" spans="1:1" x14ac:dyDescent="0.25">
      <c r="A56" t="s">
        <v>463</v>
      </c>
    </row>
    <row r="57" spans="1:1" x14ac:dyDescent="0.25">
      <c r="A57" t="s">
        <v>464</v>
      </c>
    </row>
    <row r="58" spans="1:1" x14ac:dyDescent="0.25">
      <c r="A58" t="s">
        <v>465</v>
      </c>
    </row>
    <row r="59" spans="1:1" x14ac:dyDescent="0.25">
      <c r="A59" t="s">
        <v>466</v>
      </c>
    </row>
    <row r="60" spans="1:1" x14ac:dyDescent="0.25">
      <c r="A60" t="s">
        <v>467</v>
      </c>
    </row>
    <row r="61" spans="1:1" x14ac:dyDescent="0.25">
      <c r="A61" t="s">
        <v>468</v>
      </c>
    </row>
    <row r="62" spans="1:1" x14ac:dyDescent="0.25">
      <c r="A62" t="s">
        <v>469</v>
      </c>
    </row>
    <row r="63" spans="1:1" x14ac:dyDescent="0.25">
      <c r="A63" t="s">
        <v>470</v>
      </c>
    </row>
    <row r="64" spans="1:1" x14ac:dyDescent="0.25">
      <c r="A64" t="s">
        <v>471</v>
      </c>
    </row>
    <row r="65" spans="1:1" x14ac:dyDescent="0.25">
      <c r="A65" t="s">
        <v>472</v>
      </c>
    </row>
    <row r="66" spans="1:1" x14ac:dyDescent="0.25">
      <c r="A66" t="s">
        <v>473</v>
      </c>
    </row>
    <row r="67" spans="1:1" x14ac:dyDescent="0.25">
      <c r="A67" t="s">
        <v>474</v>
      </c>
    </row>
    <row r="68" spans="1:1" x14ac:dyDescent="0.25">
      <c r="A68" t="s">
        <v>475</v>
      </c>
    </row>
    <row r="69" spans="1:1" x14ac:dyDescent="0.25">
      <c r="A69" t="s">
        <v>476</v>
      </c>
    </row>
    <row r="70" spans="1:1" x14ac:dyDescent="0.25">
      <c r="A70" t="s">
        <v>477</v>
      </c>
    </row>
    <row r="71" spans="1:1" x14ac:dyDescent="0.25">
      <c r="A71" t="s">
        <v>478</v>
      </c>
    </row>
    <row r="72" spans="1:1" x14ac:dyDescent="0.25">
      <c r="A72" t="s">
        <v>479</v>
      </c>
    </row>
    <row r="73" spans="1:1" x14ac:dyDescent="0.25">
      <c r="A73" t="s">
        <v>480</v>
      </c>
    </row>
    <row r="74" spans="1:1" x14ac:dyDescent="0.25">
      <c r="A74" t="s">
        <v>481</v>
      </c>
    </row>
    <row r="75" spans="1:1" x14ac:dyDescent="0.25">
      <c r="A75" t="s">
        <v>482</v>
      </c>
    </row>
    <row r="76" spans="1:1" x14ac:dyDescent="0.25">
      <c r="A76" t="s">
        <v>483</v>
      </c>
    </row>
    <row r="77" spans="1:1" x14ac:dyDescent="0.25">
      <c r="A77" t="s">
        <v>484</v>
      </c>
    </row>
    <row r="78" spans="1:1" x14ac:dyDescent="0.25">
      <c r="A78" t="s">
        <v>485</v>
      </c>
    </row>
    <row r="79" spans="1:1" x14ac:dyDescent="0.25">
      <c r="A79" t="s">
        <v>486</v>
      </c>
    </row>
    <row r="80" spans="1:1" x14ac:dyDescent="0.25">
      <c r="A80" t="s">
        <v>487</v>
      </c>
    </row>
    <row r="81" spans="1:1" x14ac:dyDescent="0.25">
      <c r="A81" t="s">
        <v>488</v>
      </c>
    </row>
    <row r="82" spans="1:1" x14ac:dyDescent="0.25">
      <c r="A82" t="s">
        <v>489</v>
      </c>
    </row>
    <row r="83" spans="1:1" x14ac:dyDescent="0.25">
      <c r="A83" t="s">
        <v>490</v>
      </c>
    </row>
    <row r="84" spans="1:1" x14ac:dyDescent="0.25">
      <c r="A84" t="s">
        <v>491</v>
      </c>
    </row>
    <row r="85" spans="1:1" x14ac:dyDescent="0.25">
      <c r="A85" t="s">
        <v>492</v>
      </c>
    </row>
    <row r="86" spans="1:1" x14ac:dyDescent="0.25">
      <c r="A86" t="s">
        <v>493</v>
      </c>
    </row>
    <row r="87" spans="1:1" x14ac:dyDescent="0.25">
      <c r="A87" t="s">
        <v>494</v>
      </c>
    </row>
    <row r="88" spans="1:1" x14ac:dyDescent="0.25">
      <c r="A88" t="s">
        <v>495</v>
      </c>
    </row>
    <row r="89" spans="1:1" x14ac:dyDescent="0.25">
      <c r="A89" t="s">
        <v>496</v>
      </c>
    </row>
    <row r="90" spans="1:1" x14ac:dyDescent="0.25">
      <c r="A90" t="s">
        <v>497</v>
      </c>
    </row>
    <row r="91" spans="1:1" x14ac:dyDescent="0.25">
      <c r="A91" t="s">
        <v>498</v>
      </c>
    </row>
    <row r="92" spans="1:1" x14ac:dyDescent="0.25">
      <c r="A92" t="s">
        <v>499</v>
      </c>
    </row>
    <row r="93" spans="1:1" x14ac:dyDescent="0.25">
      <c r="A93" t="s">
        <v>500</v>
      </c>
    </row>
    <row r="94" spans="1:1" x14ac:dyDescent="0.25">
      <c r="A94" t="s">
        <v>501</v>
      </c>
    </row>
    <row r="95" spans="1:1" x14ac:dyDescent="0.25">
      <c r="A95" t="s">
        <v>502</v>
      </c>
    </row>
    <row r="96" spans="1:1" x14ac:dyDescent="0.25">
      <c r="A96" t="s">
        <v>503</v>
      </c>
    </row>
    <row r="97" spans="1:1" x14ac:dyDescent="0.25">
      <c r="A97" t="s">
        <v>504</v>
      </c>
    </row>
    <row r="98" spans="1:1" x14ac:dyDescent="0.25">
      <c r="A98" t="s">
        <v>505</v>
      </c>
    </row>
    <row r="99" spans="1:1" x14ac:dyDescent="0.25">
      <c r="A99" t="s">
        <v>506</v>
      </c>
    </row>
    <row r="100" spans="1:1" x14ac:dyDescent="0.25">
      <c r="A100" t="s">
        <v>507</v>
      </c>
    </row>
    <row r="101" spans="1:1" x14ac:dyDescent="0.25">
      <c r="A101" t="s">
        <v>508</v>
      </c>
    </row>
    <row r="102" spans="1:1" x14ac:dyDescent="0.25">
      <c r="A102" t="s">
        <v>509</v>
      </c>
    </row>
    <row r="103" spans="1:1" x14ac:dyDescent="0.25">
      <c r="A103" t="s">
        <v>510</v>
      </c>
    </row>
    <row r="104" spans="1:1" x14ac:dyDescent="0.25">
      <c r="A104" t="s">
        <v>511</v>
      </c>
    </row>
    <row r="105" spans="1:1" x14ac:dyDescent="0.25">
      <c r="A105" t="s">
        <v>512</v>
      </c>
    </row>
    <row r="106" spans="1:1" x14ac:dyDescent="0.25">
      <c r="A106" t="s">
        <v>513</v>
      </c>
    </row>
    <row r="107" spans="1:1" x14ac:dyDescent="0.25">
      <c r="A107" t="s">
        <v>514</v>
      </c>
    </row>
    <row r="108" spans="1:1" x14ac:dyDescent="0.25">
      <c r="A108" t="s">
        <v>515</v>
      </c>
    </row>
    <row r="109" spans="1:1" x14ac:dyDescent="0.25">
      <c r="A109" t="s">
        <v>516</v>
      </c>
    </row>
    <row r="110" spans="1:1" x14ac:dyDescent="0.25">
      <c r="A110" t="s">
        <v>517</v>
      </c>
    </row>
    <row r="111" spans="1:1" x14ac:dyDescent="0.25">
      <c r="A111" t="s">
        <v>518</v>
      </c>
    </row>
    <row r="112" spans="1:1" x14ac:dyDescent="0.25">
      <c r="A112" t="s">
        <v>519</v>
      </c>
    </row>
    <row r="113" spans="1:1" x14ac:dyDescent="0.25">
      <c r="A113" t="s">
        <v>520</v>
      </c>
    </row>
    <row r="114" spans="1:1" x14ac:dyDescent="0.25">
      <c r="A114" t="s">
        <v>521</v>
      </c>
    </row>
    <row r="115" spans="1:1" x14ac:dyDescent="0.25">
      <c r="A115" t="s">
        <v>522</v>
      </c>
    </row>
    <row r="116" spans="1:1" x14ac:dyDescent="0.25">
      <c r="A116" t="s">
        <v>523</v>
      </c>
    </row>
    <row r="117" spans="1:1" x14ac:dyDescent="0.25">
      <c r="A117" t="s">
        <v>524</v>
      </c>
    </row>
    <row r="118" spans="1:1" x14ac:dyDescent="0.25">
      <c r="A118" t="s">
        <v>525</v>
      </c>
    </row>
    <row r="119" spans="1:1" x14ac:dyDescent="0.25">
      <c r="A119" t="s">
        <v>526</v>
      </c>
    </row>
    <row r="120" spans="1:1" x14ac:dyDescent="0.25">
      <c r="A120" t="s">
        <v>527</v>
      </c>
    </row>
    <row r="121" spans="1:1" x14ac:dyDescent="0.25">
      <c r="A121" t="s">
        <v>528</v>
      </c>
    </row>
    <row r="122" spans="1:1" x14ac:dyDescent="0.25">
      <c r="A122" t="s">
        <v>529</v>
      </c>
    </row>
    <row r="123" spans="1:1" x14ac:dyDescent="0.25">
      <c r="A123" t="s">
        <v>530</v>
      </c>
    </row>
    <row r="124" spans="1:1" x14ac:dyDescent="0.25">
      <c r="A124" t="s">
        <v>531</v>
      </c>
    </row>
    <row r="125" spans="1:1" x14ac:dyDescent="0.25">
      <c r="A125" t="s">
        <v>532</v>
      </c>
    </row>
    <row r="126" spans="1:1" x14ac:dyDescent="0.25">
      <c r="A126" t="s">
        <v>533</v>
      </c>
    </row>
    <row r="127" spans="1:1" x14ac:dyDescent="0.25">
      <c r="A127" t="s">
        <v>534</v>
      </c>
    </row>
    <row r="128" spans="1:1" x14ac:dyDescent="0.25">
      <c r="A128" t="s">
        <v>535</v>
      </c>
    </row>
    <row r="129" spans="1:1" x14ac:dyDescent="0.25">
      <c r="A129" t="s">
        <v>536</v>
      </c>
    </row>
    <row r="130" spans="1:1" x14ac:dyDescent="0.25">
      <c r="A130" t="s">
        <v>537</v>
      </c>
    </row>
    <row r="131" spans="1:1" x14ac:dyDescent="0.25">
      <c r="A131" t="s">
        <v>538</v>
      </c>
    </row>
    <row r="132" spans="1:1" x14ac:dyDescent="0.25">
      <c r="A132" t="s">
        <v>539</v>
      </c>
    </row>
    <row r="133" spans="1:1" x14ac:dyDescent="0.25">
      <c r="A133" t="s">
        <v>540</v>
      </c>
    </row>
    <row r="134" spans="1:1" x14ac:dyDescent="0.25">
      <c r="A134" t="s">
        <v>541</v>
      </c>
    </row>
    <row r="135" spans="1:1" x14ac:dyDescent="0.25">
      <c r="A135" t="s">
        <v>542</v>
      </c>
    </row>
    <row r="136" spans="1:1" x14ac:dyDescent="0.25">
      <c r="A136" t="s">
        <v>543</v>
      </c>
    </row>
    <row r="137" spans="1:1" x14ac:dyDescent="0.25">
      <c r="A137" t="s">
        <v>544</v>
      </c>
    </row>
    <row r="138" spans="1:1" x14ac:dyDescent="0.25">
      <c r="A138" t="s">
        <v>545</v>
      </c>
    </row>
    <row r="139" spans="1:1" x14ac:dyDescent="0.25">
      <c r="A139" t="s">
        <v>546</v>
      </c>
    </row>
    <row r="140" spans="1:1" x14ac:dyDescent="0.25">
      <c r="A140" t="s">
        <v>547</v>
      </c>
    </row>
    <row r="141" spans="1:1" x14ac:dyDescent="0.25">
      <c r="A141" t="s">
        <v>548</v>
      </c>
    </row>
    <row r="142" spans="1:1" x14ac:dyDescent="0.25">
      <c r="A142" t="s">
        <v>549</v>
      </c>
    </row>
    <row r="143" spans="1:1" x14ac:dyDescent="0.25">
      <c r="A143" t="s">
        <v>550</v>
      </c>
    </row>
    <row r="144" spans="1:1" x14ac:dyDescent="0.25">
      <c r="A144" t="s">
        <v>551</v>
      </c>
    </row>
    <row r="145" spans="1:1" x14ac:dyDescent="0.25">
      <c r="A145" t="s">
        <v>552</v>
      </c>
    </row>
    <row r="146" spans="1:1" x14ac:dyDescent="0.25">
      <c r="A146" t="s">
        <v>553</v>
      </c>
    </row>
    <row r="147" spans="1:1" x14ac:dyDescent="0.25">
      <c r="A147" t="s">
        <v>554</v>
      </c>
    </row>
    <row r="148" spans="1:1" x14ac:dyDescent="0.25">
      <c r="A148" t="s">
        <v>555</v>
      </c>
    </row>
    <row r="149" spans="1:1" x14ac:dyDescent="0.25">
      <c r="A149" t="s">
        <v>556</v>
      </c>
    </row>
    <row r="150" spans="1:1" x14ac:dyDescent="0.25">
      <c r="A150" t="s">
        <v>557</v>
      </c>
    </row>
    <row r="151" spans="1:1" x14ac:dyDescent="0.25">
      <c r="A151" t="s">
        <v>558</v>
      </c>
    </row>
    <row r="152" spans="1:1" x14ac:dyDescent="0.25">
      <c r="A152" t="s">
        <v>559</v>
      </c>
    </row>
    <row r="153" spans="1:1" x14ac:dyDescent="0.25">
      <c r="A153" t="s">
        <v>560</v>
      </c>
    </row>
    <row r="154" spans="1:1" x14ac:dyDescent="0.25">
      <c r="A154" t="s">
        <v>561</v>
      </c>
    </row>
    <row r="155" spans="1:1" x14ac:dyDescent="0.25">
      <c r="A155" t="s">
        <v>562</v>
      </c>
    </row>
    <row r="156" spans="1:1" x14ac:dyDescent="0.25">
      <c r="A156" t="s">
        <v>563</v>
      </c>
    </row>
    <row r="157" spans="1:1" x14ac:dyDescent="0.25">
      <c r="A157" t="s">
        <v>564</v>
      </c>
    </row>
    <row r="158" spans="1:1" x14ac:dyDescent="0.25">
      <c r="A158" t="s">
        <v>565</v>
      </c>
    </row>
    <row r="159" spans="1:1" x14ac:dyDescent="0.25">
      <c r="A159" t="s">
        <v>566</v>
      </c>
    </row>
    <row r="160" spans="1:1" x14ac:dyDescent="0.25">
      <c r="A160" t="s">
        <v>567</v>
      </c>
    </row>
    <row r="161" spans="1:1" x14ac:dyDescent="0.25">
      <c r="A161" t="s">
        <v>568</v>
      </c>
    </row>
    <row r="162" spans="1:1" x14ac:dyDescent="0.25">
      <c r="A162" t="s">
        <v>569</v>
      </c>
    </row>
    <row r="163" spans="1:1" x14ac:dyDescent="0.25">
      <c r="A163" t="s">
        <v>570</v>
      </c>
    </row>
    <row r="164" spans="1:1" x14ac:dyDescent="0.25">
      <c r="A164" t="s">
        <v>571</v>
      </c>
    </row>
    <row r="165" spans="1:1" x14ac:dyDescent="0.25">
      <c r="A165" t="s">
        <v>572</v>
      </c>
    </row>
    <row r="166" spans="1:1" x14ac:dyDescent="0.25">
      <c r="A166" t="s">
        <v>573</v>
      </c>
    </row>
    <row r="167" spans="1:1" x14ac:dyDescent="0.25">
      <c r="A167" t="s">
        <v>574</v>
      </c>
    </row>
    <row r="168" spans="1:1" x14ac:dyDescent="0.25">
      <c r="A168" t="s">
        <v>575</v>
      </c>
    </row>
    <row r="169" spans="1:1" x14ac:dyDescent="0.25">
      <c r="A169" t="s">
        <v>576</v>
      </c>
    </row>
    <row r="170" spans="1:1" x14ac:dyDescent="0.25">
      <c r="A170" t="s">
        <v>577</v>
      </c>
    </row>
    <row r="171" spans="1:1" x14ac:dyDescent="0.25">
      <c r="A171" t="s">
        <v>578</v>
      </c>
    </row>
    <row r="172" spans="1:1" x14ac:dyDescent="0.25">
      <c r="A172" t="s">
        <v>579</v>
      </c>
    </row>
    <row r="173" spans="1:1" x14ac:dyDescent="0.25">
      <c r="A173" t="s">
        <v>580</v>
      </c>
    </row>
    <row r="174" spans="1:1" x14ac:dyDescent="0.25">
      <c r="A174" t="s">
        <v>581</v>
      </c>
    </row>
    <row r="175" spans="1:1" x14ac:dyDescent="0.25">
      <c r="A175" t="s">
        <v>582</v>
      </c>
    </row>
    <row r="176" spans="1:1" x14ac:dyDescent="0.25">
      <c r="A176" t="s">
        <v>583</v>
      </c>
    </row>
    <row r="177" spans="1:1" x14ac:dyDescent="0.25">
      <c r="A177" t="s">
        <v>584</v>
      </c>
    </row>
    <row r="178" spans="1:1" x14ac:dyDescent="0.25">
      <c r="A178" t="s">
        <v>585</v>
      </c>
    </row>
    <row r="179" spans="1:1" x14ac:dyDescent="0.25">
      <c r="A179" t="s">
        <v>586</v>
      </c>
    </row>
    <row r="180" spans="1:1" x14ac:dyDescent="0.25">
      <c r="A180" t="s">
        <v>587</v>
      </c>
    </row>
    <row r="181" spans="1:1" x14ac:dyDescent="0.25">
      <c r="A181" t="s">
        <v>588</v>
      </c>
    </row>
    <row r="182" spans="1:1" x14ac:dyDescent="0.25">
      <c r="A182" t="s">
        <v>589</v>
      </c>
    </row>
    <row r="183" spans="1:1" x14ac:dyDescent="0.25">
      <c r="A183" t="s">
        <v>590</v>
      </c>
    </row>
    <row r="184" spans="1:1" x14ac:dyDescent="0.25">
      <c r="A184" t="s">
        <v>591</v>
      </c>
    </row>
    <row r="185" spans="1:1" x14ac:dyDescent="0.25">
      <c r="A185" t="s">
        <v>592</v>
      </c>
    </row>
    <row r="186" spans="1:1" x14ac:dyDescent="0.25">
      <c r="A186" t="s">
        <v>593</v>
      </c>
    </row>
    <row r="187" spans="1:1" x14ac:dyDescent="0.25">
      <c r="A187" t="s">
        <v>594</v>
      </c>
    </row>
    <row r="188" spans="1:1" x14ac:dyDescent="0.25">
      <c r="A188" t="s">
        <v>595</v>
      </c>
    </row>
    <row r="189" spans="1:1" x14ac:dyDescent="0.25">
      <c r="A189" t="s">
        <v>596</v>
      </c>
    </row>
    <row r="190" spans="1:1" x14ac:dyDescent="0.25">
      <c r="A190" t="s">
        <v>597</v>
      </c>
    </row>
    <row r="191" spans="1:1" x14ac:dyDescent="0.25">
      <c r="A191" t="s">
        <v>598</v>
      </c>
    </row>
    <row r="192" spans="1:1" x14ac:dyDescent="0.25">
      <c r="A192" t="s">
        <v>599</v>
      </c>
    </row>
    <row r="193" spans="1:1" x14ac:dyDescent="0.25">
      <c r="A193" t="s">
        <v>600</v>
      </c>
    </row>
    <row r="194" spans="1:1" x14ac:dyDescent="0.25">
      <c r="A194" t="s">
        <v>601</v>
      </c>
    </row>
    <row r="195" spans="1:1" x14ac:dyDescent="0.25">
      <c r="A195" t="s">
        <v>602</v>
      </c>
    </row>
    <row r="196" spans="1:1" x14ac:dyDescent="0.25">
      <c r="A196" t="s">
        <v>603</v>
      </c>
    </row>
    <row r="197" spans="1:1" x14ac:dyDescent="0.25">
      <c r="A197" t="s">
        <v>604</v>
      </c>
    </row>
    <row r="198" spans="1:1" x14ac:dyDescent="0.25">
      <c r="A198" t="s">
        <v>605</v>
      </c>
    </row>
    <row r="199" spans="1:1" x14ac:dyDescent="0.25">
      <c r="A199" t="s">
        <v>606</v>
      </c>
    </row>
    <row r="200" spans="1:1" x14ac:dyDescent="0.25">
      <c r="A200" t="s">
        <v>607</v>
      </c>
    </row>
    <row r="201" spans="1:1" x14ac:dyDescent="0.25">
      <c r="A201" t="s">
        <v>608</v>
      </c>
    </row>
    <row r="202" spans="1:1" x14ac:dyDescent="0.25">
      <c r="A202" t="s">
        <v>609</v>
      </c>
    </row>
    <row r="203" spans="1:1" x14ac:dyDescent="0.25">
      <c r="A203" t="s">
        <v>610</v>
      </c>
    </row>
    <row r="204" spans="1:1" x14ac:dyDescent="0.25">
      <c r="A204" t="s">
        <v>611</v>
      </c>
    </row>
    <row r="205" spans="1:1" x14ac:dyDescent="0.25">
      <c r="A205" t="s">
        <v>612</v>
      </c>
    </row>
    <row r="206" spans="1:1" x14ac:dyDescent="0.25">
      <c r="A206" t="s">
        <v>613</v>
      </c>
    </row>
    <row r="207" spans="1:1" x14ac:dyDescent="0.25">
      <c r="A207" t="s">
        <v>614</v>
      </c>
    </row>
    <row r="208" spans="1:1" x14ac:dyDescent="0.25">
      <c r="A208" t="s">
        <v>615</v>
      </c>
    </row>
    <row r="209" spans="1:1" x14ac:dyDescent="0.25">
      <c r="A209" t="s">
        <v>616</v>
      </c>
    </row>
    <row r="210" spans="1:1" x14ac:dyDescent="0.25">
      <c r="A210" t="s">
        <v>617</v>
      </c>
    </row>
    <row r="211" spans="1:1" x14ac:dyDescent="0.25">
      <c r="A211" t="s">
        <v>618</v>
      </c>
    </row>
    <row r="212" spans="1:1" x14ac:dyDescent="0.25">
      <c r="A212" t="s">
        <v>619</v>
      </c>
    </row>
    <row r="213" spans="1:1" x14ac:dyDescent="0.25">
      <c r="A213" t="s">
        <v>620</v>
      </c>
    </row>
    <row r="214" spans="1:1" x14ac:dyDescent="0.25">
      <c r="A214" t="s">
        <v>621</v>
      </c>
    </row>
    <row r="215" spans="1:1" x14ac:dyDescent="0.25">
      <c r="A215" t="s">
        <v>622</v>
      </c>
    </row>
    <row r="216" spans="1:1" x14ac:dyDescent="0.25">
      <c r="A216" t="s">
        <v>623</v>
      </c>
    </row>
    <row r="217" spans="1:1" x14ac:dyDescent="0.25">
      <c r="A217" t="s">
        <v>624</v>
      </c>
    </row>
    <row r="218" spans="1:1" x14ac:dyDescent="0.25">
      <c r="A218" t="s">
        <v>625</v>
      </c>
    </row>
    <row r="219" spans="1:1" x14ac:dyDescent="0.25">
      <c r="A219" t="s">
        <v>626</v>
      </c>
    </row>
    <row r="220" spans="1:1" x14ac:dyDescent="0.25">
      <c r="A220" t="s">
        <v>627</v>
      </c>
    </row>
    <row r="221" spans="1:1" x14ac:dyDescent="0.25">
      <c r="A221" t="s">
        <v>628</v>
      </c>
    </row>
    <row r="222" spans="1:1" x14ac:dyDescent="0.25">
      <c r="A222" t="s">
        <v>629</v>
      </c>
    </row>
    <row r="223" spans="1:1" x14ac:dyDescent="0.25">
      <c r="A223" t="s">
        <v>630</v>
      </c>
    </row>
    <row r="224" spans="1:1" x14ac:dyDescent="0.25">
      <c r="A224" t="s">
        <v>631</v>
      </c>
    </row>
    <row r="225" spans="1:1" x14ac:dyDescent="0.25">
      <c r="A225" t="s">
        <v>632</v>
      </c>
    </row>
    <row r="226" spans="1:1" x14ac:dyDescent="0.25">
      <c r="A226" t="s">
        <v>633</v>
      </c>
    </row>
    <row r="227" spans="1:1" x14ac:dyDescent="0.25">
      <c r="A227" t="s">
        <v>634</v>
      </c>
    </row>
    <row r="228" spans="1:1" x14ac:dyDescent="0.25">
      <c r="A228" t="s">
        <v>635</v>
      </c>
    </row>
    <row r="229" spans="1:1" x14ac:dyDescent="0.25">
      <c r="A229" t="s">
        <v>636</v>
      </c>
    </row>
    <row r="230" spans="1:1" x14ac:dyDescent="0.25">
      <c r="A230" t="s">
        <v>637</v>
      </c>
    </row>
    <row r="231" spans="1:1" x14ac:dyDescent="0.25">
      <c r="A231" t="s">
        <v>638</v>
      </c>
    </row>
    <row r="232" spans="1:1" x14ac:dyDescent="0.25">
      <c r="A232" t="s">
        <v>639</v>
      </c>
    </row>
    <row r="233" spans="1:1" x14ac:dyDescent="0.25">
      <c r="A233" t="s">
        <v>640</v>
      </c>
    </row>
    <row r="234" spans="1:1" x14ac:dyDescent="0.25">
      <c r="A234" t="s">
        <v>641</v>
      </c>
    </row>
    <row r="235" spans="1:1" x14ac:dyDescent="0.25">
      <c r="A235" t="s">
        <v>642</v>
      </c>
    </row>
    <row r="236" spans="1:1" x14ac:dyDescent="0.25">
      <c r="A236" t="s">
        <v>643</v>
      </c>
    </row>
    <row r="237" spans="1:1" x14ac:dyDescent="0.25">
      <c r="A237" t="s">
        <v>644</v>
      </c>
    </row>
    <row r="238" spans="1:1" x14ac:dyDescent="0.25">
      <c r="A238" t="s">
        <v>645</v>
      </c>
    </row>
    <row r="239" spans="1:1" x14ac:dyDescent="0.25">
      <c r="A239" t="s">
        <v>646</v>
      </c>
    </row>
    <row r="240" spans="1:1" x14ac:dyDescent="0.25">
      <c r="A240" t="s">
        <v>647</v>
      </c>
    </row>
    <row r="241" spans="1:1" x14ac:dyDescent="0.25">
      <c r="A241" t="s">
        <v>648</v>
      </c>
    </row>
    <row r="242" spans="1:1" x14ac:dyDescent="0.25">
      <c r="A242" t="s">
        <v>649</v>
      </c>
    </row>
    <row r="243" spans="1:1" x14ac:dyDescent="0.25">
      <c r="A243" t="s">
        <v>650</v>
      </c>
    </row>
    <row r="244" spans="1:1" x14ac:dyDescent="0.25">
      <c r="A244" t="s">
        <v>651</v>
      </c>
    </row>
    <row r="245" spans="1:1" x14ac:dyDescent="0.25">
      <c r="A245" t="s">
        <v>652</v>
      </c>
    </row>
    <row r="246" spans="1:1" x14ac:dyDescent="0.25">
      <c r="A246" t="s">
        <v>653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85A11-82E8-455D-A933-F5F4782852D9}">
  <dimension ref="A1:A246"/>
  <sheetViews>
    <sheetView topLeftCell="A237" workbookViewId="0">
      <selection activeCell="J250" sqref="J250"/>
    </sheetView>
  </sheetViews>
  <sheetFormatPr defaultRowHeight="15" x14ac:dyDescent="0.25"/>
  <sheetData>
    <row r="1" spans="1:1" x14ac:dyDescent="0.25">
      <c r="A1" t="s">
        <v>654</v>
      </c>
    </row>
    <row r="2" spans="1:1" x14ac:dyDescent="0.25">
      <c r="A2" t="s">
        <v>655</v>
      </c>
    </row>
    <row r="3" spans="1:1" x14ac:dyDescent="0.25">
      <c r="A3" t="s">
        <v>656</v>
      </c>
    </row>
    <row r="4" spans="1:1" x14ac:dyDescent="0.25">
      <c r="A4" t="s">
        <v>657</v>
      </c>
    </row>
    <row r="5" spans="1:1" x14ac:dyDescent="0.25">
      <c r="A5" t="s">
        <v>658</v>
      </c>
    </row>
    <row r="6" spans="1:1" x14ac:dyDescent="0.25">
      <c r="A6" t="s">
        <v>659</v>
      </c>
    </row>
    <row r="7" spans="1:1" x14ac:dyDescent="0.25">
      <c r="A7" t="s">
        <v>660</v>
      </c>
    </row>
    <row r="8" spans="1:1" x14ac:dyDescent="0.25">
      <c r="A8" t="s">
        <v>661</v>
      </c>
    </row>
    <row r="9" spans="1:1" x14ac:dyDescent="0.25">
      <c r="A9" t="s">
        <v>662</v>
      </c>
    </row>
    <row r="10" spans="1:1" x14ac:dyDescent="0.25">
      <c r="A10" t="s">
        <v>663</v>
      </c>
    </row>
    <row r="11" spans="1:1" x14ac:dyDescent="0.25">
      <c r="A11" t="s">
        <v>664</v>
      </c>
    </row>
    <row r="12" spans="1:1" x14ac:dyDescent="0.25">
      <c r="A12" t="s">
        <v>665</v>
      </c>
    </row>
    <row r="13" spans="1:1" x14ac:dyDescent="0.25">
      <c r="A13" t="s">
        <v>666</v>
      </c>
    </row>
    <row r="14" spans="1:1" x14ac:dyDescent="0.25">
      <c r="A14" t="s">
        <v>667</v>
      </c>
    </row>
    <row r="15" spans="1:1" x14ac:dyDescent="0.25">
      <c r="A15" t="s">
        <v>668</v>
      </c>
    </row>
    <row r="16" spans="1:1" x14ac:dyDescent="0.25">
      <c r="A16" t="s">
        <v>669</v>
      </c>
    </row>
    <row r="17" spans="1:1" x14ac:dyDescent="0.25">
      <c r="A17" t="s">
        <v>670</v>
      </c>
    </row>
    <row r="18" spans="1:1" x14ac:dyDescent="0.25">
      <c r="A18" t="s">
        <v>671</v>
      </c>
    </row>
    <row r="19" spans="1:1" x14ac:dyDescent="0.25">
      <c r="A19" t="s">
        <v>672</v>
      </c>
    </row>
    <row r="20" spans="1:1" x14ac:dyDescent="0.25">
      <c r="A20" t="s">
        <v>673</v>
      </c>
    </row>
    <row r="21" spans="1:1" x14ac:dyDescent="0.25">
      <c r="A21" t="s">
        <v>674</v>
      </c>
    </row>
    <row r="22" spans="1:1" x14ac:dyDescent="0.25">
      <c r="A22" t="s">
        <v>675</v>
      </c>
    </row>
    <row r="23" spans="1:1" x14ac:dyDescent="0.25">
      <c r="A23" t="s">
        <v>676</v>
      </c>
    </row>
    <row r="24" spans="1:1" x14ac:dyDescent="0.25">
      <c r="A24" t="s">
        <v>677</v>
      </c>
    </row>
    <row r="25" spans="1:1" x14ac:dyDescent="0.25">
      <c r="A25" t="s">
        <v>678</v>
      </c>
    </row>
    <row r="26" spans="1:1" x14ac:dyDescent="0.25">
      <c r="A26" t="s">
        <v>679</v>
      </c>
    </row>
    <row r="27" spans="1:1" x14ac:dyDescent="0.25">
      <c r="A27" t="s">
        <v>680</v>
      </c>
    </row>
    <row r="28" spans="1:1" x14ac:dyDescent="0.25">
      <c r="A28" t="s">
        <v>681</v>
      </c>
    </row>
    <row r="29" spans="1:1" x14ac:dyDescent="0.25">
      <c r="A29" t="s">
        <v>682</v>
      </c>
    </row>
    <row r="30" spans="1:1" x14ac:dyDescent="0.25">
      <c r="A30" t="s">
        <v>683</v>
      </c>
    </row>
    <row r="31" spans="1:1" x14ac:dyDescent="0.25">
      <c r="A31" t="s">
        <v>684</v>
      </c>
    </row>
    <row r="32" spans="1:1" x14ac:dyDescent="0.25">
      <c r="A32" t="s">
        <v>685</v>
      </c>
    </row>
    <row r="33" spans="1:1" x14ac:dyDescent="0.25">
      <c r="A33" t="s">
        <v>686</v>
      </c>
    </row>
    <row r="34" spans="1:1" x14ac:dyDescent="0.25">
      <c r="A34" t="s">
        <v>687</v>
      </c>
    </row>
    <row r="35" spans="1:1" x14ac:dyDescent="0.25">
      <c r="A35" t="s">
        <v>688</v>
      </c>
    </row>
    <row r="36" spans="1:1" x14ac:dyDescent="0.25">
      <c r="A36" t="s">
        <v>689</v>
      </c>
    </row>
    <row r="37" spans="1:1" x14ac:dyDescent="0.25">
      <c r="A37" t="s">
        <v>690</v>
      </c>
    </row>
    <row r="38" spans="1:1" x14ac:dyDescent="0.25">
      <c r="A38" t="s">
        <v>691</v>
      </c>
    </row>
    <row r="39" spans="1:1" x14ac:dyDescent="0.25">
      <c r="A39" t="s">
        <v>692</v>
      </c>
    </row>
    <row r="40" spans="1:1" x14ac:dyDescent="0.25">
      <c r="A40" t="s">
        <v>693</v>
      </c>
    </row>
    <row r="41" spans="1:1" x14ac:dyDescent="0.25">
      <c r="A41" t="s">
        <v>694</v>
      </c>
    </row>
    <row r="42" spans="1:1" x14ac:dyDescent="0.25">
      <c r="A42" t="s">
        <v>695</v>
      </c>
    </row>
    <row r="43" spans="1:1" x14ac:dyDescent="0.25">
      <c r="A43" t="s">
        <v>696</v>
      </c>
    </row>
    <row r="44" spans="1:1" x14ac:dyDescent="0.25">
      <c r="A44" t="s">
        <v>697</v>
      </c>
    </row>
    <row r="45" spans="1:1" x14ac:dyDescent="0.25">
      <c r="A45" t="s">
        <v>698</v>
      </c>
    </row>
    <row r="46" spans="1:1" x14ac:dyDescent="0.25">
      <c r="A46" t="s">
        <v>699</v>
      </c>
    </row>
    <row r="47" spans="1:1" x14ac:dyDescent="0.25">
      <c r="A47" t="s">
        <v>700</v>
      </c>
    </row>
    <row r="48" spans="1:1" x14ac:dyDescent="0.25">
      <c r="A48" t="s">
        <v>701</v>
      </c>
    </row>
    <row r="49" spans="1:1" x14ac:dyDescent="0.25">
      <c r="A49" t="s">
        <v>702</v>
      </c>
    </row>
    <row r="50" spans="1:1" x14ac:dyDescent="0.25">
      <c r="A50" t="s">
        <v>703</v>
      </c>
    </row>
    <row r="51" spans="1:1" x14ac:dyDescent="0.25">
      <c r="A51" t="s">
        <v>704</v>
      </c>
    </row>
    <row r="52" spans="1:1" x14ac:dyDescent="0.25">
      <c r="A52" t="s">
        <v>705</v>
      </c>
    </row>
    <row r="53" spans="1:1" x14ac:dyDescent="0.25">
      <c r="A53" t="s">
        <v>706</v>
      </c>
    </row>
    <row r="54" spans="1:1" x14ac:dyDescent="0.25">
      <c r="A54" t="s">
        <v>707</v>
      </c>
    </row>
    <row r="55" spans="1:1" x14ac:dyDescent="0.25">
      <c r="A55" t="s">
        <v>708</v>
      </c>
    </row>
    <row r="56" spans="1:1" x14ac:dyDescent="0.25">
      <c r="A56" t="s">
        <v>709</v>
      </c>
    </row>
    <row r="57" spans="1:1" x14ac:dyDescent="0.25">
      <c r="A57" t="s">
        <v>710</v>
      </c>
    </row>
    <row r="58" spans="1:1" x14ac:dyDescent="0.25">
      <c r="A58" t="s">
        <v>711</v>
      </c>
    </row>
    <row r="59" spans="1:1" x14ac:dyDescent="0.25">
      <c r="A59" t="s">
        <v>712</v>
      </c>
    </row>
    <row r="60" spans="1:1" x14ac:dyDescent="0.25">
      <c r="A60" t="s">
        <v>713</v>
      </c>
    </row>
    <row r="61" spans="1:1" x14ac:dyDescent="0.25">
      <c r="A61" t="s">
        <v>714</v>
      </c>
    </row>
    <row r="62" spans="1:1" x14ac:dyDescent="0.25">
      <c r="A62" t="s">
        <v>715</v>
      </c>
    </row>
    <row r="63" spans="1:1" x14ac:dyDescent="0.25">
      <c r="A63" t="s">
        <v>716</v>
      </c>
    </row>
    <row r="64" spans="1:1" x14ac:dyDescent="0.25">
      <c r="A64" t="s">
        <v>717</v>
      </c>
    </row>
    <row r="65" spans="1:1" x14ac:dyDescent="0.25">
      <c r="A65" t="s">
        <v>718</v>
      </c>
    </row>
    <row r="66" spans="1:1" x14ac:dyDescent="0.25">
      <c r="A66" t="s">
        <v>719</v>
      </c>
    </row>
    <row r="67" spans="1:1" x14ac:dyDescent="0.25">
      <c r="A67" t="s">
        <v>720</v>
      </c>
    </row>
    <row r="68" spans="1:1" x14ac:dyDescent="0.25">
      <c r="A68" t="s">
        <v>721</v>
      </c>
    </row>
    <row r="69" spans="1:1" x14ac:dyDescent="0.25">
      <c r="A69" t="s">
        <v>722</v>
      </c>
    </row>
    <row r="70" spans="1:1" x14ac:dyDescent="0.25">
      <c r="A70" t="s">
        <v>723</v>
      </c>
    </row>
    <row r="71" spans="1:1" x14ac:dyDescent="0.25">
      <c r="A71" t="s">
        <v>724</v>
      </c>
    </row>
    <row r="72" spans="1:1" x14ac:dyDescent="0.25">
      <c r="A72" t="s">
        <v>725</v>
      </c>
    </row>
    <row r="73" spans="1:1" x14ac:dyDescent="0.25">
      <c r="A73" t="s">
        <v>726</v>
      </c>
    </row>
    <row r="74" spans="1:1" x14ac:dyDescent="0.25">
      <c r="A74" t="s">
        <v>727</v>
      </c>
    </row>
    <row r="75" spans="1:1" x14ac:dyDescent="0.25">
      <c r="A75" t="s">
        <v>728</v>
      </c>
    </row>
    <row r="76" spans="1:1" x14ac:dyDescent="0.25">
      <c r="A76" t="s">
        <v>729</v>
      </c>
    </row>
    <row r="77" spans="1:1" x14ac:dyDescent="0.25">
      <c r="A77" t="s">
        <v>730</v>
      </c>
    </row>
    <row r="78" spans="1:1" x14ac:dyDescent="0.25">
      <c r="A78" t="s">
        <v>731</v>
      </c>
    </row>
    <row r="79" spans="1:1" x14ac:dyDescent="0.25">
      <c r="A79" t="s">
        <v>732</v>
      </c>
    </row>
    <row r="80" spans="1:1" x14ac:dyDescent="0.25">
      <c r="A80" t="s">
        <v>733</v>
      </c>
    </row>
    <row r="81" spans="1:1" x14ac:dyDescent="0.25">
      <c r="A81" t="s">
        <v>734</v>
      </c>
    </row>
    <row r="82" spans="1:1" x14ac:dyDescent="0.25">
      <c r="A82" t="s">
        <v>735</v>
      </c>
    </row>
    <row r="83" spans="1:1" x14ac:dyDescent="0.25">
      <c r="A83" t="s">
        <v>736</v>
      </c>
    </row>
    <row r="84" spans="1:1" x14ac:dyDescent="0.25">
      <c r="A84" t="s">
        <v>737</v>
      </c>
    </row>
    <row r="85" spans="1:1" x14ac:dyDescent="0.25">
      <c r="A85" t="s">
        <v>738</v>
      </c>
    </row>
    <row r="86" spans="1:1" x14ac:dyDescent="0.25">
      <c r="A86" t="s">
        <v>739</v>
      </c>
    </row>
    <row r="87" spans="1:1" x14ac:dyDescent="0.25">
      <c r="A87" t="s">
        <v>740</v>
      </c>
    </row>
    <row r="88" spans="1:1" x14ac:dyDescent="0.25">
      <c r="A88" t="s">
        <v>741</v>
      </c>
    </row>
    <row r="89" spans="1:1" x14ac:dyDescent="0.25">
      <c r="A89" t="s">
        <v>742</v>
      </c>
    </row>
    <row r="90" spans="1:1" x14ac:dyDescent="0.25">
      <c r="A90" t="s">
        <v>743</v>
      </c>
    </row>
    <row r="91" spans="1:1" x14ac:dyDescent="0.25">
      <c r="A91" t="s">
        <v>744</v>
      </c>
    </row>
    <row r="92" spans="1:1" x14ac:dyDescent="0.25">
      <c r="A92" t="s">
        <v>745</v>
      </c>
    </row>
    <row r="93" spans="1:1" x14ac:dyDescent="0.25">
      <c r="A93" t="s">
        <v>746</v>
      </c>
    </row>
    <row r="94" spans="1:1" x14ac:dyDescent="0.25">
      <c r="A94" t="s">
        <v>747</v>
      </c>
    </row>
    <row r="95" spans="1:1" x14ac:dyDescent="0.25">
      <c r="A95" t="s">
        <v>748</v>
      </c>
    </row>
    <row r="96" spans="1:1" x14ac:dyDescent="0.25">
      <c r="A96" t="s">
        <v>749</v>
      </c>
    </row>
    <row r="97" spans="1:1" x14ac:dyDescent="0.25">
      <c r="A97" t="s">
        <v>750</v>
      </c>
    </row>
    <row r="98" spans="1:1" x14ac:dyDescent="0.25">
      <c r="A98" t="s">
        <v>751</v>
      </c>
    </row>
    <row r="99" spans="1:1" x14ac:dyDescent="0.25">
      <c r="A99" t="s">
        <v>752</v>
      </c>
    </row>
    <row r="100" spans="1:1" x14ac:dyDescent="0.25">
      <c r="A100" t="s">
        <v>753</v>
      </c>
    </row>
    <row r="101" spans="1:1" x14ac:dyDescent="0.25">
      <c r="A101" t="s">
        <v>754</v>
      </c>
    </row>
    <row r="102" spans="1:1" x14ac:dyDescent="0.25">
      <c r="A102" t="s">
        <v>755</v>
      </c>
    </row>
    <row r="103" spans="1:1" x14ac:dyDescent="0.25">
      <c r="A103" t="s">
        <v>756</v>
      </c>
    </row>
    <row r="104" spans="1:1" x14ac:dyDescent="0.25">
      <c r="A104" t="s">
        <v>757</v>
      </c>
    </row>
    <row r="105" spans="1:1" x14ac:dyDescent="0.25">
      <c r="A105" t="s">
        <v>758</v>
      </c>
    </row>
    <row r="106" spans="1:1" x14ac:dyDescent="0.25">
      <c r="A106" t="s">
        <v>759</v>
      </c>
    </row>
    <row r="107" spans="1:1" x14ac:dyDescent="0.25">
      <c r="A107" t="s">
        <v>760</v>
      </c>
    </row>
    <row r="108" spans="1:1" x14ac:dyDescent="0.25">
      <c r="A108" t="s">
        <v>761</v>
      </c>
    </row>
    <row r="109" spans="1:1" x14ac:dyDescent="0.25">
      <c r="A109" t="s">
        <v>762</v>
      </c>
    </row>
    <row r="110" spans="1:1" x14ac:dyDescent="0.25">
      <c r="A110" t="s">
        <v>763</v>
      </c>
    </row>
    <row r="111" spans="1:1" x14ac:dyDescent="0.25">
      <c r="A111" t="s">
        <v>764</v>
      </c>
    </row>
    <row r="112" spans="1:1" x14ac:dyDescent="0.25">
      <c r="A112" t="s">
        <v>765</v>
      </c>
    </row>
    <row r="113" spans="1:1" x14ac:dyDescent="0.25">
      <c r="A113" t="s">
        <v>766</v>
      </c>
    </row>
    <row r="114" spans="1:1" x14ac:dyDescent="0.25">
      <c r="A114" t="s">
        <v>767</v>
      </c>
    </row>
    <row r="115" spans="1:1" x14ac:dyDescent="0.25">
      <c r="A115" t="s">
        <v>768</v>
      </c>
    </row>
    <row r="116" spans="1:1" x14ac:dyDescent="0.25">
      <c r="A116" t="s">
        <v>769</v>
      </c>
    </row>
    <row r="117" spans="1:1" x14ac:dyDescent="0.25">
      <c r="A117" t="s">
        <v>770</v>
      </c>
    </row>
    <row r="118" spans="1:1" x14ac:dyDescent="0.25">
      <c r="A118" t="s">
        <v>771</v>
      </c>
    </row>
    <row r="119" spans="1:1" x14ac:dyDescent="0.25">
      <c r="A119" t="s">
        <v>772</v>
      </c>
    </row>
    <row r="120" spans="1:1" x14ac:dyDescent="0.25">
      <c r="A120" t="s">
        <v>773</v>
      </c>
    </row>
    <row r="121" spans="1:1" x14ac:dyDescent="0.25">
      <c r="A121" t="s">
        <v>774</v>
      </c>
    </row>
    <row r="122" spans="1:1" x14ac:dyDescent="0.25">
      <c r="A122" t="s">
        <v>775</v>
      </c>
    </row>
    <row r="123" spans="1:1" x14ac:dyDescent="0.25">
      <c r="A123" t="s">
        <v>776</v>
      </c>
    </row>
    <row r="124" spans="1:1" x14ac:dyDescent="0.25">
      <c r="A124" t="s">
        <v>777</v>
      </c>
    </row>
    <row r="125" spans="1:1" x14ac:dyDescent="0.25">
      <c r="A125" t="s">
        <v>778</v>
      </c>
    </row>
    <row r="126" spans="1:1" x14ac:dyDescent="0.25">
      <c r="A126" t="s">
        <v>779</v>
      </c>
    </row>
    <row r="127" spans="1:1" x14ac:dyDescent="0.25">
      <c r="A127" t="s">
        <v>780</v>
      </c>
    </row>
    <row r="128" spans="1:1" x14ac:dyDescent="0.25">
      <c r="A128" t="s">
        <v>781</v>
      </c>
    </row>
    <row r="129" spans="1:1" x14ac:dyDescent="0.25">
      <c r="A129" t="s">
        <v>782</v>
      </c>
    </row>
    <row r="130" spans="1:1" x14ac:dyDescent="0.25">
      <c r="A130" t="s">
        <v>783</v>
      </c>
    </row>
    <row r="131" spans="1:1" x14ac:dyDescent="0.25">
      <c r="A131" t="s">
        <v>784</v>
      </c>
    </row>
    <row r="132" spans="1:1" x14ac:dyDescent="0.25">
      <c r="A132" t="s">
        <v>785</v>
      </c>
    </row>
    <row r="133" spans="1:1" x14ac:dyDescent="0.25">
      <c r="A133" t="s">
        <v>786</v>
      </c>
    </row>
    <row r="134" spans="1:1" x14ac:dyDescent="0.25">
      <c r="A134" t="s">
        <v>787</v>
      </c>
    </row>
    <row r="135" spans="1:1" x14ac:dyDescent="0.25">
      <c r="A135" t="s">
        <v>788</v>
      </c>
    </row>
    <row r="136" spans="1:1" x14ac:dyDescent="0.25">
      <c r="A136" t="s">
        <v>789</v>
      </c>
    </row>
    <row r="137" spans="1:1" x14ac:dyDescent="0.25">
      <c r="A137" t="s">
        <v>790</v>
      </c>
    </row>
    <row r="138" spans="1:1" x14ac:dyDescent="0.25">
      <c r="A138" t="s">
        <v>791</v>
      </c>
    </row>
    <row r="139" spans="1:1" x14ac:dyDescent="0.25">
      <c r="A139" t="s">
        <v>792</v>
      </c>
    </row>
    <row r="140" spans="1:1" x14ac:dyDescent="0.25">
      <c r="A140" t="s">
        <v>793</v>
      </c>
    </row>
    <row r="141" spans="1:1" x14ac:dyDescent="0.25">
      <c r="A141" t="s">
        <v>794</v>
      </c>
    </row>
    <row r="142" spans="1:1" x14ac:dyDescent="0.25">
      <c r="A142" t="s">
        <v>795</v>
      </c>
    </row>
    <row r="143" spans="1:1" x14ac:dyDescent="0.25">
      <c r="A143" t="s">
        <v>796</v>
      </c>
    </row>
    <row r="144" spans="1:1" x14ac:dyDescent="0.25">
      <c r="A144" t="s">
        <v>797</v>
      </c>
    </row>
    <row r="145" spans="1:1" x14ac:dyDescent="0.25">
      <c r="A145" t="s">
        <v>798</v>
      </c>
    </row>
    <row r="146" spans="1:1" x14ac:dyDescent="0.25">
      <c r="A146" t="s">
        <v>799</v>
      </c>
    </row>
    <row r="147" spans="1:1" x14ac:dyDescent="0.25">
      <c r="A147" t="s">
        <v>800</v>
      </c>
    </row>
    <row r="148" spans="1:1" x14ac:dyDescent="0.25">
      <c r="A148" t="s">
        <v>801</v>
      </c>
    </row>
    <row r="149" spans="1:1" x14ac:dyDescent="0.25">
      <c r="A149" t="s">
        <v>802</v>
      </c>
    </row>
    <row r="150" spans="1:1" x14ac:dyDescent="0.25">
      <c r="A150" t="s">
        <v>803</v>
      </c>
    </row>
    <row r="151" spans="1:1" x14ac:dyDescent="0.25">
      <c r="A151" t="s">
        <v>804</v>
      </c>
    </row>
    <row r="152" spans="1:1" x14ac:dyDescent="0.25">
      <c r="A152" t="s">
        <v>805</v>
      </c>
    </row>
    <row r="153" spans="1:1" x14ac:dyDescent="0.25">
      <c r="A153" t="s">
        <v>806</v>
      </c>
    </row>
    <row r="154" spans="1:1" x14ac:dyDescent="0.25">
      <c r="A154" t="s">
        <v>807</v>
      </c>
    </row>
    <row r="155" spans="1:1" x14ac:dyDescent="0.25">
      <c r="A155" t="s">
        <v>808</v>
      </c>
    </row>
    <row r="156" spans="1:1" x14ac:dyDescent="0.25">
      <c r="A156" t="s">
        <v>809</v>
      </c>
    </row>
    <row r="157" spans="1:1" x14ac:dyDescent="0.25">
      <c r="A157" t="s">
        <v>810</v>
      </c>
    </row>
    <row r="158" spans="1:1" x14ac:dyDescent="0.25">
      <c r="A158" t="s">
        <v>811</v>
      </c>
    </row>
    <row r="159" spans="1:1" x14ac:dyDescent="0.25">
      <c r="A159" t="s">
        <v>812</v>
      </c>
    </row>
    <row r="160" spans="1:1" x14ac:dyDescent="0.25">
      <c r="A160" t="s">
        <v>813</v>
      </c>
    </row>
    <row r="161" spans="1:1" x14ac:dyDescent="0.25">
      <c r="A161" t="s">
        <v>814</v>
      </c>
    </row>
    <row r="162" spans="1:1" x14ac:dyDescent="0.25">
      <c r="A162" t="s">
        <v>815</v>
      </c>
    </row>
    <row r="163" spans="1:1" x14ac:dyDescent="0.25">
      <c r="A163" t="s">
        <v>816</v>
      </c>
    </row>
    <row r="164" spans="1:1" x14ac:dyDescent="0.25">
      <c r="A164" t="s">
        <v>817</v>
      </c>
    </row>
    <row r="165" spans="1:1" x14ac:dyDescent="0.25">
      <c r="A165" t="s">
        <v>818</v>
      </c>
    </row>
    <row r="166" spans="1:1" x14ac:dyDescent="0.25">
      <c r="A166" t="s">
        <v>819</v>
      </c>
    </row>
    <row r="167" spans="1:1" x14ac:dyDescent="0.25">
      <c r="A167" t="s">
        <v>820</v>
      </c>
    </row>
    <row r="168" spans="1:1" x14ac:dyDescent="0.25">
      <c r="A168" t="s">
        <v>821</v>
      </c>
    </row>
    <row r="169" spans="1:1" x14ac:dyDescent="0.25">
      <c r="A169" t="s">
        <v>822</v>
      </c>
    </row>
    <row r="170" spans="1:1" x14ac:dyDescent="0.25">
      <c r="A170" t="s">
        <v>823</v>
      </c>
    </row>
    <row r="171" spans="1:1" x14ac:dyDescent="0.25">
      <c r="A171" t="s">
        <v>824</v>
      </c>
    </row>
    <row r="172" spans="1:1" x14ac:dyDescent="0.25">
      <c r="A172" t="s">
        <v>825</v>
      </c>
    </row>
    <row r="173" spans="1:1" x14ac:dyDescent="0.25">
      <c r="A173" t="s">
        <v>826</v>
      </c>
    </row>
    <row r="174" spans="1:1" x14ac:dyDescent="0.25">
      <c r="A174" t="s">
        <v>827</v>
      </c>
    </row>
    <row r="175" spans="1:1" x14ac:dyDescent="0.25">
      <c r="A175" t="s">
        <v>828</v>
      </c>
    </row>
    <row r="176" spans="1:1" x14ac:dyDescent="0.25">
      <c r="A176" t="s">
        <v>829</v>
      </c>
    </row>
    <row r="177" spans="1:1" x14ac:dyDescent="0.25">
      <c r="A177" t="s">
        <v>830</v>
      </c>
    </row>
    <row r="178" spans="1:1" x14ac:dyDescent="0.25">
      <c r="A178" t="s">
        <v>831</v>
      </c>
    </row>
    <row r="179" spans="1:1" x14ac:dyDescent="0.25">
      <c r="A179" t="s">
        <v>832</v>
      </c>
    </row>
    <row r="180" spans="1:1" x14ac:dyDescent="0.25">
      <c r="A180" t="s">
        <v>833</v>
      </c>
    </row>
    <row r="181" spans="1:1" x14ac:dyDescent="0.25">
      <c r="A181" t="s">
        <v>834</v>
      </c>
    </row>
    <row r="182" spans="1:1" x14ac:dyDescent="0.25">
      <c r="A182" t="s">
        <v>835</v>
      </c>
    </row>
    <row r="183" spans="1:1" x14ac:dyDescent="0.25">
      <c r="A183" t="s">
        <v>836</v>
      </c>
    </row>
    <row r="184" spans="1:1" x14ac:dyDescent="0.25">
      <c r="A184" t="s">
        <v>837</v>
      </c>
    </row>
    <row r="185" spans="1:1" x14ac:dyDescent="0.25">
      <c r="A185" t="s">
        <v>838</v>
      </c>
    </row>
    <row r="186" spans="1:1" x14ac:dyDescent="0.25">
      <c r="A186" t="s">
        <v>839</v>
      </c>
    </row>
    <row r="187" spans="1:1" x14ac:dyDescent="0.25">
      <c r="A187" t="s">
        <v>840</v>
      </c>
    </row>
    <row r="188" spans="1:1" x14ac:dyDescent="0.25">
      <c r="A188" t="s">
        <v>841</v>
      </c>
    </row>
    <row r="189" spans="1:1" x14ac:dyDescent="0.25">
      <c r="A189" t="s">
        <v>842</v>
      </c>
    </row>
    <row r="190" spans="1:1" x14ac:dyDescent="0.25">
      <c r="A190" t="s">
        <v>843</v>
      </c>
    </row>
    <row r="191" spans="1:1" x14ac:dyDescent="0.25">
      <c r="A191" t="s">
        <v>844</v>
      </c>
    </row>
    <row r="192" spans="1:1" x14ac:dyDescent="0.25">
      <c r="A192" t="s">
        <v>845</v>
      </c>
    </row>
    <row r="193" spans="1:1" x14ac:dyDescent="0.25">
      <c r="A193" t="s">
        <v>846</v>
      </c>
    </row>
    <row r="194" spans="1:1" x14ac:dyDescent="0.25">
      <c r="A194" t="s">
        <v>847</v>
      </c>
    </row>
    <row r="195" spans="1:1" x14ac:dyDescent="0.25">
      <c r="A195" t="s">
        <v>848</v>
      </c>
    </row>
    <row r="196" spans="1:1" x14ac:dyDescent="0.25">
      <c r="A196" t="s">
        <v>849</v>
      </c>
    </row>
    <row r="197" spans="1:1" x14ac:dyDescent="0.25">
      <c r="A197" t="s">
        <v>850</v>
      </c>
    </row>
    <row r="198" spans="1:1" x14ac:dyDescent="0.25">
      <c r="A198" t="s">
        <v>851</v>
      </c>
    </row>
    <row r="199" spans="1:1" x14ac:dyDescent="0.25">
      <c r="A199" t="s">
        <v>852</v>
      </c>
    </row>
    <row r="200" spans="1:1" x14ac:dyDescent="0.25">
      <c r="A200" t="s">
        <v>853</v>
      </c>
    </row>
    <row r="201" spans="1:1" x14ac:dyDescent="0.25">
      <c r="A201" t="s">
        <v>854</v>
      </c>
    </row>
    <row r="202" spans="1:1" x14ac:dyDescent="0.25">
      <c r="A202" t="s">
        <v>855</v>
      </c>
    </row>
    <row r="203" spans="1:1" x14ac:dyDescent="0.25">
      <c r="A203" t="s">
        <v>856</v>
      </c>
    </row>
    <row r="204" spans="1:1" x14ac:dyDescent="0.25">
      <c r="A204" t="s">
        <v>857</v>
      </c>
    </row>
    <row r="205" spans="1:1" x14ac:dyDescent="0.25">
      <c r="A205" t="s">
        <v>858</v>
      </c>
    </row>
    <row r="206" spans="1:1" x14ac:dyDescent="0.25">
      <c r="A206" t="s">
        <v>859</v>
      </c>
    </row>
    <row r="207" spans="1:1" x14ac:dyDescent="0.25">
      <c r="A207" t="s">
        <v>860</v>
      </c>
    </row>
    <row r="208" spans="1:1" x14ac:dyDescent="0.25">
      <c r="A208" t="s">
        <v>861</v>
      </c>
    </row>
    <row r="209" spans="1:1" x14ac:dyDescent="0.25">
      <c r="A209" t="s">
        <v>862</v>
      </c>
    </row>
    <row r="210" spans="1:1" x14ac:dyDescent="0.25">
      <c r="A210" t="s">
        <v>863</v>
      </c>
    </row>
    <row r="211" spans="1:1" x14ac:dyDescent="0.25">
      <c r="A211" t="s">
        <v>864</v>
      </c>
    </row>
    <row r="212" spans="1:1" x14ac:dyDescent="0.25">
      <c r="A212" t="s">
        <v>865</v>
      </c>
    </row>
    <row r="213" spans="1:1" x14ac:dyDescent="0.25">
      <c r="A213" t="s">
        <v>866</v>
      </c>
    </row>
    <row r="214" spans="1:1" x14ac:dyDescent="0.25">
      <c r="A214" t="s">
        <v>867</v>
      </c>
    </row>
    <row r="215" spans="1:1" x14ac:dyDescent="0.25">
      <c r="A215" t="s">
        <v>868</v>
      </c>
    </row>
    <row r="216" spans="1:1" x14ac:dyDescent="0.25">
      <c r="A216" t="s">
        <v>869</v>
      </c>
    </row>
    <row r="217" spans="1:1" x14ac:dyDescent="0.25">
      <c r="A217" t="s">
        <v>870</v>
      </c>
    </row>
    <row r="218" spans="1:1" x14ac:dyDescent="0.25">
      <c r="A218" t="s">
        <v>871</v>
      </c>
    </row>
    <row r="219" spans="1:1" x14ac:dyDescent="0.25">
      <c r="A219" t="s">
        <v>872</v>
      </c>
    </row>
    <row r="220" spans="1:1" x14ac:dyDescent="0.25">
      <c r="A220" t="s">
        <v>873</v>
      </c>
    </row>
    <row r="221" spans="1:1" x14ac:dyDescent="0.25">
      <c r="A221" t="s">
        <v>874</v>
      </c>
    </row>
    <row r="222" spans="1:1" x14ac:dyDescent="0.25">
      <c r="A222" t="s">
        <v>875</v>
      </c>
    </row>
    <row r="223" spans="1:1" x14ac:dyDescent="0.25">
      <c r="A223" t="s">
        <v>876</v>
      </c>
    </row>
    <row r="224" spans="1:1" x14ac:dyDescent="0.25">
      <c r="A224" t="s">
        <v>877</v>
      </c>
    </row>
    <row r="225" spans="1:1" x14ac:dyDescent="0.25">
      <c r="A225" t="s">
        <v>878</v>
      </c>
    </row>
    <row r="226" spans="1:1" x14ac:dyDescent="0.25">
      <c r="A226" t="s">
        <v>879</v>
      </c>
    </row>
    <row r="227" spans="1:1" x14ac:dyDescent="0.25">
      <c r="A227" t="s">
        <v>880</v>
      </c>
    </row>
    <row r="228" spans="1:1" x14ac:dyDescent="0.25">
      <c r="A228" t="s">
        <v>881</v>
      </c>
    </row>
    <row r="229" spans="1:1" x14ac:dyDescent="0.25">
      <c r="A229" t="s">
        <v>882</v>
      </c>
    </row>
    <row r="230" spans="1:1" x14ac:dyDescent="0.25">
      <c r="A230" t="s">
        <v>883</v>
      </c>
    </row>
    <row r="231" spans="1:1" x14ac:dyDescent="0.25">
      <c r="A231" t="s">
        <v>884</v>
      </c>
    </row>
    <row r="232" spans="1:1" x14ac:dyDescent="0.25">
      <c r="A232" t="s">
        <v>885</v>
      </c>
    </row>
    <row r="233" spans="1:1" x14ac:dyDescent="0.25">
      <c r="A233" t="s">
        <v>886</v>
      </c>
    </row>
    <row r="234" spans="1:1" x14ac:dyDescent="0.25">
      <c r="A234" t="s">
        <v>887</v>
      </c>
    </row>
    <row r="235" spans="1:1" x14ac:dyDescent="0.25">
      <c r="A235" t="s">
        <v>888</v>
      </c>
    </row>
    <row r="236" spans="1:1" x14ac:dyDescent="0.25">
      <c r="A236" t="s">
        <v>889</v>
      </c>
    </row>
    <row r="237" spans="1:1" x14ac:dyDescent="0.25">
      <c r="A237" t="s">
        <v>890</v>
      </c>
    </row>
    <row r="238" spans="1:1" x14ac:dyDescent="0.25">
      <c r="A238" t="s">
        <v>891</v>
      </c>
    </row>
    <row r="239" spans="1:1" x14ac:dyDescent="0.25">
      <c r="A239" t="s">
        <v>892</v>
      </c>
    </row>
    <row r="240" spans="1:1" x14ac:dyDescent="0.25">
      <c r="A240" t="s">
        <v>893</v>
      </c>
    </row>
    <row r="241" spans="1:1" x14ac:dyDescent="0.25">
      <c r="A241" t="s">
        <v>894</v>
      </c>
    </row>
    <row r="242" spans="1:1" x14ac:dyDescent="0.25">
      <c r="A242" t="s">
        <v>895</v>
      </c>
    </row>
    <row r="243" spans="1:1" x14ac:dyDescent="0.25">
      <c r="A243" t="s">
        <v>896</v>
      </c>
    </row>
    <row r="244" spans="1:1" x14ac:dyDescent="0.25">
      <c r="A244" t="s">
        <v>897</v>
      </c>
    </row>
    <row r="245" spans="1:1" x14ac:dyDescent="0.25">
      <c r="A245" t="s">
        <v>898</v>
      </c>
    </row>
    <row r="246" spans="1:1" x14ac:dyDescent="0.25">
      <c r="A246" t="s">
        <v>899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917F-1441-4FC9-A33E-6E60DFF126F2}">
  <dimension ref="A1:A246"/>
  <sheetViews>
    <sheetView topLeftCell="A135" workbookViewId="0">
      <selection activeCell="A148" sqref="A1:A246"/>
    </sheetView>
  </sheetViews>
  <sheetFormatPr defaultRowHeight="15" x14ac:dyDescent="0.25"/>
  <sheetData>
    <row r="1" spans="1:1" x14ac:dyDescent="0.25">
      <c r="A1" t="s">
        <v>1261</v>
      </c>
    </row>
    <row r="2" spans="1:1" x14ac:dyDescent="0.25">
      <c r="A2" t="s">
        <v>1262</v>
      </c>
    </row>
    <row r="3" spans="1:1" x14ac:dyDescent="0.25">
      <c r="A3" t="s">
        <v>1263</v>
      </c>
    </row>
    <row r="4" spans="1:1" x14ac:dyDescent="0.25">
      <c r="A4" t="s">
        <v>1264</v>
      </c>
    </row>
    <row r="5" spans="1:1" x14ac:dyDescent="0.25">
      <c r="A5" t="s">
        <v>1265</v>
      </c>
    </row>
    <row r="6" spans="1:1" x14ac:dyDescent="0.25">
      <c r="A6" t="s">
        <v>1266</v>
      </c>
    </row>
    <row r="7" spans="1:1" x14ac:dyDescent="0.25">
      <c r="A7" t="s">
        <v>1267</v>
      </c>
    </row>
    <row r="8" spans="1:1" x14ac:dyDescent="0.25">
      <c r="A8" t="s">
        <v>1268</v>
      </c>
    </row>
    <row r="9" spans="1:1" x14ac:dyDescent="0.25">
      <c r="A9" t="s">
        <v>1269</v>
      </c>
    </row>
    <row r="10" spans="1:1" x14ac:dyDescent="0.25">
      <c r="A10" t="s">
        <v>1270</v>
      </c>
    </row>
    <row r="11" spans="1:1" x14ac:dyDescent="0.25">
      <c r="A11" t="s">
        <v>1271</v>
      </c>
    </row>
    <row r="12" spans="1:1" x14ac:dyDescent="0.25">
      <c r="A12" t="s">
        <v>1272</v>
      </c>
    </row>
    <row r="13" spans="1:1" x14ac:dyDescent="0.25">
      <c r="A13" t="s">
        <v>1273</v>
      </c>
    </row>
    <row r="14" spans="1:1" x14ac:dyDescent="0.25">
      <c r="A14" t="s">
        <v>1274</v>
      </c>
    </row>
    <row r="15" spans="1:1" x14ac:dyDescent="0.25">
      <c r="A15" t="s">
        <v>1275</v>
      </c>
    </row>
    <row r="16" spans="1:1" x14ac:dyDescent="0.25">
      <c r="A16" t="s">
        <v>1276</v>
      </c>
    </row>
    <row r="17" spans="1:1" x14ac:dyDescent="0.25">
      <c r="A17" t="s">
        <v>1277</v>
      </c>
    </row>
    <row r="18" spans="1:1" x14ac:dyDescent="0.25">
      <c r="A18" t="s">
        <v>1278</v>
      </c>
    </row>
    <row r="19" spans="1:1" x14ac:dyDescent="0.25">
      <c r="A19" t="s">
        <v>1279</v>
      </c>
    </row>
    <row r="20" spans="1:1" x14ac:dyDescent="0.25">
      <c r="A20" t="s">
        <v>1280</v>
      </c>
    </row>
    <row r="21" spans="1:1" x14ac:dyDescent="0.25">
      <c r="A21" t="s">
        <v>1281</v>
      </c>
    </row>
    <row r="22" spans="1:1" x14ac:dyDescent="0.25">
      <c r="A22" t="s">
        <v>1282</v>
      </c>
    </row>
    <row r="23" spans="1:1" x14ac:dyDescent="0.25">
      <c r="A23" t="s">
        <v>1283</v>
      </c>
    </row>
    <row r="24" spans="1:1" x14ac:dyDescent="0.25">
      <c r="A24" t="s">
        <v>1284</v>
      </c>
    </row>
    <row r="25" spans="1:1" x14ac:dyDescent="0.25">
      <c r="A25" t="s">
        <v>1285</v>
      </c>
    </row>
    <row r="26" spans="1:1" x14ac:dyDescent="0.25">
      <c r="A26" t="s">
        <v>1286</v>
      </c>
    </row>
    <row r="27" spans="1:1" x14ac:dyDescent="0.25">
      <c r="A27" t="s">
        <v>1287</v>
      </c>
    </row>
    <row r="28" spans="1:1" x14ac:dyDescent="0.25">
      <c r="A28" t="s">
        <v>1288</v>
      </c>
    </row>
    <row r="29" spans="1:1" x14ac:dyDescent="0.25">
      <c r="A29" t="s">
        <v>1289</v>
      </c>
    </row>
    <row r="30" spans="1:1" x14ac:dyDescent="0.25">
      <c r="A30" t="s">
        <v>1290</v>
      </c>
    </row>
    <row r="31" spans="1:1" x14ac:dyDescent="0.25">
      <c r="A31" t="s">
        <v>1291</v>
      </c>
    </row>
    <row r="32" spans="1:1" x14ac:dyDescent="0.25">
      <c r="A32" t="s">
        <v>1292</v>
      </c>
    </row>
    <row r="33" spans="1:1" x14ac:dyDescent="0.25">
      <c r="A33" t="s">
        <v>1293</v>
      </c>
    </row>
    <row r="34" spans="1:1" x14ac:dyDescent="0.25">
      <c r="A34" t="s">
        <v>1294</v>
      </c>
    </row>
    <row r="35" spans="1:1" x14ac:dyDescent="0.25">
      <c r="A35" t="s">
        <v>1295</v>
      </c>
    </row>
    <row r="36" spans="1:1" x14ac:dyDescent="0.25">
      <c r="A36" t="s">
        <v>1296</v>
      </c>
    </row>
    <row r="37" spans="1:1" x14ac:dyDescent="0.25">
      <c r="A37" t="s">
        <v>1297</v>
      </c>
    </row>
    <row r="38" spans="1:1" x14ac:dyDescent="0.25">
      <c r="A38" t="s">
        <v>1298</v>
      </c>
    </row>
    <row r="39" spans="1:1" x14ac:dyDescent="0.25">
      <c r="A39" t="s">
        <v>1299</v>
      </c>
    </row>
    <row r="40" spans="1:1" x14ac:dyDescent="0.25">
      <c r="A40" t="s">
        <v>1300</v>
      </c>
    </row>
    <row r="41" spans="1:1" x14ac:dyDescent="0.25">
      <c r="A41" t="s">
        <v>1301</v>
      </c>
    </row>
    <row r="42" spans="1:1" x14ac:dyDescent="0.25">
      <c r="A42" t="s">
        <v>1302</v>
      </c>
    </row>
    <row r="43" spans="1:1" x14ac:dyDescent="0.25">
      <c r="A43" t="s">
        <v>1303</v>
      </c>
    </row>
    <row r="44" spans="1:1" x14ac:dyDescent="0.25">
      <c r="A44" t="s">
        <v>1304</v>
      </c>
    </row>
    <row r="45" spans="1:1" x14ac:dyDescent="0.25">
      <c r="A45" t="s">
        <v>1305</v>
      </c>
    </row>
    <row r="46" spans="1:1" x14ac:dyDescent="0.25">
      <c r="A46" t="s">
        <v>1306</v>
      </c>
    </row>
    <row r="47" spans="1:1" x14ac:dyDescent="0.25">
      <c r="A47" t="s">
        <v>1307</v>
      </c>
    </row>
    <row r="48" spans="1:1" x14ac:dyDescent="0.25">
      <c r="A48" t="s">
        <v>1308</v>
      </c>
    </row>
    <row r="49" spans="1:1" x14ac:dyDescent="0.25">
      <c r="A49" t="s">
        <v>1309</v>
      </c>
    </row>
    <row r="50" spans="1:1" x14ac:dyDescent="0.25">
      <c r="A50" t="s">
        <v>1310</v>
      </c>
    </row>
    <row r="51" spans="1:1" x14ac:dyDescent="0.25">
      <c r="A51" t="s">
        <v>1311</v>
      </c>
    </row>
    <row r="52" spans="1:1" x14ac:dyDescent="0.25">
      <c r="A52" t="s">
        <v>1312</v>
      </c>
    </row>
    <row r="53" spans="1:1" x14ac:dyDescent="0.25">
      <c r="A53" t="s">
        <v>1313</v>
      </c>
    </row>
    <row r="54" spans="1:1" x14ac:dyDescent="0.25">
      <c r="A54" t="s">
        <v>1314</v>
      </c>
    </row>
    <row r="55" spans="1:1" x14ac:dyDescent="0.25">
      <c r="A55" t="s">
        <v>1315</v>
      </c>
    </row>
    <row r="56" spans="1:1" x14ac:dyDescent="0.25">
      <c r="A56" t="s">
        <v>1316</v>
      </c>
    </row>
    <row r="57" spans="1:1" x14ac:dyDescent="0.25">
      <c r="A57" t="s">
        <v>1317</v>
      </c>
    </row>
    <row r="58" spans="1:1" x14ac:dyDescent="0.25">
      <c r="A58" t="s">
        <v>1318</v>
      </c>
    </row>
    <row r="59" spans="1:1" x14ac:dyDescent="0.25">
      <c r="A59" t="s">
        <v>1319</v>
      </c>
    </row>
    <row r="60" spans="1:1" x14ac:dyDescent="0.25">
      <c r="A60" t="s">
        <v>1320</v>
      </c>
    </row>
    <row r="61" spans="1:1" x14ac:dyDescent="0.25">
      <c r="A61" t="s">
        <v>1321</v>
      </c>
    </row>
    <row r="62" spans="1:1" x14ac:dyDescent="0.25">
      <c r="A62" t="s">
        <v>1322</v>
      </c>
    </row>
    <row r="63" spans="1:1" x14ac:dyDescent="0.25">
      <c r="A63" t="s">
        <v>1323</v>
      </c>
    </row>
    <row r="64" spans="1:1" x14ac:dyDescent="0.25">
      <c r="A64" t="s">
        <v>1324</v>
      </c>
    </row>
    <row r="65" spans="1:1" x14ac:dyDescent="0.25">
      <c r="A65" t="s">
        <v>1325</v>
      </c>
    </row>
    <row r="66" spans="1:1" x14ac:dyDescent="0.25">
      <c r="A66" t="s">
        <v>1326</v>
      </c>
    </row>
    <row r="67" spans="1:1" x14ac:dyDescent="0.25">
      <c r="A67" t="s">
        <v>1327</v>
      </c>
    </row>
    <row r="68" spans="1:1" x14ac:dyDescent="0.25">
      <c r="A68" t="s">
        <v>1328</v>
      </c>
    </row>
    <row r="69" spans="1:1" x14ac:dyDescent="0.25">
      <c r="A69" t="s">
        <v>1329</v>
      </c>
    </row>
    <row r="70" spans="1:1" x14ac:dyDescent="0.25">
      <c r="A70" t="s">
        <v>1330</v>
      </c>
    </row>
    <row r="71" spans="1:1" x14ac:dyDescent="0.25">
      <c r="A71" t="s">
        <v>1331</v>
      </c>
    </row>
    <row r="72" spans="1:1" x14ac:dyDescent="0.25">
      <c r="A72" t="s">
        <v>1332</v>
      </c>
    </row>
    <row r="73" spans="1:1" x14ac:dyDescent="0.25">
      <c r="A73" t="s">
        <v>1333</v>
      </c>
    </row>
    <row r="74" spans="1:1" x14ac:dyDescent="0.25">
      <c r="A74" t="s">
        <v>1334</v>
      </c>
    </row>
    <row r="75" spans="1:1" x14ac:dyDescent="0.25">
      <c r="A75" t="s">
        <v>1335</v>
      </c>
    </row>
    <row r="76" spans="1:1" x14ac:dyDescent="0.25">
      <c r="A76" t="s">
        <v>1336</v>
      </c>
    </row>
    <row r="77" spans="1:1" x14ac:dyDescent="0.25">
      <c r="A77" t="s">
        <v>1337</v>
      </c>
    </row>
    <row r="78" spans="1:1" x14ac:dyDescent="0.25">
      <c r="A78" t="s">
        <v>1338</v>
      </c>
    </row>
    <row r="79" spans="1:1" x14ac:dyDescent="0.25">
      <c r="A79" t="s">
        <v>1339</v>
      </c>
    </row>
    <row r="80" spans="1:1" x14ac:dyDescent="0.25">
      <c r="A80" t="s">
        <v>1340</v>
      </c>
    </row>
    <row r="81" spans="1:1" x14ac:dyDescent="0.25">
      <c r="A81" t="s">
        <v>1341</v>
      </c>
    </row>
    <row r="82" spans="1:1" x14ac:dyDescent="0.25">
      <c r="A82" t="s">
        <v>1342</v>
      </c>
    </row>
    <row r="83" spans="1:1" x14ac:dyDescent="0.25">
      <c r="A83" t="s">
        <v>1343</v>
      </c>
    </row>
    <row r="84" spans="1:1" x14ac:dyDescent="0.25">
      <c r="A84" t="s">
        <v>1344</v>
      </c>
    </row>
    <row r="85" spans="1:1" x14ac:dyDescent="0.25">
      <c r="A85" t="s">
        <v>1345</v>
      </c>
    </row>
    <row r="86" spans="1:1" x14ac:dyDescent="0.25">
      <c r="A86" t="s">
        <v>1346</v>
      </c>
    </row>
    <row r="87" spans="1:1" x14ac:dyDescent="0.25">
      <c r="A87" t="s">
        <v>1347</v>
      </c>
    </row>
    <row r="88" spans="1:1" x14ac:dyDescent="0.25">
      <c r="A88" t="s">
        <v>1348</v>
      </c>
    </row>
    <row r="89" spans="1:1" x14ac:dyDescent="0.25">
      <c r="A89" t="s">
        <v>1349</v>
      </c>
    </row>
    <row r="90" spans="1:1" x14ac:dyDescent="0.25">
      <c r="A90" t="s">
        <v>1350</v>
      </c>
    </row>
    <row r="91" spans="1:1" x14ac:dyDescent="0.25">
      <c r="A91" t="s">
        <v>1351</v>
      </c>
    </row>
    <row r="92" spans="1:1" x14ac:dyDescent="0.25">
      <c r="A92" t="s">
        <v>1352</v>
      </c>
    </row>
    <row r="93" spans="1:1" x14ac:dyDescent="0.25">
      <c r="A93" t="s">
        <v>1353</v>
      </c>
    </row>
    <row r="94" spans="1:1" x14ac:dyDescent="0.25">
      <c r="A94" t="s">
        <v>1354</v>
      </c>
    </row>
    <row r="95" spans="1:1" x14ac:dyDescent="0.25">
      <c r="A95" t="s">
        <v>1355</v>
      </c>
    </row>
    <row r="96" spans="1:1" x14ac:dyDescent="0.25">
      <c r="A96" t="s">
        <v>1356</v>
      </c>
    </row>
    <row r="97" spans="1:1" x14ac:dyDescent="0.25">
      <c r="A97" t="s">
        <v>1357</v>
      </c>
    </row>
    <row r="98" spans="1:1" x14ac:dyDescent="0.25">
      <c r="A98" t="s">
        <v>1358</v>
      </c>
    </row>
    <row r="99" spans="1:1" x14ac:dyDescent="0.25">
      <c r="A99" t="s">
        <v>1359</v>
      </c>
    </row>
    <row r="100" spans="1:1" x14ac:dyDescent="0.25">
      <c r="A100" t="s">
        <v>1360</v>
      </c>
    </row>
    <row r="101" spans="1:1" x14ac:dyDescent="0.25">
      <c r="A101" t="s">
        <v>1361</v>
      </c>
    </row>
    <row r="102" spans="1:1" x14ac:dyDescent="0.25">
      <c r="A102" t="s">
        <v>1362</v>
      </c>
    </row>
    <row r="103" spans="1:1" x14ac:dyDescent="0.25">
      <c r="A103" t="s">
        <v>1363</v>
      </c>
    </row>
    <row r="104" spans="1:1" x14ac:dyDescent="0.25">
      <c r="A104" t="s">
        <v>1364</v>
      </c>
    </row>
    <row r="105" spans="1:1" x14ac:dyDescent="0.25">
      <c r="A105" t="s">
        <v>1365</v>
      </c>
    </row>
    <row r="106" spans="1:1" x14ac:dyDescent="0.25">
      <c r="A106" t="s">
        <v>1366</v>
      </c>
    </row>
    <row r="107" spans="1:1" x14ac:dyDescent="0.25">
      <c r="A107" t="s">
        <v>1367</v>
      </c>
    </row>
    <row r="108" spans="1:1" x14ac:dyDescent="0.25">
      <c r="A108" t="s">
        <v>1368</v>
      </c>
    </row>
    <row r="109" spans="1:1" x14ac:dyDescent="0.25">
      <c r="A109" t="s">
        <v>1369</v>
      </c>
    </row>
    <row r="110" spans="1:1" x14ac:dyDescent="0.25">
      <c r="A110" t="s">
        <v>1370</v>
      </c>
    </row>
    <row r="111" spans="1:1" x14ac:dyDescent="0.25">
      <c r="A111" t="s">
        <v>1371</v>
      </c>
    </row>
    <row r="112" spans="1:1" x14ac:dyDescent="0.25">
      <c r="A112" t="s">
        <v>1372</v>
      </c>
    </row>
    <row r="113" spans="1:1" x14ac:dyDescent="0.25">
      <c r="A113" t="s">
        <v>1373</v>
      </c>
    </row>
    <row r="114" spans="1:1" x14ac:dyDescent="0.25">
      <c r="A114" t="s">
        <v>1374</v>
      </c>
    </row>
    <row r="115" spans="1:1" x14ac:dyDescent="0.25">
      <c r="A115" t="s">
        <v>1375</v>
      </c>
    </row>
    <row r="116" spans="1:1" x14ac:dyDescent="0.25">
      <c r="A116" t="s">
        <v>1376</v>
      </c>
    </row>
    <row r="117" spans="1:1" x14ac:dyDescent="0.25">
      <c r="A117" t="s">
        <v>1377</v>
      </c>
    </row>
    <row r="118" spans="1:1" x14ac:dyDescent="0.25">
      <c r="A118" t="s">
        <v>1378</v>
      </c>
    </row>
    <row r="119" spans="1:1" x14ac:dyDescent="0.25">
      <c r="A119" t="s">
        <v>1379</v>
      </c>
    </row>
    <row r="120" spans="1:1" x14ac:dyDescent="0.25">
      <c r="A120" t="s">
        <v>1380</v>
      </c>
    </row>
    <row r="121" spans="1:1" x14ac:dyDescent="0.25">
      <c r="A121" t="s">
        <v>1381</v>
      </c>
    </row>
    <row r="122" spans="1:1" x14ac:dyDescent="0.25">
      <c r="A122" t="s">
        <v>1382</v>
      </c>
    </row>
    <row r="123" spans="1:1" x14ac:dyDescent="0.25">
      <c r="A123" t="s">
        <v>1383</v>
      </c>
    </row>
    <row r="124" spans="1:1" x14ac:dyDescent="0.25">
      <c r="A124" t="s">
        <v>1384</v>
      </c>
    </row>
    <row r="125" spans="1:1" x14ac:dyDescent="0.25">
      <c r="A125" t="s">
        <v>1385</v>
      </c>
    </row>
    <row r="126" spans="1:1" x14ac:dyDescent="0.25">
      <c r="A126" t="s">
        <v>1386</v>
      </c>
    </row>
    <row r="127" spans="1:1" x14ac:dyDescent="0.25">
      <c r="A127" t="s">
        <v>1387</v>
      </c>
    </row>
    <row r="128" spans="1:1" x14ac:dyDescent="0.25">
      <c r="A128" t="s">
        <v>1388</v>
      </c>
    </row>
    <row r="129" spans="1:1" x14ac:dyDescent="0.25">
      <c r="A129" t="s">
        <v>1389</v>
      </c>
    </row>
    <row r="130" spans="1:1" x14ac:dyDescent="0.25">
      <c r="A130" t="s">
        <v>1390</v>
      </c>
    </row>
    <row r="131" spans="1:1" x14ac:dyDescent="0.25">
      <c r="A131" t="s">
        <v>1391</v>
      </c>
    </row>
    <row r="132" spans="1:1" x14ac:dyDescent="0.25">
      <c r="A132" t="s">
        <v>1392</v>
      </c>
    </row>
    <row r="133" spans="1:1" x14ac:dyDescent="0.25">
      <c r="A133" t="s">
        <v>1393</v>
      </c>
    </row>
    <row r="134" spans="1:1" x14ac:dyDescent="0.25">
      <c r="A134" t="s">
        <v>1394</v>
      </c>
    </row>
    <row r="135" spans="1:1" x14ac:dyDescent="0.25">
      <c r="A135" t="s">
        <v>1395</v>
      </c>
    </row>
    <row r="136" spans="1:1" x14ac:dyDescent="0.25">
      <c r="A136" t="s">
        <v>1396</v>
      </c>
    </row>
    <row r="137" spans="1:1" x14ac:dyDescent="0.25">
      <c r="A137" t="s">
        <v>1397</v>
      </c>
    </row>
    <row r="138" spans="1:1" x14ac:dyDescent="0.25">
      <c r="A138" t="s">
        <v>1398</v>
      </c>
    </row>
    <row r="139" spans="1:1" x14ac:dyDescent="0.25">
      <c r="A139" t="s">
        <v>1399</v>
      </c>
    </row>
    <row r="140" spans="1:1" x14ac:dyDescent="0.25">
      <c r="A140" t="s">
        <v>1400</v>
      </c>
    </row>
    <row r="141" spans="1:1" x14ac:dyDescent="0.25">
      <c r="A141" t="s">
        <v>1401</v>
      </c>
    </row>
    <row r="142" spans="1:1" x14ac:dyDescent="0.25">
      <c r="A142" t="s">
        <v>1402</v>
      </c>
    </row>
    <row r="143" spans="1:1" x14ac:dyDescent="0.25">
      <c r="A143" t="s">
        <v>1403</v>
      </c>
    </row>
    <row r="144" spans="1:1" x14ac:dyDescent="0.25">
      <c r="A144" t="s">
        <v>1404</v>
      </c>
    </row>
    <row r="145" spans="1:1" x14ac:dyDescent="0.25">
      <c r="A145" t="s">
        <v>1405</v>
      </c>
    </row>
    <row r="146" spans="1:1" x14ac:dyDescent="0.25">
      <c r="A146" t="s">
        <v>1406</v>
      </c>
    </row>
    <row r="147" spans="1:1" x14ac:dyDescent="0.25">
      <c r="A147" t="s">
        <v>1407</v>
      </c>
    </row>
    <row r="148" spans="1:1" x14ac:dyDescent="0.25">
      <c r="A148" t="s">
        <v>1408</v>
      </c>
    </row>
    <row r="149" spans="1:1" x14ac:dyDescent="0.25">
      <c r="A149" t="s">
        <v>1409</v>
      </c>
    </row>
    <row r="150" spans="1:1" x14ac:dyDescent="0.25">
      <c r="A150" t="s">
        <v>1410</v>
      </c>
    </row>
    <row r="151" spans="1:1" x14ac:dyDescent="0.25">
      <c r="A151" t="s">
        <v>1411</v>
      </c>
    </row>
    <row r="152" spans="1:1" x14ac:dyDescent="0.25">
      <c r="A152" t="s">
        <v>1412</v>
      </c>
    </row>
    <row r="153" spans="1:1" x14ac:dyDescent="0.25">
      <c r="A153" t="s">
        <v>1413</v>
      </c>
    </row>
    <row r="154" spans="1:1" x14ac:dyDescent="0.25">
      <c r="A154" t="s">
        <v>1414</v>
      </c>
    </row>
    <row r="155" spans="1:1" x14ac:dyDescent="0.25">
      <c r="A155" t="s">
        <v>1415</v>
      </c>
    </row>
    <row r="156" spans="1:1" x14ac:dyDescent="0.25">
      <c r="A156" t="s">
        <v>1416</v>
      </c>
    </row>
    <row r="157" spans="1:1" x14ac:dyDescent="0.25">
      <c r="A157" t="s">
        <v>1417</v>
      </c>
    </row>
    <row r="158" spans="1:1" x14ac:dyDescent="0.25">
      <c r="A158" t="s">
        <v>1418</v>
      </c>
    </row>
    <row r="159" spans="1:1" x14ac:dyDescent="0.25">
      <c r="A159" t="s">
        <v>1419</v>
      </c>
    </row>
    <row r="160" spans="1:1" x14ac:dyDescent="0.25">
      <c r="A160" t="s">
        <v>1420</v>
      </c>
    </row>
    <row r="161" spans="1:1" x14ac:dyDescent="0.25">
      <c r="A161" t="s">
        <v>1421</v>
      </c>
    </row>
    <row r="162" spans="1:1" x14ac:dyDescent="0.25">
      <c r="A162" t="s">
        <v>1422</v>
      </c>
    </row>
    <row r="163" spans="1:1" x14ac:dyDescent="0.25">
      <c r="A163" t="s">
        <v>1423</v>
      </c>
    </row>
    <row r="164" spans="1:1" x14ac:dyDescent="0.25">
      <c r="A164" t="s">
        <v>1424</v>
      </c>
    </row>
    <row r="165" spans="1:1" x14ac:dyDescent="0.25">
      <c r="A165" t="s">
        <v>1425</v>
      </c>
    </row>
    <row r="166" spans="1:1" x14ac:dyDescent="0.25">
      <c r="A166" t="s">
        <v>1426</v>
      </c>
    </row>
    <row r="167" spans="1:1" x14ac:dyDescent="0.25">
      <c r="A167" t="s">
        <v>1427</v>
      </c>
    </row>
    <row r="168" spans="1:1" x14ac:dyDescent="0.25">
      <c r="A168" t="s">
        <v>1428</v>
      </c>
    </row>
    <row r="169" spans="1:1" x14ac:dyDescent="0.25">
      <c r="A169" t="s">
        <v>1429</v>
      </c>
    </row>
    <row r="170" spans="1:1" x14ac:dyDescent="0.25">
      <c r="A170" t="s">
        <v>1430</v>
      </c>
    </row>
    <row r="171" spans="1:1" x14ac:dyDescent="0.25">
      <c r="A171" t="s">
        <v>1431</v>
      </c>
    </row>
    <row r="172" spans="1:1" x14ac:dyDescent="0.25">
      <c r="A172" t="s">
        <v>1432</v>
      </c>
    </row>
    <row r="173" spans="1:1" x14ac:dyDescent="0.25">
      <c r="A173" t="s">
        <v>1433</v>
      </c>
    </row>
    <row r="174" spans="1:1" x14ac:dyDescent="0.25">
      <c r="A174" t="s">
        <v>1434</v>
      </c>
    </row>
    <row r="175" spans="1:1" x14ac:dyDescent="0.25">
      <c r="A175" t="s">
        <v>1435</v>
      </c>
    </row>
    <row r="176" spans="1:1" x14ac:dyDescent="0.25">
      <c r="A176" t="s">
        <v>1436</v>
      </c>
    </row>
    <row r="177" spans="1:1" x14ac:dyDescent="0.25">
      <c r="A177" t="s">
        <v>1437</v>
      </c>
    </row>
    <row r="178" spans="1:1" x14ac:dyDescent="0.25">
      <c r="A178" t="s">
        <v>1438</v>
      </c>
    </row>
    <row r="179" spans="1:1" x14ac:dyDescent="0.25">
      <c r="A179" t="s">
        <v>1439</v>
      </c>
    </row>
    <row r="180" spans="1:1" x14ac:dyDescent="0.25">
      <c r="A180" t="s">
        <v>1440</v>
      </c>
    </row>
    <row r="181" spans="1:1" x14ac:dyDescent="0.25">
      <c r="A181" t="s">
        <v>1441</v>
      </c>
    </row>
    <row r="182" spans="1:1" x14ac:dyDescent="0.25">
      <c r="A182" t="s">
        <v>1442</v>
      </c>
    </row>
    <row r="183" spans="1:1" x14ac:dyDescent="0.25">
      <c r="A183" t="s">
        <v>1443</v>
      </c>
    </row>
    <row r="184" spans="1:1" x14ac:dyDescent="0.25">
      <c r="A184" t="s">
        <v>1444</v>
      </c>
    </row>
    <row r="185" spans="1:1" x14ac:dyDescent="0.25">
      <c r="A185" t="s">
        <v>1445</v>
      </c>
    </row>
    <row r="186" spans="1:1" x14ac:dyDescent="0.25">
      <c r="A186" t="s">
        <v>1446</v>
      </c>
    </row>
    <row r="187" spans="1:1" x14ac:dyDescent="0.25">
      <c r="A187" t="s">
        <v>1447</v>
      </c>
    </row>
    <row r="188" spans="1:1" x14ac:dyDescent="0.25">
      <c r="A188" t="s">
        <v>1448</v>
      </c>
    </row>
    <row r="189" spans="1:1" x14ac:dyDescent="0.25">
      <c r="A189" t="s">
        <v>1449</v>
      </c>
    </row>
    <row r="190" spans="1:1" x14ac:dyDescent="0.25">
      <c r="A190" t="s">
        <v>1450</v>
      </c>
    </row>
    <row r="191" spans="1:1" x14ac:dyDescent="0.25">
      <c r="A191" t="s">
        <v>1451</v>
      </c>
    </row>
    <row r="192" spans="1:1" x14ac:dyDescent="0.25">
      <c r="A192" t="s">
        <v>1452</v>
      </c>
    </row>
    <row r="193" spans="1:1" x14ac:dyDescent="0.25">
      <c r="A193" t="s">
        <v>1453</v>
      </c>
    </row>
    <row r="194" spans="1:1" x14ac:dyDescent="0.25">
      <c r="A194" t="s">
        <v>1454</v>
      </c>
    </row>
    <row r="195" spans="1:1" x14ac:dyDescent="0.25">
      <c r="A195" t="s">
        <v>1455</v>
      </c>
    </row>
    <row r="196" spans="1:1" x14ac:dyDescent="0.25">
      <c r="A196" t="s">
        <v>1456</v>
      </c>
    </row>
    <row r="197" spans="1:1" x14ac:dyDescent="0.25">
      <c r="A197" t="s">
        <v>1457</v>
      </c>
    </row>
    <row r="198" spans="1:1" x14ac:dyDescent="0.25">
      <c r="A198" t="s">
        <v>1458</v>
      </c>
    </row>
    <row r="199" spans="1:1" x14ac:dyDescent="0.25">
      <c r="A199" t="s">
        <v>1459</v>
      </c>
    </row>
    <row r="200" spans="1:1" x14ac:dyDescent="0.25">
      <c r="A200" t="s">
        <v>1460</v>
      </c>
    </row>
    <row r="201" spans="1:1" x14ac:dyDescent="0.25">
      <c r="A201" t="s">
        <v>1461</v>
      </c>
    </row>
    <row r="202" spans="1:1" x14ac:dyDescent="0.25">
      <c r="A202" t="s">
        <v>1462</v>
      </c>
    </row>
    <row r="203" spans="1:1" x14ac:dyDescent="0.25">
      <c r="A203" t="s">
        <v>1463</v>
      </c>
    </row>
    <row r="204" spans="1:1" x14ac:dyDescent="0.25">
      <c r="A204" t="s">
        <v>1464</v>
      </c>
    </row>
    <row r="205" spans="1:1" x14ac:dyDescent="0.25">
      <c r="A205" t="s">
        <v>1465</v>
      </c>
    </row>
    <row r="206" spans="1:1" x14ac:dyDescent="0.25">
      <c r="A206" t="s">
        <v>1466</v>
      </c>
    </row>
    <row r="207" spans="1:1" x14ac:dyDescent="0.25">
      <c r="A207" t="s">
        <v>1467</v>
      </c>
    </row>
    <row r="208" spans="1:1" x14ac:dyDescent="0.25">
      <c r="A208" t="s">
        <v>1468</v>
      </c>
    </row>
    <row r="209" spans="1:1" x14ac:dyDescent="0.25">
      <c r="A209" t="s">
        <v>1469</v>
      </c>
    </row>
    <row r="210" spans="1:1" x14ac:dyDescent="0.25">
      <c r="A210" t="s">
        <v>1470</v>
      </c>
    </row>
    <row r="211" spans="1:1" x14ac:dyDescent="0.25">
      <c r="A211" t="s">
        <v>1471</v>
      </c>
    </row>
    <row r="212" spans="1:1" x14ac:dyDescent="0.25">
      <c r="A212" t="s">
        <v>1472</v>
      </c>
    </row>
    <row r="213" spans="1:1" x14ac:dyDescent="0.25">
      <c r="A213" t="s">
        <v>1473</v>
      </c>
    </row>
    <row r="214" spans="1:1" x14ac:dyDescent="0.25">
      <c r="A214" t="s">
        <v>1474</v>
      </c>
    </row>
    <row r="215" spans="1:1" x14ac:dyDescent="0.25">
      <c r="A215" t="s">
        <v>1475</v>
      </c>
    </row>
    <row r="216" spans="1:1" x14ac:dyDescent="0.25">
      <c r="A216" t="s">
        <v>1476</v>
      </c>
    </row>
    <row r="217" spans="1:1" x14ac:dyDescent="0.25">
      <c r="A217" t="s">
        <v>1477</v>
      </c>
    </row>
    <row r="218" spans="1:1" x14ac:dyDescent="0.25">
      <c r="A218" t="s">
        <v>1478</v>
      </c>
    </row>
    <row r="219" spans="1:1" x14ac:dyDescent="0.25">
      <c r="A219" t="s">
        <v>1479</v>
      </c>
    </row>
    <row r="220" spans="1:1" x14ac:dyDescent="0.25">
      <c r="A220" t="s">
        <v>1480</v>
      </c>
    </row>
    <row r="221" spans="1:1" x14ac:dyDescent="0.25">
      <c r="A221" t="s">
        <v>1481</v>
      </c>
    </row>
    <row r="222" spans="1:1" x14ac:dyDescent="0.25">
      <c r="A222" t="s">
        <v>1482</v>
      </c>
    </row>
    <row r="223" spans="1:1" x14ac:dyDescent="0.25">
      <c r="A223" t="s">
        <v>1483</v>
      </c>
    </row>
    <row r="224" spans="1:1" x14ac:dyDescent="0.25">
      <c r="A224" t="s">
        <v>1484</v>
      </c>
    </row>
    <row r="225" spans="1:1" x14ac:dyDescent="0.25">
      <c r="A225" t="s">
        <v>1485</v>
      </c>
    </row>
    <row r="226" spans="1:1" x14ac:dyDescent="0.25">
      <c r="A226" t="s">
        <v>1486</v>
      </c>
    </row>
    <row r="227" spans="1:1" x14ac:dyDescent="0.25">
      <c r="A227" t="s">
        <v>1487</v>
      </c>
    </row>
    <row r="228" spans="1:1" x14ac:dyDescent="0.25">
      <c r="A228" t="s">
        <v>1488</v>
      </c>
    </row>
    <row r="229" spans="1:1" x14ac:dyDescent="0.25">
      <c r="A229" t="s">
        <v>1489</v>
      </c>
    </row>
    <row r="230" spans="1:1" x14ac:dyDescent="0.25">
      <c r="A230" t="s">
        <v>1490</v>
      </c>
    </row>
    <row r="231" spans="1:1" x14ac:dyDescent="0.25">
      <c r="A231" t="s">
        <v>1491</v>
      </c>
    </row>
    <row r="232" spans="1:1" x14ac:dyDescent="0.25">
      <c r="A232" t="s">
        <v>1492</v>
      </c>
    </row>
    <row r="233" spans="1:1" x14ac:dyDescent="0.25">
      <c r="A233" t="s">
        <v>1493</v>
      </c>
    </row>
    <row r="234" spans="1:1" x14ac:dyDescent="0.25">
      <c r="A234" t="s">
        <v>1494</v>
      </c>
    </row>
    <row r="235" spans="1:1" x14ac:dyDescent="0.25">
      <c r="A235" t="s">
        <v>1495</v>
      </c>
    </row>
    <row r="236" spans="1:1" x14ac:dyDescent="0.25">
      <c r="A236" t="s">
        <v>1496</v>
      </c>
    </row>
    <row r="237" spans="1:1" x14ac:dyDescent="0.25">
      <c r="A237" t="s">
        <v>1497</v>
      </c>
    </row>
    <row r="238" spans="1:1" x14ac:dyDescent="0.25">
      <c r="A238" t="s">
        <v>1498</v>
      </c>
    </row>
    <row r="239" spans="1:1" x14ac:dyDescent="0.25">
      <c r="A239" t="s">
        <v>1499</v>
      </c>
    </row>
    <row r="240" spans="1:1" x14ac:dyDescent="0.25">
      <c r="A240" t="s">
        <v>1500</v>
      </c>
    </row>
    <row r="241" spans="1:1" x14ac:dyDescent="0.25">
      <c r="A241" t="s">
        <v>1501</v>
      </c>
    </row>
    <row r="242" spans="1:1" x14ac:dyDescent="0.25">
      <c r="A242" t="s">
        <v>1502</v>
      </c>
    </row>
    <row r="243" spans="1:1" x14ac:dyDescent="0.25">
      <c r="A243" t="s">
        <v>1503</v>
      </c>
    </row>
    <row r="244" spans="1:1" x14ac:dyDescent="0.25">
      <c r="A244" t="s">
        <v>1504</v>
      </c>
    </row>
    <row r="245" spans="1:1" x14ac:dyDescent="0.25">
      <c r="A245" t="s">
        <v>1505</v>
      </c>
    </row>
    <row r="246" spans="1:1" x14ac:dyDescent="0.25">
      <c r="A246" t="s">
        <v>1506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7F71E-E620-4BFE-A38F-C753858BA53E}">
  <dimension ref="A1:G5"/>
  <sheetViews>
    <sheetView workbookViewId="0">
      <selection activeCell="G2" sqref="G2"/>
    </sheetView>
  </sheetViews>
  <sheetFormatPr defaultRowHeight="15" x14ac:dyDescent="0.25"/>
  <cols>
    <col min="1" max="1" width="15.7109375" customWidth="1"/>
    <col min="2" max="2" width="13.42578125" customWidth="1"/>
    <col min="3" max="3" width="15.85546875" customWidth="1"/>
    <col min="4" max="4" width="23.85546875" customWidth="1"/>
  </cols>
  <sheetData>
    <row r="1" spans="1:7" x14ac:dyDescent="0.25">
      <c r="B1" t="s">
        <v>1541</v>
      </c>
      <c r="D1" t="s">
        <v>1546</v>
      </c>
      <c r="F1" t="s">
        <v>1547</v>
      </c>
    </row>
    <row r="2" spans="1:7" x14ac:dyDescent="0.25">
      <c r="A2" s="20" t="s">
        <v>1531</v>
      </c>
      <c r="B2" t="s">
        <v>1532</v>
      </c>
      <c r="D2" t="s">
        <v>1533</v>
      </c>
      <c r="E2" t="s">
        <v>1534</v>
      </c>
      <c r="F2" t="s">
        <v>1219</v>
      </c>
      <c r="G2" t="s">
        <v>1551</v>
      </c>
    </row>
    <row r="3" spans="1:7" x14ac:dyDescent="0.25">
      <c r="A3" t="s">
        <v>1535</v>
      </c>
      <c r="B3" t="s">
        <v>1536</v>
      </c>
      <c r="C3" t="s">
        <v>1259</v>
      </c>
      <c r="D3" t="s">
        <v>1537</v>
      </c>
      <c r="E3" t="s">
        <v>1538</v>
      </c>
      <c r="F3" t="s">
        <v>1219</v>
      </c>
      <c r="G3" t="s">
        <v>1550</v>
      </c>
    </row>
    <row r="4" spans="1:7" x14ac:dyDescent="0.25">
      <c r="A4" t="s">
        <v>1539</v>
      </c>
      <c r="B4" t="s">
        <v>1542</v>
      </c>
      <c r="C4" t="s">
        <v>1259</v>
      </c>
      <c r="D4" t="s">
        <v>1537</v>
      </c>
      <c r="E4" t="s">
        <v>1540</v>
      </c>
      <c r="F4" t="s">
        <v>1223</v>
      </c>
      <c r="G4" t="s">
        <v>1549</v>
      </c>
    </row>
    <row r="5" spans="1:7" x14ac:dyDescent="0.25">
      <c r="A5" s="20" t="s">
        <v>1543</v>
      </c>
      <c r="B5" t="s">
        <v>1544</v>
      </c>
      <c r="D5" t="s">
        <v>1537</v>
      </c>
      <c r="E5" t="s">
        <v>1545</v>
      </c>
      <c r="F5" t="s">
        <v>1219</v>
      </c>
      <c r="G5" t="s">
        <v>1548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Weighted_avg_p1_p9</vt:lpstr>
      <vt:lpstr>Soils_Vertis_p9</vt:lpstr>
      <vt:lpstr>Soils_Plonos_p1</vt:lpstr>
      <vt:lpstr>Soil_parameters_Ferral_P8</vt:lpstr>
      <vt:lpstr>Soils_Vertis_p4</vt:lpstr>
      <vt:lpstr>Soils_Vertis_p7</vt:lpstr>
      <vt:lpstr>Soils_Vertis_p12</vt:lpstr>
      <vt:lpstr>Soils_wgt_avg</vt:lpstr>
      <vt:lpstr>Soil_Ferral_ISRIC_KE007 (2)</vt:lpstr>
      <vt:lpstr>ISRIC Reference soils</vt:lpstr>
      <vt:lpstr>Soil_Ferral_ISRIC_KE007</vt:lpstr>
      <vt:lpstr>Soil_parameters_Ferral_ISRIC</vt:lpstr>
      <vt:lpstr>Soil_parameters_Ferral_Mean</vt:lpstr>
      <vt:lpstr>Soil_Ferral_ISRIC_KE009</vt:lpstr>
      <vt:lpstr>Soil_parameters_Ferral_P14</vt:lpstr>
      <vt:lpstr>Soil_parameters (2)</vt:lpstr>
      <vt:lpstr>Cattle density</vt:lpstr>
      <vt:lpstr>Tree density</vt:lpstr>
      <vt:lpstr>Soil_references</vt:lpstr>
      <vt:lpstr>Wild_herbivores</vt:lpstr>
      <vt:lpstr>Graze_density_all</vt:lpstr>
      <vt:lpstr>Calibratin parameters</vt:lpstr>
      <vt:lpstr>Species_parameters</vt:lpstr>
      <vt:lpstr>Site params</vt:lpstr>
      <vt:lpstr>Lresources_WAVG</vt:lpstr>
      <vt:lpstr>Params_specs_ALL</vt:lpstr>
      <vt:lpstr>Lresources_ALL</vt:lpstr>
      <vt:lpstr>Lresources_CEBI</vt:lpstr>
      <vt:lpstr>Lresources_PERG</vt:lpstr>
      <vt:lpstr>Lresources_ANGA</vt:lpstr>
      <vt:lpstr>Lresources_PECL</vt:lpstr>
      <vt:lpstr>Lresources_ACTO</vt:lpstr>
      <vt:lpstr>Growing_periods_compare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Hawkins</dc:creator>
  <cp:lastModifiedBy>James Hawkins</cp:lastModifiedBy>
  <dcterms:created xsi:type="dcterms:W3CDTF">2025-06-05T02:14:35Z</dcterms:created>
  <dcterms:modified xsi:type="dcterms:W3CDTF">2026-09-14T09:17:39Z</dcterms:modified>
</cp:coreProperties>
</file>